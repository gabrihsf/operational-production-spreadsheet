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ortfolio\Programação - Portfólio\Projetos ABR\Planilhas (ABR Indicadores) - LinkedIN\"/>
    </mc:Choice>
  </mc:AlternateContent>
  <xr:revisionPtr revIDLastSave="0" documentId="13_ncr:1_{64399883-0ABF-41F4-98D9-97E4B666D33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otivos De Parada" sheetId="1" r:id="rId1"/>
    <sheet name="Disponibilidade" sheetId="5" r:id="rId2"/>
    <sheet name="Controle Mensal" sheetId="7" r:id="rId3"/>
    <sheet name="Metas DM &amp; DO" sheetId="4" r:id="rId4"/>
    <sheet name="Justificativas" sheetId="2" r:id="rId5"/>
    <sheet name="Cadastros" sheetId="3" r:id="rId6"/>
  </sheets>
  <definedNames>
    <definedName name="_xlnm._FilterDatabase" localSheetId="1" hidden="1">Disponibilidade!$A$1:$AR$9</definedName>
    <definedName name="_xlnm._FilterDatabase" localSheetId="0" hidden="1">'Motivos De Parada'!$A$1:$S$30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73" i="5" l="1"/>
  <c r="B73" i="5"/>
  <c r="A73" i="5"/>
  <c r="G72" i="5"/>
  <c r="AJ72" i="5" s="1" a="1"/>
  <c r="AJ72" i="5" s="1"/>
  <c r="F72" i="5" a="1"/>
  <c r="F72" i="5" s="1"/>
  <c r="B72" i="5"/>
  <c r="A72" i="5"/>
  <c r="G71" i="5"/>
  <c r="F71" i="5" a="1"/>
  <c r="F71" i="5" s="1"/>
  <c r="B71" i="5"/>
  <c r="A71" i="5"/>
  <c r="G70" i="5"/>
  <c r="AJ70" i="5" s="1" a="1"/>
  <c r="AJ70" i="5" s="1"/>
  <c r="F70" i="5" a="1"/>
  <c r="F70" i="5" s="1"/>
  <c r="B70" i="5"/>
  <c r="A70" i="5"/>
  <c r="G69" i="5"/>
  <c r="F69" i="5" a="1"/>
  <c r="F69" i="5" s="1"/>
  <c r="B69" i="5"/>
  <c r="A69" i="5"/>
  <c r="G68" i="5"/>
  <c r="AJ68" i="5" s="1" a="1"/>
  <c r="AJ68" i="5" s="1"/>
  <c r="F68" i="5" a="1"/>
  <c r="F68" i="5" s="1"/>
  <c r="B68" i="5"/>
  <c r="A68" i="5"/>
  <c r="G67" i="5"/>
  <c r="F67" i="5" a="1"/>
  <c r="F67" i="5" s="1"/>
  <c r="B67" i="5"/>
  <c r="A67" i="5"/>
  <c r="AJ66" i="5"/>
  <c r="G66" i="5"/>
  <c r="AJ66" i="5" s="1" a="1"/>
  <c r="F66" i="5" a="1"/>
  <c r="F66" i="5" s="1"/>
  <c r="B66" i="5"/>
  <c r="A66" i="5"/>
  <c r="G65" i="5"/>
  <c r="F65" i="5" a="1"/>
  <c r="F65" i="5" s="1"/>
  <c r="B65" i="5"/>
  <c r="A65" i="5"/>
  <c r="G64" i="5"/>
  <c r="AJ64" i="5" s="1" a="1"/>
  <c r="AJ64" i="5" s="1"/>
  <c r="F64" i="5" a="1"/>
  <c r="F64" i="5" s="1"/>
  <c r="B64" i="5"/>
  <c r="A64" i="5"/>
  <c r="G63" i="5"/>
  <c r="B63" i="5"/>
  <c r="A63" i="5"/>
  <c r="G62" i="5"/>
  <c r="F62" i="5" a="1"/>
  <c r="F62" i="5" s="1"/>
  <c r="B62" i="5"/>
  <c r="A62" i="5"/>
  <c r="G61" i="5"/>
  <c r="B61" i="5"/>
  <c r="A61" i="5"/>
  <c r="G60" i="5"/>
  <c r="AJ60" i="5" s="1" a="1"/>
  <c r="AJ60" i="5" s="1"/>
  <c r="F60" i="5" a="1"/>
  <c r="F60" i="5" s="1"/>
  <c r="B60" i="5"/>
  <c r="A60" i="5"/>
  <c r="G59" i="5"/>
  <c r="F59" i="5" a="1"/>
  <c r="F59" i="5" s="1"/>
  <c r="B59" i="5"/>
  <c r="A59" i="5"/>
  <c r="G58" i="5"/>
  <c r="AJ58" i="5" s="1" a="1"/>
  <c r="AJ58" i="5" s="1"/>
  <c r="F58" i="5" a="1"/>
  <c r="F58" i="5" s="1"/>
  <c r="B58" i="5"/>
  <c r="A58" i="5"/>
  <c r="G57" i="5"/>
  <c r="F57" i="5" a="1"/>
  <c r="F57" i="5" s="1"/>
  <c r="B57" i="5"/>
  <c r="A57" i="5"/>
  <c r="AJ56" i="5"/>
  <c r="G56" i="5"/>
  <c r="AJ56" i="5" s="1" a="1"/>
  <c r="F56" i="5" a="1"/>
  <c r="F56" i="5" s="1"/>
  <c r="B56" i="5"/>
  <c r="A56" i="5"/>
  <c r="G55" i="5"/>
  <c r="F55" i="5" a="1"/>
  <c r="F55" i="5" s="1"/>
  <c r="B55" i="5"/>
  <c r="A55" i="5"/>
  <c r="G54" i="5"/>
  <c r="AJ54" i="5" s="1" a="1"/>
  <c r="AJ54" i="5" s="1"/>
  <c r="F54" i="5" a="1"/>
  <c r="F54" i="5" s="1"/>
  <c r="B54" i="5"/>
  <c r="A54" i="5"/>
  <c r="G53" i="5"/>
  <c r="F53" i="5" a="1"/>
  <c r="F53" i="5" s="1"/>
  <c r="B53" i="5"/>
  <c r="A53" i="5"/>
  <c r="G52" i="5"/>
  <c r="AJ52" i="5" s="1" a="1"/>
  <c r="AJ52" i="5" s="1"/>
  <c r="F52" i="5" a="1"/>
  <c r="F52" i="5" s="1"/>
  <c r="B52" i="5"/>
  <c r="A52" i="5"/>
  <c r="G51" i="5"/>
  <c r="F51" i="5" a="1"/>
  <c r="F51" i="5" s="1"/>
  <c r="B51" i="5"/>
  <c r="A51" i="5"/>
  <c r="G50" i="5"/>
  <c r="AJ50" i="5" s="1" a="1"/>
  <c r="AJ50" i="5" s="1"/>
  <c r="F50" i="5" a="1"/>
  <c r="F50" i="5" s="1"/>
  <c r="B50" i="5"/>
  <c r="A50" i="5"/>
  <c r="AK49" i="5"/>
  <c r="AK49" i="5" a="1"/>
  <c r="AJ49" i="5" a="1"/>
  <c r="AJ49" i="5" s="1"/>
  <c r="AI49" i="5" a="1"/>
  <c r="AI49" i="5" s="1"/>
  <c r="AF49" i="5"/>
  <c r="AB49" i="5"/>
  <c r="V49" i="5"/>
  <c r="R49" i="5" a="1"/>
  <c r="R49" i="5" s="1"/>
  <c r="Q49" i="5" a="1"/>
  <c r="Q49" i="5" s="1"/>
  <c r="P49" i="5"/>
  <c r="L49" i="5" a="1"/>
  <c r="L49" i="5" s="1"/>
  <c r="K49" i="5" a="1"/>
  <c r="K49" i="5" s="1"/>
  <c r="J49" i="5"/>
  <c r="H49" i="5"/>
  <c r="AF49" i="5" s="1" a="1"/>
  <c r="G49" i="5"/>
  <c r="F49" i="5"/>
  <c r="F49" i="5" a="1"/>
  <c r="B49" i="5"/>
  <c r="A49" i="5"/>
  <c r="AK48" i="5" a="1"/>
  <c r="AK48" i="5" s="1"/>
  <c r="AJ48" i="5" a="1"/>
  <c r="AJ48" i="5" s="1"/>
  <c r="AI48" i="5" a="1"/>
  <c r="AI48" i="5" s="1"/>
  <c r="AE48" i="5" a="1"/>
  <c r="AE48" i="5" s="1"/>
  <c r="Y48" i="5"/>
  <c r="W48" i="5"/>
  <c r="AA48" i="5" s="1"/>
  <c r="V48" i="5"/>
  <c r="R48" i="5" a="1"/>
  <c r="R48" i="5" s="1"/>
  <c r="Q48" i="5" a="1"/>
  <c r="Q48" i="5" s="1"/>
  <c r="P48" i="5"/>
  <c r="L48" i="5" a="1"/>
  <c r="L48" i="5" s="1"/>
  <c r="K48" i="5" a="1"/>
  <c r="K48" i="5" s="1"/>
  <c r="H48" i="5"/>
  <c r="G48" i="5"/>
  <c r="F48" i="5"/>
  <c r="F48" i="5" a="1"/>
  <c r="B48" i="5"/>
  <c r="A48" i="5"/>
  <c r="AK47" i="5" a="1"/>
  <c r="AK47" i="5" s="1"/>
  <c r="AJ47" i="5" a="1"/>
  <c r="AJ47" i="5" s="1"/>
  <c r="AI47" i="5" a="1"/>
  <c r="AI47" i="5" s="1"/>
  <c r="AF47" i="5"/>
  <c r="AF47" i="5" a="1"/>
  <c r="AE47" i="5" a="1"/>
  <c r="AE47" i="5" s="1"/>
  <c r="AC47" i="5"/>
  <c r="AG47" i="5" s="1"/>
  <c r="AH47" i="5" s="1"/>
  <c r="AB47" i="5"/>
  <c r="Y47" i="5"/>
  <c r="Z47" i="5" s="1"/>
  <c r="W47" i="5"/>
  <c r="AA47" i="5" s="1"/>
  <c r="V47" i="5"/>
  <c r="X47" i="5" s="1"/>
  <c r="R47" i="5" a="1"/>
  <c r="R47" i="5" s="1"/>
  <c r="Q47" i="5" a="1"/>
  <c r="Q47" i="5" s="1"/>
  <c r="P47" i="5"/>
  <c r="L47" i="5" a="1"/>
  <c r="L47" i="5" s="1"/>
  <c r="K47" i="5" a="1"/>
  <c r="K47" i="5" s="1"/>
  <c r="J47" i="5"/>
  <c r="H47" i="5"/>
  <c r="G47" i="5"/>
  <c r="F47" i="5"/>
  <c r="F47" i="5" a="1"/>
  <c r="B47" i="5"/>
  <c r="A47" i="5"/>
  <c r="AK46" i="5" a="1"/>
  <c r="AK46" i="5" s="1"/>
  <c r="AJ46" i="5" a="1"/>
  <c r="AJ46" i="5" s="1"/>
  <c r="AI46" i="5" a="1"/>
  <c r="AI46" i="5" s="1"/>
  <c r="AF46" i="5"/>
  <c r="AF46" i="5" a="1"/>
  <c r="AE46" i="5" a="1"/>
  <c r="AE46" i="5" s="1"/>
  <c r="Z46" i="5"/>
  <c r="Y46" i="5"/>
  <c r="W46" i="5"/>
  <c r="V46" i="5"/>
  <c r="X46" i="5" s="1"/>
  <c r="R46" i="5"/>
  <c r="R46" i="5" a="1"/>
  <c r="Q46" i="5"/>
  <c r="Q46" i="5" a="1"/>
  <c r="P46" i="5"/>
  <c r="L46" i="5" a="1"/>
  <c r="L46" i="5" s="1"/>
  <c r="K46" i="5" a="1"/>
  <c r="K46" i="5" s="1"/>
  <c r="J46" i="5"/>
  <c r="H46" i="5"/>
  <c r="AB46" i="5" s="1"/>
  <c r="G46" i="5"/>
  <c r="F46" i="5"/>
  <c r="F46" i="5" a="1"/>
  <c r="B46" i="5"/>
  <c r="A46" i="5"/>
  <c r="AK45" i="5"/>
  <c r="AK45" i="5" a="1"/>
  <c r="AJ45" i="5" a="1"/>
  <c r="AJ45" i="5" s="1"/>
  <c r="AI45" i="5" a="1"/>
  <c r="AI45" i="5" s="1"/>
  <c r="AF45" i="5"/>
  <c r="AF45" i="5" a="1"/>
  <c r="AE45" i="5" a="1"/>
  <c r="AE45" i="5" s="1"/>
  <c r="AB45" i="5"/>
  <c r="Y45" i="5"/>
  <c r="Z45" i="5" s="1"/>
  <c r="W45" i="5"/>
  <c r="AA45" i="5" s="1"/>
  <c r="AC45" i="5" s="1"/>
  <c r="V45" i="5"/>
  <c r="X45" i="5" s="1"/>
  <c r="R45" i="5" a="1"/>
  <c r="R45" i="5" s="1"/>
  <c r="Q45" i="5" a="1"/>
  <c r="Q45" i="5" s="1"/>
  <c r="P45" i="5"/>
  <c r="L45" i="5" a="1"/>
  <c r="L45" i="5" s="1"/>
  <c r="K45" i="5" a="1"/>
  <c r="K45" i="5" s="1"/>
  <c r="J45" i="5"/>
  <c r="H45" i="5"/>
  <c r="G45" i="5"/>
  <c r="F45" i="5"/>
  <c r="F45" i="5" a="1"/>
  <c r="B45" i="5"/>
  <c r="A45" i="5"/>
  <c r="AK44" i="5" a="1"/>
  <c r="AK44" i="5" s="1"/>
  <c r="AJ44" i="5" a="1"/>
  <c r="AJ44" i="5" s="1"/>
  <c r="AI44" i="5" a="1"/>
  <c r="AI44" i="5" s="1"/>
  <c r="AF44" i="5" a="1"/>
  <c r="AF44" i="5" s="1"/>
  <c r="AE44" i="5"/>
  <c r="AE44" i="5" a="1"/>
  <c r="W44" i="5"/>
  <c r="AA44" i="5" s="1"/>
  <c r="V44" i="5"/>
  <c r="R44" i="5" a="1"/>
  <c r="R44" i="5" s="1"/>
  <c r="Q44" i="5" a="1"/>
  <c r="Q44" i="5" s="1"/>
  <c r="P44" i="5"/>
  <c r="L44" i="5" a="1"/>
  <c r="L44" i="5" s="1"/>
  <c r="K44" i="5"/>
  <c r="K44" i="5" a="1"/>
  <c r="J44" i="5"/>
  <c r="H44" i="5"/>
  <c r="G44" i="5"/>
  <c r="F44" i="5"/>
  <c r="F44" i="5" a="1"/>
  <c r="B44" i="5"/>
  <c r="A44" i="5"/>
  <c r="AK43" i="5" a="1"/>
  <c r="AK43" i="5" s="1"/>
  <c r="AJ43" i="5" a="1"/>
  <c r="AJ43" i="5" s="1"/>
  <c r="AI43" i="5" a="1"/>
  <c r="AI43" i="5" s="1"/>
  <c r="AF43" i="5" a="1"/>
  <c r="AF43" i="5" s="1"/>
  <c r="AE43" i="5" a="1"/>
  <c r="AE43" i="5" s="1"/>
  <c r="AB43" i="5"/>
  <c r="Z43" i="5"/>
  <c r="W43" i="5"/>
  <c r="V43" i="5"/>
  <c r="X43" i="5" s="1"/>
  <c r="R43" i="5"/>
  <c r="R43" i="5" a="1"/>
  <c r="Q43" i="5" a="1"/>
  <c r="Q43" i="5" s="1"/>
  <c r="T43" i="5" s="1"/>
  <c r="P43" i="5"/>
  <c r="L43" i="5" a="1"/>
  <c r="L43" i="5" s="1"/>
  <c r="K43" i="5" a="1"/>
  <c r="K43" i="5" s="1"/>
  <c r="N43" i="5" s="1"/>
  <c r="J43" i="5"/>
  <c r="H43" i="5"/>
  <c r="Y43" i="5" s="1"/>
  <c r="G43" i="5"/>
  <c r="F43" i="5"/>
  <c r="F43" i="5" a="1"/>
  <c r="B43" i="5"/>
  <c r="A43" i="5"/>
  <c r="AK42" i="5" a="1"/>
  <c r="AK42" i="5" s="1"/>
  <c r="AJ42" i="5" a="1"/>
  <c r="AJ42" i="5" s="1"/>
  <c r="AI42" i="5" a="1"/>
  <c r="AI42" i="5" s="1"/>
  <c r="AF42" i="5"/>
  <c r="AF42" i="5" a="1"/>
  <c r="AE42" i="5"/>
  <c r="AE42" i="5" a="1"/>
  <c r="AC42" i="5"/>
  <c r="AG42" i="5" s="1"/>
  <c r="AH42" i="5" s="1"/>
  <c r="AB42" i="5"/>
  <c r="Z42" i="5"/>
  <c r="Y42" i="5"/>
  <c r="X42" i="5"/>
  <c r="W42" i="5"/>
  <c r="AA42" i="5" s="1"/>
  <c r="V42" i="5"/>
  <c r="R42" i="5"/>
  <c r="R42" i="5" a="1"/>
  <c r="Q42" i="5"/>
  <c r="T42" i="5" s="1"/>
  <c r="Q42" i="5" a="1"/>
  <c r="P42" i="5"/>
  <c r="L42" i="5" a="1"/>
  <c r="L42" i="5" s="1"/>
  <c r="K42" i="5" a="1"/>
  <c r="K42" i="5" s="1"/>
  <c r="N42" i="5" s="1"/>
  <c r="J42" i="5"/>
  <c r="H42" i="5"/>
  <c r="G42" i="5"/>
  <c r="F42" i="5"/>
  <c r="F42" i="5" a="1"/>
  <c r="B42" i="5"/>
  <c r="A42" i="5"/>
  <c r="AK41" i="5" a="1"/>
  <c r="AK41" i="5" s="1"/>
  <c r="AI41" i="5" a="1"/>
  <c r="AI41" i="5" s="1"/>
  <c r="V41" i="5"/>
  <c r="R41" i="5" a="1"/>
  <c r="R41" i="5" s="1"/>
  <c r="L41" i="5" a="1"/>
  <c r="L41" i="5" s="1"/>
  <c r="H41" i="5"/>
  <c r="AB41" i="5" s="1"/>
  <c r="G41" i="5"/>
  <c r="F41" i="5"/>
  <c r="F41" i="5" a="1"/>
  <c r="B41" i="5"/>
  <c r="A41" i="5"/>
  <c r="AK40" i="5" a="1"/>
  <c r="AK40" i="5" s="1"/>
  <c r="AJ40" i="5" a="1"/>
  <c r="AJ40" i="5" s="1"/>
  <c r="AI40" i="5" a="1"/>
  <c r="AI40" i="5" s="1"/>
  <c r="AF40" i="5"/>
  <c r="AF40" i="5" a="1"/>
  <c r="AE40" i="5"/>
  <c r="AE40" i="5" a="1"/>
  <c r="AB40" i="5"/>
  <c r="Y40" i="5"/>
  <c r="X40" i="5"/>
  <c r="W40" i="5"/>
  <c r="AA40" i="5" s="1"/>
  <c r="V40" i="5"/>
  <c r="R40" i="5" a="1"/>
  <c r="R40" i="5" s="1"/>
  <c r="Q40" i="5"/>
  <c r="Q40" i="5" a="1"/>
  <c r="P40" i="5"/>
  <c r="L40" i="5" a="1"/>
  <c r="L40" i="5" s="1"/>
  <c r="K40" i="5" a="1"/>
  <c r="K40" i="5" s="1"/>
  <c r="J40" i="5"/>
  <c r="H40" i="5"/>
  <c r="G40" i="5"/>
  <c r="F40" i="5"/>
  <c r="F40" i="5" a="1"/>
  <c r="B40" i="5"/>
  <c r="A40" i="5"/>
  <c r="AK39" i="5" a="1"/>
  <c r="AK39" i="5" s="1"/>
  <c r="AI39" i="5" a="1"/>
  <c r="AI39" i="5" s="1"/>
  <c r="AF39" i="5"/>
  <c r="AF39" i="5" a="1"/>
  <c r="AB39" i="5"/>
  <c r="Y39" i="5"/>
  <c r="Z39" i="5" s="1"/>
  <c r="V39" i="5"/>
  <c r="R39" i="5" a="1"/>
  <c r="R39" i="5" s="1"/>
  <c r="P39" i="5"/>
  <c r="L39" i="5" a="1"/>
  <c r="L39" i="5" s="1"/>
  <c r="J39" i="5"/>
  <c r="H39" i="5"/>
  <c r="G39" i="5"/>
  <c r="F39" i="5"/>
  <c r="F39" i="5" a="1"/>
  <c r="B39" i="5"/>
  <c r="A39" i="5"/>
  <c r="AK38" i="5"/>
  <c r="AK38" i="5" a="1"/>
  <c r="AJ38" i="5" a="1"/>
  <c r="AJ38" i="5" s="1"/>
  <c r="AI38" i="5" a="1"/>
  <c r="AI38" i="5" s="1"/>
  <c r="AF38" i="5" a="1"/>
  <c r="AF38" i="5" s="1"/>
  <c r="AE38" i="5" a="1"/>
  <c r="AE38" i="5" s="1"/>
  <c r="AB38" i="5"/>
  <c r="Y38" i="5"/>
  <c r="Z38" i="5" s="1"/>
  <c r="W38" i="5"/>
  <c r="AA38" i="5" s="1"/>
  <c r="V38" i="5"/>
  <c r="R38" i="5" a="1"/>
  <c r="R38" i="5" s="1"/>
  <c r="Q38" i="5" a="1"/>
  <c r="Q38" i="5" s="1"/>
  <c r="P38" i="5"/>
  <c r="L38" i="5"/>
  <c r="L38" i="5" a="1"/>
  <c r="K38" i="5" a="1"/>
  <c r="K38" i="5" s="1"/>
  <c r="J38" i="5"/>
  <c r="H38" i="5"/>
  <c r="G38" i="5"/>
  <c r="F38" i="5" a="1"/>
  <c r="F38" i="5" s="1"/>
  <c r="B38" i="5"/>
  <c r="A38" i="5"/>
  <c r="AK37" i="5" a="1"/>
  <c r="AK37" i="5" s="1"/>
  <c r="AJ37" i="5" a="1"/>
  <c r="AJ37" i="5" s="1"/>
  <c r="AI37" i="5" a="1"/>
  <c r="AI37" i="5" s="1"/>
  <c r="V37" i="5"/>
  <c r="R37" i="5" a="1"/>
  <c r="R37" i="5" s="1"/>
  <c r="Q37" i="5" a="1"/>
  <c r="Q37" i="5" s="1"/>
  <c r="P37" i="5"/>
  <c r="L37" i="5" a="1"/>
  <c r="L37" i="5" s="1"/>
  <c r="K37" i="5" a="1"/>
  <c r="K37" i="5" s="1"/>
  <c r="J37" i="5"/>
  <c r="H37" i="5"/>
  <c r="AF37" i="5" s="1" a="1"/>
  <c r="AF37" i="5" s="1"/>
  <c r="G37" i="5"/>
  <c r="F37" i="5"/>
  <c r="F37" i="5" a="1"/>
  <c r="B37" i="5"/>
  <c r="A37" i="5"/>
  <c r="AK36" i="5" a="1"/>
  <c r="AK36" i="5" s="1"/>
  <c r="AJ36" i="5" a="1"/>
  <c r="AJ36" i="5" s="1"/>
  <c r="AI36" i="5"/>
  <c r="AI36" i="5" a="1"/>
  <c r="AE36" i="5" a="1"/>
  <c r="AE36" i="5" s="1"/>
  <c r="W36" i="5"/>
  <c r="R36" i="5" a="1"/>
  <c r="R36" i="5" s="1"/>
  <c r="Q36" i="5" a="1"/>
  <c r="Q36" i="5" s="1"/>
  <c r="L36" i="5" a="1"/>
  <c r="L36" i="5" s="1"/>
  <c r="K36" i="5" a="1"/>
  <c r="K36" i="5" s="1"/>
  <c r="H36" i="5"/>
  <c r="V36" i="5" s="1"/>
  <c r="X36" i="5" s="1"/>
  <c r="G36" i="5"/>
  <c r="F36" i="5"/>
  <c r="F36" i="5" a="1"/>
  <c r="B36" i="5"/>
  <c r="A36" i="5"/>
  <c r="AK35" i="5" a="1"/>
  <c r="AK35" i="5" s="1"/>
  <c r="AJ35" i="5" a="1"/>
  <c r="AJ35" i="5" s="1"/>
  <c r="AI35" i="5"/>
  <c r="AI35" i="5" a="1"/>
  <c r="V35" i="5"/>
  <c r="R35" i="5" a="1"/>
  <c r="R35" i="5" s="1"/>
  <c r="Q35" i="5" a="1"/>
  <c r="Q35" i="5" s="1"/>
  <c r="P35" i="5"/>
  <c r="L35" i="5" a="1"/>
  <c r="L35" i="5" s="1"/>
  <c r="K35" i="5" a="1"/>
  <c r="K35" i="5" s="1"/>
  <c r="J35" i="5"/>
  <c r="H35" i="5"/>
  <c r="AF35" i="5" s="1" a="1"/>
  <c r="AF35" i="5" s="1"/>
  <c r="G35" i="5"/>
  <c r="F35" i="5"/>
  <c r="F35" i="5" a="1"/>
  <c r="B35" i="5"/>
  <c r="A35" i="5"/>
  <c r="AK34" i="5"/>
  <c r="AK34" i="5" a="1"/>
  <c r="AJ34" i="5" a="1"/>
  <c r="AJ34" i="5" s="1"/>
  <c r="AI34" i="5" a="1"/>
  <c r="AI34" i="5" s="1"/>
  <c r="AE34" i="5" a="1"/>
  <c r="AE34" i="5" s="1"/>
  <c r="W34" i="5"/>
  <c r="R34" i="5" a="1"/>
  <c r="R34" i="5" s="1"/>
  <c r="Q34" i="5" a="1"/>
  <c r="Q34" i="5" s="1"/>
  <c r="L34" i="5" a="1"/>
  <c r="L34" i="5" s="1"/>
  <c r="K34" i="5" a="1"/>
  <c r="K34" i="5" s="1"/>
  <c r="H34" i="5"/>
  <c r="V34" i="5" s="1"/>
  <c r="X34" i="5" s="1"/>
  <c r="G34" i="5"/>
  <c r="F34" i="5"/>
  <c r="F34" i="5" a="1"/>
  <c r="B34" i="5"/>
  <c r="A34" i="5"/>
  <c r="AK33" i="5" a="1"/>
  <c r="AK33" i="5" s="1"/>
  <c r="AJ33" i="5" a="1"/>
  <c r="AJ33" i="5" s="1"/>
  <c r="AI33" i="5" a="1"/>
  <c r="AI33" i="5" s="1"/>
  <c r="V33" i="5"/>
  <c r="R33" i="5" a="1"/>
  <c r="R33" i="5" s="1"/>
  <c r="Q33" i="5" a="1"/>
  <c r="Q33" i="5" s="1"/>
  <c r="P33" i="5"/>
  <c r="L33" i="5" a="1"/>
  <c r="L33" i="5" s="1"/>
  <c r="K33" i="5" a="1"/>
  <c r="K33" i="5" s="1"/>
  <c r="J33" i="5"/>
  <c r="H33" i="5"/>
  <c r="AF33" i="5" s="1" a="1"/>
  <c r="AF33" i="5" s="1"/>
  <c r="G33" i="5"/>
  <c r="F33" i="5"/>
  <c r="F33" i="5" a="1"/>
  <c r="B33" i="5"/>
  <c r="A33" i="5"/>
  <c r="AK32" i="5"/>
  <c r="AK32" i="5" a="1"/>
  <c r="AJ32" i="5" a="1"/>
  <c r="AJ32" i="5" s="1"/>
  <c r="AI32" i="5" a="1"/>
  <c r="AI32" i="5" s="1"/>
  <c r="AE32" i="5" a="1"/>
  <c r="AE32" i="5" s="1"/>
  <c r="W32" i="5"/>
  <c r="R32" i="5"/>
  <c r="R32" i="5" a="1"/>
  <c r="Q32" i="5" a="1"/>
  <c r="Q32" i="5" s="1"/>
  <c r="L32" i="5" a="1"/>
  <c r="L32" i="5" s="1"/>
  <c r="K32" i="5" a="1"/>
  <c r="K32" i="5" s="1"/>
  <c r="H32" i="5"/>
  <c r="V32" i="5" s="1"/>
  <c r="X32" i="5" s="1"/>
  <c r="G32" i="5"/>
  <c r="F32" i="5"/>
  <c r="F32" i="5" a="1"/>
  <c r="B32" i="5"/>
  <c r="A32" i="5"/>
  <c r="AK31" i="5" a="1"/>
  <c r="AK31" i="5" s="1"/>
  <c r="AJ31" i="5" a="1"/>
  <c r="AJ31" i="5" s="1"/>
  <c r="AI31" i="5" a="1"/>
  <c r="AI31" i="5" s="1"/>
  <c r="V31" i="5"/>
  <c r="R31" i="5" a="1"/>
  <c r="R31" i="5" s="1"/>
  <c r="Q31" i="5" a="1"/>
  <c r="Q31" i="5" s="1"/>
  <c r="P31" i="5"/>
  <c r="L31" i="5" a="1"/>
  <c r="L31" i="5" s="1"/>
  <c r="K31" i="5" a="1"/>
  <c r="K31" i="5" s="1"/>
  <c r="J31" i="5"/>
  <c r="H31" i="5"/>
  <c r="AF31" i="5" s="1" a="1"/>
  <c r="AF31" i="5" s="1"/>
  <c r="G31" i="5"/>
  <c r="F31" i="5"/>
  <c r="F31" i="5" a="1"/>
  <c r="B31" i="5"/>
  <c r="A31" i="5"/>
  <c r="AK30" i="5" a="1"/>
  <c r="AK30" i="5" s="1"/>
  <c r="AJ30" i="5" a="1"/>
  <c r="AJ30" i="5" s="1"/>
  <c r="AI30" i="5" a="1"/>
  <c r="AI30" i="5" s="1"/>
  <c r="AF30" i="5"/>
  <c r="AF30" i="5" a="1"/>
  <c r="AE30" i="5" a="1"/>
  <c r="AE30" i="5" s="1"/>
  <c r="Z30" i="5"/>
  <c r="Y30" i="5"/>
  <c r="W30" i="5"/>
  <c r="AA30" i="5" s="1"/>
  <c r="R30" i="5" a="1"/>
  <c r="R30" i="5" s="1"/>
  <c r="Q30" i="5" a="1"/>
  <c r="Q30" i="5" s="1"/>
  <c r="L30" i="5" a="1"/>
  <c r="L30" i="5" s="1"/>
  <c r="K30" i="5" a="1"/>
  <c r="K30" i="5" s="1"/>
  <c r="H30" i="5"/>
  <c r="V30" i="5" s="1"/>
  <c r="G30" i="5"/>
  <c r="F30" i="5"/>
  <c r="F30" i="5" a="1"/>
  <c r="B30" i="5"/>
  <c r="A30" i="5"/>
  <c r="AK29" i="5" a="1"/>
  <c r="AK29" i="5" s="1"/>
  <c r="AJ29" i="5" a="1"/>
  <c r="AJ29" i="5" s="1"/>
  <c r="AI29" i="5" a="1"/>
  <c r="AI29" i="5" s="1"/>
  <c r="V29" i="5"/>
  <c r="R29" i="5" a="1"/>
  <c r="R29" i="5" s="1"/>
  <c r="Q29" i="5" a="1"/>
  <c r="Q29" i="5" s="1"/>
  <c r="P29" i="5"/>
  <c r="L29" i="5" a="1"/>
  <c r="L29" i="5" s="1"/>
  <c r="K29" i="5" a="1"/>
  <c r="K29" i="5" s="1"/>
  <c r="J29" i="5"/>
  <c r="H29" i="5"/>
  <c r="AF29" i="5" s="1" a="1"/>
  <c r="AF29" i="5" s="1"/>
  <c r="G29" i="5"/>
  <c r="F29" i="5"/>
  <c r="F29" i="5" a="1"/>
  <c r="B29" i="5"/>
  <c r="A29" i="5"/>
  <c r="AK28" i="5" a="1"/>
  <c r="AK28" i="5" s="1"/>
  <c r="AJ28" i="5" a="1"/>
  <c r="AJ28" i="5" s="1"/>
  <c r="AI28" i="5" a="1"/>
  <c r="AI28" i="5" s="1"/>
  <c r="AF28" i="5" a="1"/>
  <c r="AF28" i="5" s="1"/>
  <c r="AE28" i="5" a="1"/>
  <c r="AE28" i="5" s="1"/>
  <c r="Y28" i="5"/>
  <c r="W28" i="5"/>
  <c r="R28" i="5" a="1"/>
  <c r="R28" i="5" s="1"/>
  <c r="Q28" i="5" a="1"/>
  <c r="Q28" i="5" s="1"/>
  <c r="L28" i="5" a="1"/>
  <c r="L28" i="5" s="1"/>
  <c r="K28" i="5" a="1"/>
  <c r="K28" i="5" s="1"/>
  <c r="H28" i="5"/>
  <c r="V28" i="5" s="1"/>
  <c r="X28" i="5" s="1"/>
  <c r="G28" i="5"/>
  <c r="F28" i="5"/>
  <c r="F28" i="5" a="1"/>
  <c r="B28" i="5"/>
  <c r="A28" i="5"/>
  <c r="AK27" i="5" a="1"/>
  <c r="AK27" i="5" s="1"/>
  <c r="AJ27" i="5" a="1"/>
  <c r="AJ27" i="5" s="1"/>
  <c r="AI27" i="5" a="1"/>
  <c r="AI27" i="5" s="1"/>
  <c r="R27" i="5" a="1"/>
  <c r="R27" i="5" s="1"/>
  <c r="Q27" i="5" a="1"/>
  <c r="Q27" i="5" s="1"/>
  <c r="L27" i="5" a="1"/>
  <c r="L27" i="5" s="1"/>
  <c r="K27" i="5" a="1"/>
  <c r="K27" i="5" s="1"/>
  <c r="H27" i="5"/>
  <c r="G27" i="5"/>
  <c r="F27" i="5"/>
  <c r="F27" i="5" a="1"/>
  <c r="B27" i="5"/>
  <c r="A27" i="5"/>
  <c r="AK26" i="5" a="1"/>
  <c r="AK26" i="5" s="1"/>
  <c r="AJ26" i="5" a="1"/>
  <c r="AJ26" i="5" s="1"/>
  <c r="AI26" i="5" a="1"/>
  <c r="AI26" i="5" s="1"/>
  <c r="AF26" i="5" a="1"/>
  <c r="AF26" i="5" s="1"/>
  <c r="AE26" i="5" a="1"/>
  <c r="AE26" i="5" s="1"/>
  <c r="Y26" i="5"/>
  <c r="Z26" i="5" s="1"/>
  <c r="W26" i="5"/>
  <c r="R26" i="5" a="1"/>
  <c r="R26" i="5" s="1"/>
  <c r="Q26" i="5" a="1"/>
  <c r="Q26" i="5" s="1"/>
  <c r="L26" i="5" a="1"/>
  <c r="L26" i="5" s="1"/>
  <c r="K26" i="5" a="1"/>
  <c r="K26" i="5" s="1"/>
  <c r="H26" i="5"/>
  <c r="V26" i="5" s="1"/>
  <c r="X26" i="5" s="1"/>
  <c r="G26" i="5"/>
  <c r="F26" i="5" a="1"/>
  <c r="F26" i="5" s="1"/>
  <c r="B26" i="5"/>
  <c r="A26" i="5"/>
  <c r="G25" i="5"/>
  <c r="B25" i="5"/>
  <c r="A25" i="5"/>
  <c r="AK24" i="5" a="1"/>
  <c r="AK24" i="5" s="1"/>
  <c r="R24" i="5" a="1"/>
  <c r="R24" i="5" s="1"/>
  <c r="L24" i="5" a="1"/>
  <c r="L24" i="5" s="1"/>
  <c r="G24" i="5"/>
  <c r="AJ24" i="5" s="1" a="1"/>
  <c r="AJ24" i="5" s="1"/>
  <c r="F24" i="5" a="1"/>
  <c r="F24" i="5" s="1"/>
  <c r="B24" i="5"/>
  <c r="A24" i="5"/>
  <c r="AI23" i="5" a="1"/>
  <c r="AI23" i="5" s="1"/>
  <c r="H23" i="5"/>
  <c r="G23" i="5"/>
  <c r="AB23" i="5" s="1"/>
  <c r="B23" i="5"/>
  <c r="A23" i="5"/>
  <c r="AK22" i="5" a="1"/>
  <c r="AK22" i="5" s="1"/>
  <c r="R22" i="5" a="1"/>
  <c r="R22" i="5" s="1"/>
  <c r="L22" i="5" a="1"/>
  <c r="L22" i="5" s="1"/>
  <c r="G22" i="5"/>
  <c r="AJ22" i="5" s="1" a="1"/>
  <c r="AJ22" i="5" s="1"/>
  <c r="F22" i="5" a="1"/>
  <c r="F22" i="5" s="1"/>
  <c r="B22" i="5"/>
  <c r="A22" i="5"/>
  <c r="AI21" i="5" a="1"/>
  <c r="AI21" i="5" s="1"/>
  <c r="G21" i="5"/>
  <c r="F21" i="5" a="1"/>
  <c r="F21" i="5" s="1"/>
  <c r="B21" i="5"/>
  <c r="A21" i="5"/>
  <c r="AK20" i="5" a="1"/>
  <c r="AK20" i="5" s="1"/>
  <c r="R20" i="5" a="1"/>
  <c r="R20" i="5" s="1"/>
  <c r="L20" i="5" a="1"/>
  <c r="L20" i="5" s="1"/>
  <c r="G20" i="5"/>
  <c r="AJ20" i="5" s="1" a="1"/>
  <c r="AJ20" i="5" s="1"/>
  <c r="F20" i="5" a="1"/>
  <c r="F20" i="5" s="1"/>
  <c r="B20" i="5"/>
  <c r="A20" i="5"/>
  <c r="G19" i="5"/>
  <c r="AI19" i="5" s="1" a="1"/>
  <c r="AI19" i="5" s="1"/>
  <c r="F19" i="5" a="1"/>
  <c r="F19" i="5" s="1"/>
  <c r="B19" i="5"/>
  <c r="A19" i="5"/>
  <c r="AK18" i="5" a="1"/>
  <c r="AK18" i="5" s="1"/>
  <c r="R18" i="5" a="1"/>
  <c r="R18" i="5" s="1"/>
  <c r="L18" i="5" a="1"/>
  <c r="L18" i="5" s="1"/>
  <c r="G18" i="5"/>
  <c r="AJ18" i="5" s="1" a="1"/>
  <c r="AJ18" i="5" s="1"/>
  <c r="F18" i="5" a="1"/>
  <c r="F18" i="5" s="1"/>
  <c r="B18" i="5"/>
  <c r="A18" i="5"/>
  <c r="G17" i="5"/>
  <c r="F17" i="5" a="1"/>
  <c r="F17" i="5" s="1"/>
  <c r="B17" i="5"/>
  <c r="A17" i="5"/>
  <c r="AK16" i="5" a="1"/>
  <c r="AK16" i="5" s="1"/>
  <c r="R16" i="5" a="1"/>
  <c r="R16" i="5" s="1"/>
  <c r="L16" i="5" a="1"/>
  <c r="L16" i="5" s="1"/>
  <c r="G16" i="5"/>
  <c r="AJ16" i="5" s="1" a="1"/>
  <c r="AJ16" i="5" s="1"/>
  <c r="F16" i="5" a="1"/>
  <c r="F16" i="5" s="1"/>
  <c r="B16" i="5"/>
  <c r="A16" i="5"/>
  <c r="AI15" i="5" a="1"/>
  <c r="AI15" i="5" s="1"/>
  <c r="P15" i="5"/>
  <c r="H15" i="5"/>
  <c r="AB15" i="5" s="1"/>
  <c r="G15" i="5"/>
  <c r="F15" i="5" a="1"/>
  <c r="F15" i="5" s="1"/>
  <c r="B15" i="5"/>
  <c r="A15" i="5"/>
  <c r="AK14" i="5" a="1"/>
  <c r="AK14" i="5" s="1"/>
  <c r="R14" i="5" a="1"/>
  <c r="R14" i="5" s="1"/>
  <c r="L14" i="5"/>
  <c r="L14" i="5" a="1"/>
  <c r="G14" i="5"/>
  <c r="AJ14" i="5" s="1" a="1"/>
  <c r="AJ14" i="5" s="1"/>
  <c r="F14" i="5" a="1"/>
  <c r="F14" i="5" s="1"/>
  <c r="B14" i="5"/>
  <c r="A14" i="5"/>
  <c r="F7" i="5" a="1"/>
  <c r="F7" i="5" s="1"/>
  <c r="F6" i="5" a="1"/>
  <c r="F6" i="5" s="1"/>
  <c r="F5" i="5" a="1"/>
  <c r="F5" i="5" s="1"/>
  <c r="F4" i="5" a="1"/>
  <c r="F4" i="5" s="1"/>
  <c r="G10" i="5"/>
  <c r="G11" i="5"/>
  <c r="H11" i="5"/>
  <c r="G12" i="5"/>
  <c r="H12" i="5"/>
  <c r="G13" i="5"/>
  <c r="H13" i="5" s="1"/>
  <c r="A10" i="5"/>
  <c r="B10" i="5"/>
  <c r="A11" i="5"/>
  <c r="B11" i="5"/>
  <c r="A12" i="5"/>
  <c r="B12" i="5"/>
  <c r="A13" i="5"/>
  <c r="B13" i="5"/>
  <c r="D2" i="1"/>
  <c r="N31" i="5" l="1"/>
  <c r="AL28" i="5"/>
  <c r="AL43" i="5"/>
  <c r="AC38" i="5"/>
  <c r="AC40" i="5"/>
  <c r="AG40" i="5" s="1"/>
  <c r="AH40" i="5" s="1"/>
  <c r="AL47" i="5"/>
  <c r="N37" i="5"/>
  <c r="AL46" i="5"/>
  <c r="AL42" i="5"/>
  <c r="T48" i="5"/>
  <c r="T49" i="5"/>
  <c r="AL40" i="5"/>
  <c r="AL45" i="5"/>
  <c r="AG45" i="5"/>
  <c r="AH45" i="5" s="1"/>
  <c r="AD45" i="5"/>
  <c r="AG38" i="5"/>
  <c r="AH38" i="5" s="1"/>
  <c r="AD38" i="5"/>
  <c r="P41" i="5"/>
  <c r="Z48" i="5"/>
  <c r="J41" i="5"/>
  <c r="Y41" i="5"/>
  <c r="AA43" i="5"/>
  <c r="AC43" i="5" s="1"/>
  <c r="AA46" i="5"/>
  <c r="AC46" i="5" s="1"/>
  <c r="AF41" i="5" a="1"/>
  <c r="AF41" i="5" s="1"/>
  <c r="AD47" i="5"/>
  <c r="AL26" i="5"/>
  <c r="AL32" i="5"/>
  <c r="X38" i="5"/>
  <c r="AL38" i="5" s="1"/>
  <c r="X44" i="5"/>
  <c r="AL44" i="5" s="1"/>
  <c r="Z40" i="5"/>
  <c r="AD42" i="5"/>
  <c r="X48" i="5"/>
  <c r="AL48" i="5" s="1"/>
  <c r="AJ39" i="5" a="1"/>
  <c r="AJ39" i="5" s="1"/>
  <c r="AE39" i="5" a="1"/>
  <c r="AE39" i="5" s="1"/>
  <c r="W39" i="5"/>
  <c r="AA39" i="5" s="1"/>
  <c r="AC39" i="5" s="1"/>
  <c r="Q39" i="5" a="1"/>
  <c r="Q39" i="5" s="1"/>
  <c r="K39" i="5" a="1"/>
  <c r="K39" i="5" s="1"/>
  <c r="AJ41" i="5" a="1"/>
  <c r="AJ41" i="5" s="1"/>
  <c r="AE41" i="5" a="1"/>
  <c r="AE41" i="5" s="1"/>
  <c r="W41" i="5"/>
  <c r="AA41" i="5" s="1"/>
  <c r="Q41" i="5" a="1"/>
  <c r="Q41" i="5" s="1"/>
  <c r="K41" i="5" a="1"/>
  <c r="K41" i="5" s="1"/>
  <c r="AB44" i="5"/>
  <c r="Y44" i="5"/>
  <c r="AB48" i="5"/>
  <c r="AC48" i="5" s="1"/>
  <c r="AF48" i="5" a="1"/>
  <c r="AF48" i="5" s="1"/>
  <c r="J48" i="5"/>
  <c r="N48" i="5" s="1"/>
  <c r="AJ62" i="5" a="1"/>
  <c r="AJ62" i="5" s="1"/>
  <c r="W62" i="5"/>
  <c r="Q62" i="5" a="1"/>
  <c r="Q62" i="5" s="1"/>
  <c r="K62" i="5" a="1"/>
  <c r="K62" i="5" s="1"/>
  <c r="AI62" i="5" a="1"/>
  <c r="AI62" i="5" s="1"/>
  <c r="H62" i="5"/>
  <c r="P62" i="5" s="1"/>
  <c r="AK62" i="5" a="1"/>
  <c r="AK62" i="5" s="1"/>
  <c r="AF62" i="5" a="1"/>
  <c r="AF62" i="5" s="1"/>
  <c r="Y62" i="5"/>
  <c r="R62" i="5" a="1"/>
  <c r="R62" i="5" s="1"/>
  <c r="L62" i="5" a="1"/>
  <c r="L62" i="5" s="1"/>
  <c r="AB62" i="5"/>
  <c r="V62" i="5"/>
  <c r="X62" i="5" s="1"/>
  <c r="J62" i="5"/>
  <c r="AK63" i="5" a="1"/>
  <c r="AK63" i="5" s="1"/>
  <c r="AF63" i="5" a="1"/>
  <c r="AF63" i="5" s="1"/>
  <c r="R63" i="5" a="1"/>
  <c r="R63" i="5" s="1"/>
  <c r="L63" i="5" a="1"/>
  <c r="L63" i="5" s="1"/>
  <c r="AJ63" i="5" a="1"/>
  <c r="AJ63" i="5" s="1"/>
  <c r="W63" i="5"/>
  <c r="Q63" i="5" a="1"/>
  <c r="Q63" i="5" s="1"/>
  <c r="K63" i="5" a="1"/>
  <c r="K63" i="5" s="1"/>
  <c r="AI63" i="5" a="1"/>
  <c r="AI63" i="5" s="1"/>
  <c r="H63" i="5"/>
  <c r="AE63" i="5" s="1" a="1"/>
  <c r="AE63" i="5" s="1"/>
  <c r="V63" i="5"/>
  <c r="F63" i="5" a="1"/>
  <c r="F63" i="5" s="1"/>
  <c r="N49" i="5"/>
  <c r="AK67" i="5" a="1"/>
  <c r="AK67" i="5" s="1"/>
  <c r="R67" i="5" a="1"/>
  <c r="R67" i="5" s="1"/>
  <c r="L67" i="5" a="1"/>
  <c r="L67" i="5" s="1"/>
  <c r="AJ67" i="5" a="1"/>
  <c r="AJ67" i="5" s="1"/>
  <c r="AE67" i="5" a="1"/>
  <c r="AE67" i="5" s="1"/>
  <c r="W67" i="5"/>
  <c r="Q67" i="5" a="1"/>
  <c r="Q67" i="5" s="1"/>
  <c r="K67" i="5" a="1"/>
  <c r="K67" i="5" s="1"/>
  <c r="AI67" i="5" a="1"/>
  <c r="AI67" i="5" s="1"/>
  <c r="H67" i="5"/>
  <c r="Y67" i="5" s="1"/>
  <c r="F73" i="5" a="1"/>
  <c r="F73" i="5" s="1"/>
  <c r="AK73" i="5" a="1"/>
  <c r="AK73" i="5" s="1"/>
  <c r="R73" i="5" a="1"/>
  <c r="R73" i="5" s="1"/>
  <c r="L73" i="5" a="1"/>
  <c r="L73" i="5" s="1"/>
  <c r="AJ73" i="5" a="1"/>
  <c r="AJ73" i="5" s="1"/>
  <c r="W73" i="5"/>
  <c r="Q73" i="5" a="1"/>
  <c r="Q73" i="5" s="1"/>
  <c r="K73" i="5" a="1"/>
  <c r="K73" i="5" s="1"/>
  <c r="J73" i="5"/>
  <c r="AI73" i="5" a="1"/>
  <c r="AI73" i="5" s="1"/>
  <c r="H73" i="5"/>
  <c r="AF73" i="5" s="1" a="1"/>
  <c r="AF73" i="5" s="1"/>
  <c r="AK71" i="5" a="1"/>
  <c r="AK71" i="5" s="1"/>
  <c r="R71" i="5" a="1"/>
  <c r="R71" i="5" s="1"/>
  <c r="L71" i="5" a="1"/>
  <c r="L71" i="5" s="1"/>
  <c r="AJ71" i="5" a="1"/>
  <c r="AJ71" i="5" s="1"/>
  <c r="AE71" i="5" a="1"/>
  <c r="AE71" i="5" s="1"/>
  <c r="W71" i="5"/>
  <c r="Q71" i="5" a="1"/>
  <c r="Q71" i="5" s="1"/>
  <c r="K71" i="5" a="1"/>
  <c r="K71" i="5" s="1"/>
  <c r="AI71" i="5" a="1"/>
  <c r="AI71" i="5" s="1"/>
  <c r="H71" i="5"/>
  <c r="P71" i="5" s="1"/>
  <c r="AK65" i="5" a="1"/>
  <c r="AK65" i="5" s="1"/>
  <c r="AF65" i="5" a="1"/>
  <c r="AF65" i="5" s="1"/>
  <c r="R65" i="5" a="1"/>
  <c r="R65" i="5" s="1"/>
  <c r="L65" i="5" a="1"/>
  <c r="L65" i="5" s="1"/>
  <c r="AJ65" i="5" a="1"/>
  <c r="AJ65" i="5" s="1"/>
  <c r="W65" i="5"/>
  <c r="Q65" i="5" a="1"/>
  <c r="Q65" i="5" s="1"/>
  <c r="K65" i="5" a="1"/>
  <c r="K65" i="5" s="1"/>
  <c r="AI65" i="5" a="1"/>
  <c r="AI65" i="5" s="1"/>
  <c r="H65" i="5"/>
  <c r="V65" i="5" s="1"/>
  <c r="AB73" i="5"/>
  <c r="AK69" i="5" a="1"/>
  <c r="AK69" i="5" s="1"/>
  <c r="AF69" i="5" a="1"/>
  <c r="AF69" i="5" s="1"/>
  <c r="Y69" i="5"/>
  <c r="R69" i="5" a="1"/>
  <c r="R69" i="5" s="1"/>
  <c r="L69" i="5" a="1"/>
  <c r="L69" i="5" s="1"/>
  <c r="AJ69" i="5" a="1"/>
  <c r="AJ69" i="5" s="1"/>
  <c r="AE69" i="5" a="1"/>
  <c r="AE69" i="5" s="1"/>
  <c r="Q69" i="5" a="1"/>
  <c r="Q69" i="5" s="1"/>
  <c r="K69" i="5" a="1"/>
  <c r="K69" i="5" s="1"/>
  <c r="AI69" i="5" a="1"/>
  <c r="AI69" i="5" s="1"/>
  <c r="H69" i="5"/>
  <c r="W69" i="5" s="1"/>
  <c r="L64" i="5" a="1"/>
  <c r="L64" i="5" s="1"/>
  <c r="R64" i="5" a="1"/>
  <c r="R64" i="5" s="1"/>
  <c r="Y64" i="5"/>
  <c r="AK64" i="5" a="1"/>
  <c r="AK64" i="5" s="1"/>
  <c r="L66" i="5" a="1"/>
  <c r="L66" i="5" s="1"/>
  <c r="R66" i="5" a="1"/>
  <c r="R66" i="5" s="1"/>
  <c r="AK66" i="5" a="1"/>
  <c r="AK66" i="5" s="1"/>
  <c r="L68" i="5" a="1"/>
  <c r="L68" i="5" s="1"/>
  <c r="R68" i="5" a="1"/>
  <c r="R68" i="5" s="1"/>
  <c r="AF68" i="5" a="1"/>
  <c r="AF68" i="5" s="1"/>
  <c r="AK68" i="5" a="1"/>
  <c r="AK68" i="5" s="1"/>
  <c r="L70" i="5" a="1"/>
  <c r="L70" i="5" s="1"/>
  <c r="R70" i="5" a="1"/>
  <c r="R70" i="5" s="1"/>
  <c r="AK70" i="5" a="1"/>
  <c r="AK70" i="5" s="1"/>
  <c r="L72" i="5" a="1"/>
  <c r="L72" i="5" s="1"/>
  <c r="R72" i="5" a="1"/>
  <c r="R72" i="5" s="1"/>
  <c r="Y72" i="5"/>
  <c r="AK72" i="5" a="1"/>
  <c r="AK72" i="5" s="1"/>
  <c r="AB68" i="5"/>
  <c r="H64" i="5"/>
  <c r="AF64" i="5" s="1" a="1"/>
  <c r="AF64" i="5" s="1"/>
  <c r="AI64" i="5" a="1"/>
  <c r="AI64" i="5" s="1"/>
  <c r="H66" i="5"/>
  <c r="AB66" i="5" s="1"/>
  <c r="AI66" i="5" a="1"/>
  <c r="AI66" i="5" s="1"/>
  <c r="H68" i="5"/>
  <c r="AI68" i="5" a="1"/>
  <c r="AI68" i="5" s="1"/>
  <c r="H70" i="5"/>
  <c r="W70" i="5" s="1"/>
  <c r="AI70" i="5" a="1"/>
  <c r="AI70" i="5" s="1"/>
  <c r="H72" i="5"/>
  <c r="AF72" i="5" s="1" a="1"/>
  <c r="AF72" i="5" s="1"/>
  <c r="AI72" i="5" a="1"/>
  <c r="AI72" i="5" s="1"/>
  <c r="K64" i="5" a="1"/>
  <c r="K64" i="5" s="1"/>
  <c r="Q64" i="5" a="1"/>
  <c r="Q64" i="5" s="1"/>
  <c r="W64" i="5"/>
  <c r="AE64" i="5" a="1"/>
  <c r="AE64" i="5" s="1"/>
  <c r="K66" i="5" a="1"/>
  <c r="K66" i="5" s="1"/>
  <c r="Q66" i="5" a="1"/>
  <c r="Q66" i="5" s="1"/>
  <c r="K68" i="5" a="1"/>
  <c r="K68" i="5" s="1"/>
  <c r="Q68" i="5" a="1"/>
  <c r="Q68" i="5" s="1"/>
  <c r="W68" i="5"/>
  <c r="AE68" i="5" a="1"/>
  <c r="AE68" i="5" s="1"/>
  <c r="K70" i="5" a="1"/>
  <c r="K70" i="5" s="1"/>
  <c r="Q70" i="5" a="1"/>
  <c r="Q70" i="5" s="1"/>
  <c r="K72" i="5" a="1"/>
  <c r="K72" i="5" s="1"/>
  <c r="Q72" i="5" a="1"/>
  <c r="Q72" i="5" s="1"/>
  <c r="W72" i="5"/>
  <c r="AE72" i="5" a="1"/>
  <c r="AE72" i="5" s="1"/>
  <c r="AK51" i="5" a="1"/>
  <c r="AK51" i="5" s="1"/>
  <c r="AF51" i="5" a="1"/>
  <c r="AF51" i="5" s="1"/>
  <c r="Y51" i="5"/>
  <c r="R51" i="5" a="1"/>
  <c r="R51" i="5" s="1"/>
  <c r="L51" i="5" a="1"/>
  <c r="L51" i="5" s="1"/>
  <c r="AJ51" i="5" a="1"/>
  <c r="AJ51" i="5" s="1"/>
  <c r="AE51" i="5" a="1"/>
  <c r="AE51" i="5" s="1"/>
  <c r="Q51" i="5" a="1"/>
  <c r="Q51" i="5" s="1"/>
  <c r="K51" i="5" a="1"/>
  <c r="K51" i="5" s="1"/>
  <c r="AI51" i="5" a="1"/>
  <c r="AI51" i="5" s="1"/>
  <c r="H51" i="5"/>
  <c r="AK53" i="5" a="1"/>
  <c r="AK53" i="5" s="1"/>
  <c r="R53" i="5" a="1"/>
  <c r="R53" i="5" s="1"/>
  <c r="L53" i="5" a="1"/>
  <c r="L53" i="5" s="1"/>
  <c r="AJ53" i="5" a="1"/>
  <c r="AJ53" i="5" s="1"/>
  <c r="AE53" i="5" a="1"/>
  <c r="AE53" i="5" s="1"/>
  <c r="W53" i="5"/>
  <c r="Q53" i="5" a="1"/>
  <c r="Q53" i="5" s="1"/>
  <c r="K53" i="5" a="1"/>
  <c r="K53" i="5" s="1"/>
  <c r="AI53" i="5" a="1"/>
  <c r="AI53" i="5" s="1"/>
  <c r="H53" i="5"/>
  <c r="AK55" i="5" a="1"/>
  <c r="AK55" i="5" s="1"/>
  <c r="AF55" i="5" a="1"/>
  <c r="AF55" i="5" s="1"/>
  <c r="Y55" i="5"/>
  <c r="R55" i="5" a="1"/>
  <c r="R55" i="5" s="1"/>
  <c r="L55" i="5" a="1"/>
  <c r="L55" i="5" s="1"/>
  <c r="AJ55" i="5" a="1"/>
  <c r="AJ55" i="5" s="1"/>
  <c r="AE55" i="5" a="1"/>
  <c r="AE55" i="5" s="1"/>
  <c r="Q55" i="5" a="1"/>
  <c r="Q55" i="5" s="1"/>
  <c r="K55" i="5" a="1"/>
  <c r="K55" i="5" s="1"/>
  <c r="AI55" i="5" a="1"/>
  <c r="AI55" i="5" s="1"/>
  <c r="H55" i="5"/>
  <c r="P55" i="5" s="1"/>
  <c r="AK57" i="5" a="1"/>
  <c r="AK57" i="5" s="1"/>
  <c r="R57" i="5" a="1"/>
  <c r="R57" i="5" s="1"/>
  <c r="L57" i="5" a="1"/>
  <c r="L57" i="5" s="1"/>
  <c r="AJ57" i="5" a="1"/>
  <c r="AJ57" i="5" s="1"/>
  <c r="Q57" i="5" a="1"/>
  <c r="Q57" i="5" s="1"/>
  <c r="K57" i="5" a="1"/>
  <c r="K57" i="5" s="1"/>
  <c r="AI57" i="5" a="1"/>
  <c r="AI57" i="5" s="1"/>
  <c r="H57" i="5"/>
  <c r="W57" i="5" s="1"/>
  <c r="AK59" i="5" a="1"/>
  <c r="AK59" i="5" s="1"/>
  <c r="AF59" i="5" a="1"/>
  <c r="AF59" i="5" s="1"/>
  <c r="Y59" i="5"/>
  <c r="R59" i="5" a="1"/>
  <c r="R59" i="5" s="1"/>
  <c r="L59" i="5" a="1"/>
  <c r="L59" i="5" s="1"/>
  <c r="AJ59" i="5" a="1"/>
  <c r="AJ59" i="5" s="1"/>
  <c r="AE59" i="5" a="1"/>
  <c r="AE59" i="5" s="1"/>
  <c r="W59" i="5"/>
  <c r="Q59" i="5" a="1"/>
  <c r="Q59" i="5" s="1"/>
  <c r="K59" i="5" a="1"/>
  <c r="K59" i="5" s="1"/>
  <c r="AI59" i="5" a="1"/>
  <c r="AI59" i="5" s="1"/>
  <c r="H59" i="5"/>
  <c r="P59" i="5" s="1"/>
  <c r="F61" i="5" a="1"/>
  <c r="F61" i="5" s="1"/>
  <c r="AK61" i="5" a="1"/>
  <c r="AK61" i="5" s="1"/>
  <c r="R61" i="5" a="1"/>
  <c r="R61" i="5" s="1"/>
  <c r="L61" i="5" a="1"/>
  <c r="L61" i="5" s="1"/>
  <c r="AJ61" i="5" a="1"/>
  <c r="AJ61" i="5" s="1"/>
  <c r="AE61" i="5" a="1"/>
  <c r="AE61" i="5" s="1"/>
  <c r="W61" i="5"/>
  <c r="Q61" i="5" a="1"/>
  <c r="Q61" i="5" s="1"/>
  <c r="K61" i="5" a="1"/>
  <c r="K61" i="5" s="1"/>
  <c r="AI61" i="5" a="1"/>
  <c r="AI61" i="5" s="1"/>
  <c r="H61" i="5"/>
  <c r="AF61" i="5" s="1" a="1"/>
  <c r="AF61" i="5" s="1"/>
  <c r="L50" i="5" a="1"/>
  <c r="L50" i="5" s="1"/>
  <c r="R50" i="5" a="1"/>
  <c r="R50" i="5" s="1"/>
  <c r="AK50" i="5" a="1"/>
  <c r="AK50" i="5" s="1"/>
  <c r="L52" i="5" a="1"/>
  <c r="L52" i="5" s="1"/>
  <c r="R52" i="5" a="1"/>
  <c r="R52" i="5" s="1"/>
  <c r="Y52" i="5"/>
  <c r="AK52" i="5" a="1"/>
  <c r="AK52" i="5" s="1"/>
  <c r="L54" i="5" a="1"/>
  <c r="L54" i="5" s="1"/>
  <c r="R54" i="5" a="1"/>
  <c r="R54" i="5" s="1"/>
  <c r="AK54" i="5" a="1"/>
  <c r="AK54" i="5" s="1"/>
  <c r="L56" i="5" a="1"/>
  <c r="L56" i="5" s="1"/>
  <c r="R56" i="5" a="1"/>
  <c r="R56" i="5" s="1"/>
  <c r="AF56" i="5" a="1"/>
  <c r="AF56" i="5" s="1"/>
  <c r="AK56" i="5" a="1"/>
  <c r="AK56" i="5" s="1"/>
  <c r="L58" i="5" a="1"/>
  <c r="L58" i="5" s="1"/>
  <c r="R58" i="5" a="1"/>
  <c r="R58" i="5" s="1"/>
  <c r="AK58" i="5" a="1"/>
  <c r="AK58" i="5" s="1"/>
  <c r="L60" i="5" a="1"/>
  <c r="L60" i="5" s="1"/>
  <c r="R60" i="5" a="1"/>
  <c r="R60" i="5" s="1"/>
  <c r="Y60" i="5"/>
  <c r="AF60" i="5" a="1"/>
  <c r="AF60" i="5" s="1"/>
  <c r="AK60" i="5" a="1"/>
  <c r="AK60" i="5" s="1"/>
  <c r="W49" i="5"/>
  <c r="AA49" i="5" s="1"/>
  <c r="AE49" i="5" a="1"/>
  <c r="AE49" i="5" s="1"/>
  <c r="AB56" i="5"/>
  <c r="AB60" i="5"/>
  <c r="Y49" i="5"/>
  <c r="H50" i="5"/>
  <c r="AI50" i="5" a="1"/>
  <c r="AI50" i="5" s="1"/>
  <c r="H52" i="5"/>
  <c r="AF52" i="5" s="1" a="1"/>
  <c r="AF52" i="5" s="1"/>
  <c r="AI52" i="5" a="1"/>
  <c r="AI52" i="5" s="1"/>
  <c r="H54" i="5"/>
  <c r="V54" i="5" s="1"/>
  <c r="AI54" i="5" a="1"/>
  <c r="AI54" i="5" s="1"/>
  <c r="H56" i="5"/>
  <c r="W56" i="5" s="1"/>
  <c r="AI56" i="5" a="1"/>
  <c r="AI56" i="5" s="1"/>
  <c r="H58" i="5"/>
  <c r="AI58" i="5" a="1"/>
  <c r="AI58" i="5" s="1"/>
  <c r="H60" i="5"/>
  <c r="P60" i="5" s="1"/>
  <c r="AI60" i="5" a="1"/>
  <c r="AI60" i="5" s="1"/>
  <c r="K50" i="5" a="1"/>
  <c r="K50" i="5" s="1"/>
  <c r="Q50" i="5" a="1"/>
  <c r="Q50" i="5" s="1"/>
  <c r="K52" i="5" a="1"/>
  <c r="K52" i="5" s="1"/>
  <c r="Q52" i="5" a="1"/>
  <c r="Q52" i="5" s="1"/>
  <c r="W52" i="5"/>
  <c r="AE52" i="5" a="1"/>
  <c r="AE52" i="5" s="1"/>
  <c r="K54" i="5" a="1"/>
  <c r="K54" i="5" s="1"/>
  <c r="Q54" i="5" a="1"/>
  <c r="Q54" i="5" s="1"/>
  <c r="AE54" i="5" a="1"/>
  <c r="AE54" i="5" s="1"/>
  <c r="K56" i="5" a="1"/>
  <c r="K56" i="5" s="1"/>
  <c r="Q56" i="5" a="1"/>
  <c r="Q56" i="5" s="1"/>
  <c r="K58" i="5" a="1"/>
  <c r="K58" i="5" s="1"/>
  <c r="Q58" i="5" a="1"/>
  <c r="Q58" i="5" s="1"/>
  <c r="K60" i="5" a="1"/>
  <c r="K60" i="5" s="1"/>
  <c r="Q60" i="5" a="1"/>
  <c r="Q60" i="5" s="1"/>
  <c r="W60" i="5"/>
  <c r="AE60" i="5" a="1"/>
  <c r="AE60" i="5" s="1"/>
  <c r="X30" i="5"/>
  <c r="AL30" i="5" s="1"/>
  <c r="AA34" i="5"/>
  <c r="T31" i="5"/>
  <c r="AL34" i="5"/>
  <c r="AF27" i="5" a="1"/>
  <c r="AF27" i="5" s="1"/>
  <c r="Y27" i="5"/>
  <c r="V27" i="5"/>
  <c r="P27" i="5"/>
  <c r="J27" i="5"/>
  <c r="AE27" i="5" a="1"/>
  <c r="AE27" i="5" s="1"/>
  <c r="W27" i="5"/>
  <c r="AB27" i="5"/>
  <c r="AA36" i="5"/>
  <c r="AA26" i="5"/>
  <c r="AA28" i="5"/>
  <c r="AL36" i="5"/>
  <c r="T37" i="5"/>
  <c r="Z28" i="5"/>
  <c r="AA32" i="5"/>
  <c r="AB29" i="5"/>
  <c r="AB31" i="5"/>
  <c r="AB33" i="5"/>
  <c r="AB35" i="5"/>
  <c r="AB37" i="5"/>
  <c r="Y32" i="5"/>
  <c r="AF32" i="5" a="1"/>
  <c r="AF32" i="5" s="1"/>
  <c r="Y34" i="5"/>
  <c r="AF34" i="5" a="1"/>
  <c r="AF34" i="5" s="1"/>
  <c r="Y36" i="5"/>
  <c r="AF36" i="5" a="1"/>
  <c r="AF36" i="5" s="1"/>
  <c r="W31" i="5"/>
  <c r="AA31" i="5" s="1"/>
  <c r="AE31" i="5" a="1"/>
  <c r="AE31" i="5" s="1"/>
  <c r="W33" i="5"/>
  <c r="AA33" i="5" s="1"/>
  <c r="AE33" i="5" a="1"/>
  <c r="AE33" i="5" s="1"/>
  <c r="W35" i="5"/>
  <c r="AA35" i="5" s="1"/>
  <c r="AE35" i="5" a="1"/>
  <c r="AE35" i="5" s="1"/>
  <c r="W29" i="5"/>
  <c r="AA29" i="5" s="1"/>
  <c r="AE29" i="5" a="1"/>
  <c r="AE29" i="5" s="1"/>
  <c r="W37" i="5"/>
  <c r="AA37" i="5" s="1"/>
  <c r="AE37" i="5" a="1"/>
  <c r="AE37" i="5" s="1"/>
  <c r="AB26" i="5"/>
  <c r="AC26" i="5" s="1"/>
  <c r="AB28" i="5"/>
  <c r="AB30" i="5"/>
  <c r="AC30" i="5" s="1"/>
  <c r="AB32" i="5"/>
  <c r="AB34" i="5"/>
  <c r="AB36" i="5"/>
  <c r="Y33" i="5"/>
  <c r="Y35" i="5"/>
  <c r="Y37" i="5"/>
  <c r="Y29" i="5"/>
  <c r="Y31" i="5"/>
  <c r="J26" i="5"/>
  <c r="P26" i="5"/>
  <c r="J28" i="5"/>
  <c r="P28" i="5"/>
  <c r="J30" i="5"/>
  <c r="N30" i="5" s="1"/>
  <c r="P30" i="5"/>
  <c r="T30" i="5" s="1"/>
  <c r="J32" i="5"/>
  <c r="P32" i="5"/>
  <c r="J34" i="5"/>
  <c r="P34" i="5"/>
  <c r="J36" i="5"/>
  <c r="N36" i="5" s="1"/>
  <c r="P36" i="5"/>
  <c r="T36" i="5" s="1"/>
  <c r="AK17" i="5" a="1"/>
  <c r="AK17" i="5" s="1"/>
  <c r="R17" i="5" a="1"/>
  <c r="R17" i="5" s="1"/>
  <c r="L17" i="5" a="1"/>
  <c r="L17" i="5" s="1"/>
  <c r="AJ17" i="5" a="1"/>
  <c r="AJ17" i="5" s="1"/>
  <c r="Q17" i="5" a="1"/>
  <c r="Q17" i="5" s="1"/>
  <c r="K17" i="5" a="1"/>
  <c r="K17" i="5" s="1"/>
  <c r="AK21" i="5" a="1"/>
  <c r="AK21" i="5" s="1"/>
  <c r="R21" i="5" a="1"/>
  <c r="R21" i="5" s="1"/>
  <c r="L21" i="5" a="1"/>
  <c r="L21" i="5" s="1"/>
  <c r="J21" i="5"/>
  <c r="AJ21" i="5" a="1"/>
  <c r="AJ21" i="5" s="1"/>
  <c r="Q21" i="5" a="1"/>
  <c r="Q21" i="5" s="1"/>
  <c r="K21" i="5" a="1"/>
  <c r="K21" i="5" s="1"/>
  <c r="AK15" i="5" a="1"/>
  <c r="AK15" i="5" s="1"/>
  <c r="AF15" i="5" a="1"/>
  <c r="AF15" i="5" s="1"/>
  <c r="Y15" i="5"/>
  <c r="R15" i="5" a="1"/>
  <c r="R15" i="5" s="1"/>
  <c r="L15" i="5" a="1"/>
  <c r="L15" i="5" s="1"/>
  <c r="AJ15" i="5" a="1"/>
  <c r="AJ15" i="5" s="1"/>
  <c r="AE15" i="5" a="1"/>
  <c r="AE15" i="5" s="1"/>
  <c r="W15" i="5"/>
  <c r="Q15" i="5" a="1"/>
  <c r="Q15" i="5" s="1"/>
  <c r="K15" i="5" a="1"/>
  <c r="K15" i="5" s="1"/>
  <c r="H17" i="5"/>
  <c r="AE17" i="5" s="1" a="1"/>
  <c r="AE17" i="5" s="1"/>
  <c r="AI17" i="5" a="1"/>
  <c r="AI17" i="5" s="1"/>
  <c r="H21" i="5"/>
  <c r="AF21" i="5" s="1" a="1"/>
  <c r="AF21" i="5" s="1"/>
  <c r="AB21" i="5"/>
  <c r="AK19" i="5" a="1"/>
  <c r="AK19" i="5" s="1"/>
  <c r="R19" i="5" a="1"/>
  <c r="R19" i="5" s="1"/>
  <c r="L19" i="5" a="1"/>
  <c r="L19" i="5" s="1"/>
  <c r="P19" i="5"/>
  <c r="AJ19" i="5" a="1"/>
  <c r="AJ19" i="5" s="1"/>
  <c r="Q19" i="5" a="1"/>
  <c r="Q19" i="5" s="1"/>
  <c r="K19" i="5" a="1"/>
  <c r="K19" i="5" s="1"/>
  <c r="J15" i="5"/>
  <c r="V15" i="5"/>
  <c r="X15" i="5" s="1"/>
  <c r="H19" i="5"/>
  <c r="AF19" i="5" s="1" a="1"/>
  <c r="AF19" i="5" s="1"/>
  <c r="AB19" i="5"/>
  <c r="F23" i="5" a="1"/>
  <c r="F23" i="5" s="1"/>
  <c r="AK23" i="5" a="1"/>
  <c r="AK23" i="5" s="1"/>
  <c r="AF23" i="5" a="1"/>
  <c r="AF23" i="5" s="1"/>
  <c r="Y23" i="5"/>
  <c r="R23" i="5" a="1"/>
  <c r="R23" i="5" s="1"/>
  <c r="L23" i="5" a="1"/>
  <c r="L23" i="5" s="1"/>
  <c r="P23" i="5"/>
  <c r="J23" i="5"/>
  <c r="V23" i="5"/>
  <c r="X23" i="5" s="1"/>
  <c r="AJ23" i="5" a="1"/>
  <c r="AJ23" i="5" s="1"/>
  <c r="AE23" i="5" a="1"/>
  <c r="AE23" i="5" s="1"/>
  <c r="W23" i="5"/>
  <c r="AA23" i="5" s="1"/>
  <c r="Q23" i="5" a="1"/>
  <c r="Q23" i="5" s="1"/>
  <c r="K23" i="5" a="1"/>
  <c r="K23" i="5" s="1"/>
  <c r="F25" i="5" a="1"/>
  <c r="F25" i="5" s="1"/>
  <c r="AK25" i="5" a="1"/>
  <c r="AK25" i="5" s="1"/>
  <c r="AF25" i="5" a="1"/>
  <c r="AF25" i="5" s="1"/>
  <c r="Y25" i="5"/>
  <c r="R25" i="5" a="1"/>
  <c r="R25" i="5" s="1"/>
  <c r="L25" i="5" a="1"/>
  <c r="L25" i="5" s="1"/>
  <c r="AJ25" i="5" a="1"/>
  <c r="AJ25" i="5" s="1"/>
  <c r="AE25" i="5" a="1"/>
  <c r="AE25" i="5" s="1"/>
  <c r="Q25" i="5" a="1"/>
  <c r="Q25" i="5" s="1"/>
  <c r="K25" i="5" a="1"/>
  <c r="K25" i="5" s="1"/>
  <c r="J25" i="5"/>
  <c r="H25" i="5"/>
  <c r="V25" i="5" s="1"/>
  <c r="AI25" i="5" a="1"/>
  <c r="AI25" i="5" s="1"/>
  <c r="AB16" i="5"/>
  <c r="AB22" i="5"/>
  <c r="H14" i="5"/>
  <c r="AB14" i="5" s="1"/>
  <c r="AI14" i="5" a="1"/>
  <c r="AI14" i="5" s="1"/>
  <c r="H16" i="5"/>
  <c r="AI16" i="5" a="1"/>
  <c r="AI16" i="5" s="1"/>
  <c r="H18" i="5"/>
  <c r="AE18" i="5" s="1" a="1"/>
  <c r="AE18" i="5" s="1"/>
  <c r="AI18" i="5" a="1"/>
  <c r="AI18" i="5" s="1"/>
  <c r="H20" i="5"/>
  <c r="W20" i="5" s="1"/>
  <c r="AI20" i="5" a="1"/>
  <c r="AI20" i="5" s="1"/>
  <c r="H22" i="5"/>
  <c r="AI22" i="5" a="1"/>
  <c r="AI22" i="5" s="1"/>
  <c r="H24" i="5"/>
  <c r="AI24" i="5" a="1"/>
  <c r="AI24" i="5" s="1"/>
  <c r="K14" i="5" a="1"/>
  <c r="K14" i="5" s="1"/>
  <c r="Q14" i="5" a="1"/>
  <c r="Q14" i="5" s="1"/>
  <c r="W14" i="5"/>
  <c r="K16" i="5" a="1"/>
  <c r="K16" i="5" s="1"/>
  <c r="Q16" i="5" a="1"/>
  <c r="Q16" i="5" s="1"/>
  <c r="W16" i="5"/>
  <c r="AE16" i="5" a="1"/>
  <c r="AE16" i="5" s="1"/>
  <c r="K18" i="5" a="1"/>
  <c r="K18" i="5" s="1"/>
  <c r="Q18" i="5" a="1"/>
  <c r="Q18" i="5" s="1"/>
  <c r="W18" i="5"/>
  <c r="K20" i="5" a="1"/>
  <c r="K20" i="5" s="1"/>
  <c r="Q20" i="5" a="1"/>
  <c r="Q20" i="5" s="1"/>
  <c r="AE20" i="5" a="1"/>
  <c r="AE20" i="5" s="1"/>
  <c r="K22" i="5" a="1"/>
  <c r="K22" i="5" s="1"/>
  <c r="Q22" i="5" a="1"/>
  <c r="Q22" i="5" s="1"/>
  <c r="W22" i="5"/>
  <c r="K24" i="5" a="1"/>
  <c r="K24" i="5" s="1"/>
  <c r="Q24" i="5" a="1"/>
  <c r="Q24" i="5" s="1"/>
  <c r="W24" i="5"/>
  <c r="AE24" i="5" a="1"/>
  <c r="AE24" i="5" s="1"/>
  <c r="H10" i="5"/>
  <c r="G9" i="5"/>
  <c r="B9" i="5"/>
  <c r="A9" i="5"/>
  <c r="G7" i="5"/>
  <c r="B7" i="5"/>
  <c r="A7" i="5"/>
  <c r="G5" i="5"/>
  <c r="B5" i="5"/>
  <c r="A5" i="5"/>
  <c r="G3" i="5"/>
  <c r="B3" i="5"/>
  <c r="A3" i="5"/>
  <c r="AD40" i="5" l="1"/>
  <c r="AC28" i="5"/>
  <c r="X65" i="5"/>
  <c r="AL65" i="5" s="1"/>
  <c r="X27" i="5"/>
  <c r="AL27" i="5" s="1"/>
  <c r="X35" i="5"/>
  <c r="AL35" i="5" s="1"/>
  <c r="X63" i="5"/>
  <c r="X49" i="5"/>
  <c r="AL49" i="5" s="1"/>
  <c r="X39" i="5"/>
  <c r="AL39" i="5" s="1"/>
  <c r="N73" i="5"/>
  <c r="P58" i="5"/>
  <c r="J58" i="5"/>
  <c r="V58" i="5"/>
  <c r="P50" i="5"/>
  <c r="J50" i="5"/>
  <c r="V50" i="5"/>
  <c r="AF50" i="5" a="1"/>
  <c r="AF50" i="5" s="1"/>
  <c r="AG46" i="5"/>
  <c r="AH46" i="5" s="1"/>
  <c r="AD46" i="5"/>
  <c r="AE50" i="5" a="1"/>
  <c r="AE50" i="5" s="1"/>
  <c r="W58" i="5"/>
  <c r="AA58" i="5" s="1"/>
  <c r="W54" i="5"/>
  <c r="AA54" i="5" s="1"/>
  <c r="W50" i="5"/>
  <c r="AA50" i="5" s="1"/>
  <c r="Y56" i="5"/>
  <c r="Y57" i="5"/>
  <c r="J68" i="5"/>
  <c r="V68" i="5"/>
  <c r="X68" i="5" s="1"/>
  <c r="AL68" i="5" s="1"/>
  <c r="P68" i="5"/>
  <c r="Y68" i="5"/>
  <c r="AA65" i="5"/>
  <c r="AE73" i="5" a="1"/>
  <c r="AE73" i="5" s="1"/>
  <c r="AA63" i="5"/>
  <c r="AA62" i="5"/>
  <c r="V67" i="5"/>
  <c r="X67" i="5" s="1"/>
  <c r="AL67" i="5" s="1"/>
  <c r="AC41" i="5"/>
  <c r="Z41" i="5"/>
  <c r="AG39" i="5"/>
  <c r="AH39" i="5" s="1"/>
  <c r="AD39" i="5"/>
  <c r="AD43" i="5"/>
  <c r="AG43" i="5"/>
  <c r="AH43" i="5" s="1"/>
  <c r="AB58" i="5"/>
  <c r="AF57" i="5" a="1"/>
  <c r="AF57" i="5" s="1"/>
  <c r="W55" i="5"/>
  <c r="AB51" i="5"/>
  <c r="P51" i="5"/>
  <c r="J51" i="5"/>
  <c r="V51" i="5"/>
  <c r="AB64" i="5"/>
  <c r="AE65" i="5" a="1"/>
  <c r="AE65" i="5" s="1"/>
  <c r="P63" i="5"/>
  <c r="AE62" i="5" a="1"/>
  <c r="AE62" i="5" s="1"/>
  <c r="AG48" i="5"/>
  <c r="AH48" i="5" s="1"/>
  <c r="AD48" i="5"/>
  <c r="Z59" i="5"/>
  <c r="AB70" i="5"/>
  <c r="Y50" i="5"/>
  <c r="AF58" i="5" a="1"/>
  <c r="AF58" i="5" s="1"/>
  <c r="V66" i="5"/>
  <c r="J66" i="5"/>
  <c r="N66" i="5" s="1"/>
  <c r="P66" i="5"/>
  <c r="T66" i="5" s="1"/>
  <c r="AB54" i="5"/>
  <c r="Y61" i="5"/>
  <c r="P53" i="5"/>
  <c r="AB53" i="5"/>
  <c r="V53" i="5"/>
  <c r="X53" i="5" s="1"/>
  <c r="AL53" i="5" s="1"/>
  <c r="J53" i="5"/>
  <c r="AE70" i="5" a="1"/>
  <c r="AE70" i="5" s="1"/>
  <c r="AE66" i="5" a="1"/>
  <c r="AE66" i="5" s="1"/>
  <c r="Y70" i="5"/>
  <c r="Y71" i="5"/>
  <c r="P73" i="5"/>
  <c r="T73" i="5" s="1"/>
  <c r="AL63" i="5"/>
  <c r="AL62" i="5"/>
  <c r="Z55" i="5"/>
  <c r="Z44" i="5"/>
  <c r="AC44" i="5"/>
  <c r="AE58" i="5" a="1"/>
  <c r="AE58" i="5" s="1"/>
  <c r="AB57" i="5"/>
  <c r="V57" i="5"/>
  <c r="X57" i="5" s="1"/>
  <c r="AL57" i="5" s="1"/>
  <c r="X54" i="5"/>
  <c r="AL54" i="5" s="1"/>
  <c r="Z51" i="5"/>
  <c r="AF70" i="5" a="1"/>
  <c r="AF70" i="5" s="1"/>
  <c r="Z64" i="5"/>
  <c r="P67" i="5"/>
  <c r="T67" i="5" s="1"/>
  <c r="J67" i="5"/>
  <c r="N67" i="5" s="1"/>
  <c r="AB67" i="5"/>
  <c r="AE56" i="5" a="1"/>
  <c r="AE56" i="5" s="1"/>
  <c r="Y58" i="5"/>
  <c r="T60" i="5"/>
  <c r="V52" i="5"/>
  <c r="X52" i="5" s="1"/>
  <c r="AL52" i="5" s="1"/>
  <c r="P52" i="5"/>
  <c r="J52" i="5"/>
  <c r="AB52" i="5"/>
  <c r="AF54" i="5" a="1"/>
  <c r="AF54" i="5" s="1"/>
  <c r="AE57" i="5" a="1"/>
  <c r="AE57" i="5" s="1"/>
  <c r="Y53" i="5"/>
  <c r="W66" i="5"/>
  <c r="AA66" i="5" s="1"/>
  <c r="V64" i="5"/>
  <c r="X64" i="5" s="1"/>
  <c r="AL64" i="5" s="1"/>
  <c r="P64" i="5"/>
  <c r="J64" i="5"/>
  <c r="AF66" i="5" a="1"/>
  <c r="AF66" i="5" s="1"/>
  <c r="P65" i="5"/>
  <c r="J65" i="5"/>
  <c r="AB65" i="5"/>
  <c r="AF71" i="5" a="1"/>
  <c r="AF71" i="5" s="1"/>
  <c r="V73" i="5"/>
  <c r="X73" i="5" s="1"/>
  <c r="AL73" i="5" s="1"/>
  <c r="Y73" i="5"/>
  <c r="Z73" i="5" s="1"/>
  <c r="AF67" i="5" a="1"/>
  <c r="AF67" i="5" s="1"/>
  <c r="J63" i="5"/>
  <c r="AB63" i="5"/>
  <c r="X41" i="5"/>
  <c r="AL41" i="5" s="1"/>
  <c r="AB50" i="5"/>
  <c r="Y54" i="5"/>
  <c r="AC54" i="5" s="1"/>
  <c r="T55" i="5"/>
  <c r="AF53" i="5" a="1"/>
  <c r="AF53" i="5" s="1"/>
  <c r="W51" i="5"/>
  <c r="AA51" i="5" s="1"/>
  <c r="AB72" i="5"/>
  <c r="Y66" i="5"/>
  <c r="V69" i="5"/>
  <c r="X69" i="5" s="1"/>
  <c r="AL69" i="5" s="1"/>
  <c r="AB69" i="5"/>
  <c r="P69" i="5"/>
  <c r="J69" i="5"/>
  <c r="Y65" i="5"/>
  <c r="Z65" i="5" s="1"/>
  <c r="Y63" i="5"/>
  <c r="J60" i="5"/>
  <c r="N60" i="5" s="1"/>
  <c r="V60" i="5"/>
  <c r="X60" i="5" s="1"/>
  <c r="AL60" i="5" s="1"/>
  <c r="J56" i="5"/>
  <c r="V56" i="5"/>
  <c r="X56" i="5" s="1"/>
  <c r="AL56" i="5" s="1"/>
  <c r="P56" i="5"/>
  <c r="P54" i="5"/>
  <c r="T54" i="5" s="1"/>
  <c r="J54" i="5"/>
  <c r="N54" i="5" s="1"/>
  <c r="AC49" i="5"/>
  <c r="Z49" i="5"/>
  <c r="Z60" i="5"/>
  <c r="Z58" i="5"/>
  <c r="Z56" i="5"/>
  <c r="Z52" i="5"/>
  <c r="J61" i="5"/>
  <c r="N61" i="5" s="1"/>
  <c r="V61" i="5"/>
  <c r="X61" i="5" s="1"/>
  <c r="AL61" i="5" s="1"/>
  <c r="P61" i="5"/>
  <c r="T61" i="5" s="1"/>
  <c r="AB61" i="5"/>
  <c r="AB59" i="5"/>
  <c r="J59" i="5"/>
  <c r="V59" i="5"/>
  <c r="X59" i="5" s="1"/>
  <c r="AL59" i="5" s="1"/>
  <c r="P57" i="5"/>
  <c r="J57" i="5"/>
  <c r="Z57" i="5"/>
  <c r="V55" i="5"/>
  <c r="X55" i="5" s="1"/>
  <c r="AL55" i="5" s="1"/>
  <c r="AB55" i="5"/>
  <c r="J55" i="5"/>
  <c r="N55" i="5" s="1"/>
  <c r="Z53" i="5"/>
  <c r="J72" i="5"/>
  <c r="N72" i="5" s="1"/>
  <c r="V72" i="5"/>
  <c r="X72" i="5" s="1"/>
  <c r="AL72" i="5" s="1"/>
  <c r="P72" i="5"/>
  <c r="T72" i="5" s="1"/>
  <c r="P70" i="5"/>
  <c r="J70" i="5"/>
  <c r="V70" i="5"/>
  <c r="X70" i="5" s="1"/>
  <c r="AL70" i="5" s="1"/>
  <c r="Z72" i="5"/>
  <c r="Z70" i="5"/>
  <c r="Z68" i="5"/>
  <c r="Z69" i="5"/>
  <c r="AB71" i="5"/>
  <c r="J71" i="5"/>
  <c r="V71" i="5"/>
  <c r="X71" i="5" s="1"/>
  <c r="AL71" i="5" s="1"/>
  <c r="Z71" i="5"/>
  <c r="Z67" i="5"/>
  <c r="AC62" i="5"/>
  <c r="Z62" i="5"/>
  <c r="Z61" i="5"/>
  <c r="AD28" i="5"/>
  <c r="AG28" i="5"/>
  <c r="AH28" i="5" s="1"/>
  <c r="AD30" i="5"/>
  <c r="AG30" i="5"/>
  <c r="AH30" i="5" s="1"/>
  <c r="Z29" i="5"/>
  <c r="AC29" i="5"/>
  <c r="Z37" i="5"/>
  <c r="AC37" i="5"/>
  <c r="AC32" i="5"/>
  <c r="Z32" i="5"/>
  <c r="X37" i="5"/>
  <c r="AL37" i="5" s="1"/>
  <c r="Z35" i="5"/>
  <c r="AC35" i="5"/>
  <c r="Z33" i="5"/>
  <c r="AC33" i="5"/>
  <c r="N25" i="5"/>
  <c r="AL23" i="5"/>
  <c r="T19" i="5"/>
  <c r="X29" i="5"/>
  <c r="AL29" i="5" s="1"/>
  <c r="Z27" i="5"/>
  <c r="X33" i="5"/>
  <c r="AL33" i="5" s="1"/>
  <c r="AD26" i="5"/>
  <c r="AG26" i="5"/>
  <c r="AH26" i="5" s="1"/>
  <c r="AC36" i="5"/>
  <c r="Z36" i="5"/>
  <c r="Z31" i="5"/>
  <c r="AC31" i="5"/>
  <c r="Z34" i="5"/>
  <c r="AC34" i="5"/>
  <c r="X31" i="5"/>
  <c r="AL31" i="5" s="1"/>
  <c r="AA27" i="5"/>
  <c r="AC27" i="5" s="1"/>
  <c r="V24" i="5"/>
  <c r="X24" i="5" s="1"/>
  <c r="AL24" i="5" s="1"/>
  <c r="P24" i="5"/>
  <c r="T24" i="5" s="1"/>
  <c r="J24" i="5"/>
  <c r="N24" i="5" s="1"/>
  <c r="Y24" i="5"/>
  <c r="AF24" i="5" a="1"/>
  <c r="AF24" i="5" s="1"/>
  <c r="P16" i="5"/>
  <c r="AF16" i="5" a="1"/>
  <c r="AF16" i="5" s="1"/>
  <c r="Y16" i="5"/>
  <c r="V16" i="5"/>
  <c r="X16" i="5" s="1"/>
  <c r="AL16" i="5" s="1"/>
  <c r="J16" i="5"/>
  <c r="P25" i="5"/>
  <c r="T25" i="5" s="1"/>
  <c r="J19" i="5"/>
  <c r="N19" i="5" s="1"/>
  <c r="AA15" i="5"/>
  <c r="P21" i="5"/>
  <c r="Y17" i="5"/>
  <c r="Z23" i="5"/>
  <c r="AC23" i="5"/>
  <c r="AL15" i="5"/>
  <c r="V21" i="5"/>
  <c r="AF17" i="5" a="1"/>
  <c r="AF17" i="5" s="1"/>
  <c r="Z25" i="5"/>
  <c r="V19" i="5"/>
  <c r="AF22" i="5" a="1"/>
  <c r="AF22" i="5" s="1"/>
  <c r="P22" i="5"/>
  <c r="Y22" i="5"/>
  <c r="J22" i="5"/>
  <c r="V22" i="5"/>
  <c r="X22" i="5" s="1"/>
  <c r="AL22" i="5" s="1"/>
  <c r="J14" i="5"/>
  <c r="Y14" i="5"/>
  <c r="P14" i="5"/>
  <c r="V14" i="5"/>
  <c r="X14" i="5" s="1"/>
  <c r="AL14" i="5" s="1"/>
  <c r="AF14" i="5" a="1"/>
  <c r="AF14" i="5" s="1"/>
  <c r="AE22" i="5" a="1"/>
  <c r="AE22" i="5" s="1"/>
  <c r="AE14" i="5" a="1"/>
  <c r="AE14" i="5" s="1"/>
  <c r="AB24" i="5"/>
  <c r="W25" i="5"/>
  <c r="AA25" i="5" s="1"/>
  <c r="AC25" i="5" s="1"/>
  <c r="W17" i="5"/>
  <c r="W21" i="5"/>
  <c r="Y21" i="5"/>
  <c r="Y20" i="5"/>
  <c r="J20" i="5"/>
  <c r="V20" i="5"/>
  <c r="X20" i="5" s="1"/>
  <c r="AL20" i="5" s="1"/>
  <c r="AF20" i="5" a="1"/>
  <c r="AF20" i="5" s="1"/>
  <c r="P20" i="5"/>
  <c r="AB20" i="5"/>
  <c r="W19" i="5"/>
  <c r="AA19" i="5" s="1"/>
  <c r="Y19" i="5"/>
  <c r="V17" i="5"/>
  <c r="X17" i="5" s="1"/>
  <c r="AL17" i="5" s="1"/>
  <c r="J17" i="5"/>
  <c r="AB17" i="5"/>
  <c r="P17" i="5"/>
  <c r="Z15" i="5"/>
  <c r="AC15" i="5"/>
  <c r="AE21" i="5" a="1"/>
  <c r="AE21" i="5" s="1"/>
  <c r="AB25" i="5"/>
  <c r="AF18" i="5" a="1"/>
  <c r="AF18" i="5" s="1"/>
  <c r="P18" i="5"/>
  <c r="T18" i="5" s="1"/>
  <c r="V18" i="5"/>
  <c r="X18" i="5" s="1"/>
  <c r="AL18" i="5" s="1"/>
  <c r="Y18" i="5"/>
  <c r="J18" i="5"/>
  <c r="N18" i="5" s="1"/>
  <c r="AB18" i="5"/>
  <c r="AE19" i="5" a="1"/>
  <c r="AE19" i="5" s="1"/>
  <c r="H3" i="5"/>
  <c r="H7" i="5"/>
  <c r="H5" i="5"/>
  <c r="H9" i="5"/>
  <c r="AC58" i="5" l="1"/>
  <c r="AG58" i="5" s="1"/>
  <c r="AH58" i="5" s="1"/>
  <c r="AA24" i="5"/>
  <c r="AC24" i="5" s="1"/>
  <c r="AA52" i="5"/>
  <c r="AC52" i="5" s="1"/>
  <c r="AA21" i="5"/>
  <c r="AA60" i="5"/>
  <c r="AC60" i="5" s="1"/>
  <c r="AG60" i="5" s="1"/>
  <c r="AH60" i="5" s="1"/>
  <c r="AA68" i="5"/>
  <c r="AC68" i="5" s="1"/>
  <c r="AD68" i="5" s="1"/>
  <c r="AC51" i="5"/>
  <c r="AG51" i="5" s="1"/>
  <c r="AH51" i="5" s="1"/>
  <c r="Z54" i="5"/>
  <c r="AC65" i="5"/>
  <c r="AG65" i="5" s="1"/>
  <c r="AH65" i="5" s="1"/>
  <c r="AA53" i="5"/>
  <c r="AC53" i="5" s="1"/>
  <c r="AG53" i="5" s="1"/>
  <c r="AH53" i="5" s="1"/>
  <c r="AA72" i="5"/>
  <c r="AC72" i="5" s="1"/>
  <c r="X66" i="5"/>
  <c r="AL66" i="5" s="1"/>
  <c r="AG62" i="5"/>
  <c r="AH62" i="5" s="1"/>
  <c r="AD62" i="5"/>
  <c r="AC66" i="5"/>
  <c r="Z66" i="5"/>
  <c r="AA61" i="5"/>
  <c r="AC61" i="5" s="1"/>
  <c r="AG61" i="5" s="1"/>
  <c r="AH61" i="5" s="1"/>
  <c r="AA70" i="5"/>
  <c r="AC70" i="5" s="1"/>
  <c r="AC50" i="5"/>
  <c r="Z50" i="5"/>
  <c r="AA55" i="5"/>
  <c r="AC55" i="5" s="1"/>
  <c r="AA57" i="5"/>
  <c r="AC57" i="5" s="1"/>
  <c r="AG57" i="5" s="1"/>
  <c r="AH57" i="5" s="1"/>
  <c r="AG49" i="5"/>
  <c r="AH49" i="5" s="1"/>
  <c r="AD49" i="5"/>
  <c r="AC63" i="5"/>
  <c r="Z63" i="5"/>
  <c r="AG44" i="5"/>
  <c r="AH44" i="5" s="1"/>
  <c r="AD44" i="5"/>
  <c r="AA67" i="5"/>
  <c r="AC67" i="5" s="1"/>
  <c r="AG67" i="5" s="1"/>
  <c r="AH67" i="5" s="1"/>
  <c r="AD41" i="5"/>
  <c r="AG41" i="5"/>
  <c r="AH41" i="5" s="1"/>
  <c r="X50" i="5"/>
  <c r="AL50" i="5" s="1"/>
  <c r="AA69" i="5"/>
  <c r="AC69" i="5" s="1"/>
  <c r="AD69" i="5" s="1"/>
  <c r="AG68" i="5"/>
  <c r="AH68" i="5" s="1"/>
  <c r="AA71" i="5"/>
  <c r="AC71" i="5" s="1"/>
  <c r="AD71" i="5" s="1"/>
  <c r="AA64" i="5"/>
  <c r="AC64" i="5" s="1"/>
  <c r="AA73" i="5"/>
  <c r="AC73" i="5" s="1"/>
  <c r="AA56" i="5"/>
  <c r="AC56" i="5" s="1"/>
  <c r="AG56" i="5" s="1"/>
  <c r="AH56" i="5" s="1"/>
  <c r="AA59" i="5"/>
  <c r="AC59" i="5" s="1"/>
  <c r="X51" i="5"/>
  <c r="AL51" i="5" s="1"/>
  <c r="X58" i="5"/>
  <c r="AL58" i="5" s="1"/>
  <c r="AD61" i="5"/>
  <c r="AG72" i="5"/>
  <c r="AH72" i="5" s="1"/>
  <c r="AD72" i="5"/>
  <c r="AG54" i="5"/>
  <c r="AH54" i="5" s="1"/>
  <c r="AD54" i="5"/>
  <c r="AD27" i="5"/>
  <c r="AG27" i="5"/>
  <c r="AH27" i="5" s="1"/>
  <c r="AG33" i="5"/>
  <c r="AH33" i="5" s="1"/>
  <c r="AD33" i="5"/>
  <c r="AD37" i="5"/>
  <c r="AG37" i="5"/>
  <c r="AH37" i="5" s="1"/>
  <c r="AD34" i="5"/>
  <c r="AG34" i="5"/>
  <c r="AH34" i="5" s="1"/>
  <c r="AG35" i="5"/>
  <c r="AH35" i="5" s="1"/>
  <c r="AD35" i="5"/>
  <c r="AD29" i="5"/>
  <c r="AG29" i="5"/>
  <c r="AH29" i="5" s="1"/>
  <c r="AG31" i="5"/>
  <c r="AH31" i="5" s="1"/>
  <c r="AD31" i="5"/>
  <c r="AD36" i="5"/>
  <c r="AG36" i="5"/>
  <c r="AH36" i="5" s="1"/>
  <c r="AD32" i="5"/>
  <c r="AG32" i="5"/>
  <c r="AH32" i="5" s="1"/>
  <c r="AG25" i="5"/>
  <c r="AH25" i="5" s="1"/>
  <c r="AD25" i="5"/>
  <c r="AC21" i="5"/>
  <c r="Z21" i="5"/>
  <c r="AG23" i="5"/>
  <c r="AH23" i="5" s="1"/>
  <c r="AD23" i="5"/>
  <c r="Z24" i="5"/>
  <c r="Z18" i="5"/>
  <c r="X19" i="5"/>
  <c r="AL19" i="5" s="1"/>
  <c r="AA22" i="5"/>
  <c r="AC22" i="5" s="1"/>
  <c r="AA17" i="5"/>
  <c r="AC17" i="5" s="1"/>
  <c r="Z14" i="5"/>
  <c r="Z20" i="5"/>
  <c r="AG15" i="5"/>
  <c r="AH15" i="5" s="1"/>
  <c r="AD15" i="5"/>
  <c r="AA18" i="5"/>
  <c r="AC18" i="5" s="1"/>
  <c r="Z16" i="5"/>
  <c r="AA16" i="5"/>
  <c r="AC16" i="5" s="1"/>
  <c r="Z17" i="5"/>
  <c r="AA20" i="5"/>
  <c r="AC20" i="5" s="1"/>
  <c r="AC19" i="5"/>
  <c r="Z19" i="5"/>
  <c r="AA14" i="5"/>
  <c r="AC14" i="5" s="1"/>
  <c r="Z22" i="5"/>
  <c r="X21" i="5"/>
  <c r="AL21" i="5" s="1"/>
  <c r="X25" i="5"/>
  <c r="AL25" i="5" s="1"/>
  <c r="S30" i="1"/>
  <c r="P30" i="1"/>
  <c r="O30" i="1"/>
  <c r="N30" i="1"/>
  <c r="M30" i="1"/>
  <c r="S29" i="1"/>
  <c r="P29" i="1"/>
  <c r="O29" i="1"/>
  <c r="N29" i="1"/>
  <c r="M29" i="1"/>
  <c r="S28" i="1"/>
  <c r="P28" i="1"/>
  <c r="O28" i="1"/>
  <c r="N28" i="1"/>
  <c r="M28" i="1"/>
  <c r="S27" i="1"/>
  <c r="P27" i="1"/>
  <c r="O27" i="1"/>
  <c r="N27" i="1"/>
  <c r="M27" i="1"/>
  <c r="S26" i="1"/>
  <c r="P26" i="1"/>
  <c r="O26" i="1"/>
  <c r="N26" i="1"/>
  <c r="M26" i="1"/>
  <c r="G26" i="1"/>
  <c r="I26" i="1"/>
  <c r="D26" i="1" s="1"/>
  <c r="G27" i="1"/>
  <c r="H27" i="1" s="1"/>
  <c r="I27" i="1"/>
  <c r="G28" i="1"/>
  <c r="H28" i="1" s="1"/>
  <c r="I28" i="1"/>
  <c r="D28" i="1" s="1"/>
  <c r="G29" i="1"/>
  <c r="H29" i="1" s="1"/>
  <c r="I29" i="1"/>
  <c r="D29" i="1" s="1"/>
  <c r="G30" i="1"/>
  <c r="H30" i="1" s="1"/>
  <c r="I30" i="1"/>
  <c r="D30" i="1" s="1"/>
  <c r="B30" i="1"/>
  <c r="A30" i="1"/>
  <c r="B29" i="1"/>
  <c r="A29" i="1"/>
  <c r="B28" i="1"/>
  <c r="A28" i="1"/>
  <c r="B27" i="1"/>
  <c r="A27" i="1"/>
  <c r="B26" i="1"/>
  <c r="A26" i="1"/>
  <c r="S25" i="1"/>
  <c r="P25" i="1"/>
  <c r="O25" i="1"/>
  <c r="N25" i="1"/>
  <c r="M25" i="1"/>
  <c r="S24" i="1"/>
  <c r="P24" i="1"/>
  <c r="O24" i="1"/>
  <c r="N24" i="1"/>
  <c r="M24" i="1"/>
  <c r="S23" i="1"/>
  <c r="P23" i="1"/>
  <c r="O23" i="1"/>
  <c r="N23" i="1"/>
  <c r="M23" i="1"/>
  <c r="I25" i="1"/>
  <c r="D25" i="1" s="1"/>
  <c r="G25" i="1"/>
  <c r="I24" i="1"/>
  <c r="D24" i="1" s="1"/>
  <c r="G24" i="1"/>
  <c r="H24" i="1" s="1"/>
  <c r="I23" i="1"/>
  <c r="D23" i="1" s="1"/>
  <c r="G23" i="1"/>
  <c r="A23" i="1"/>
  <c r="B23" i="1"/>
  <c r="A24" i="1"/>
  <c r="B24" i="1"/>
  <c r="A25" i="1"/>
  <c r="B25" i="1"/>
  <c r="I22" i="1"/>
  <c r="D22" i="1" s="1"/>
  <c r="G22" i="1"/>
  <c r="H22" i="1" s="1"/>
  <c r="B22" i="1"/>
  <c r="A22" i="1"/>
  <c r="I21" i="1"/>
  <c r="D21" i="1" s="1"/>
  <c r="G21" i="1"/>
  <c r="H21" i="1" s="1"/>
  <c r="B21" i="1"/>
  <c r="A21" i="1"/>
  <c r="I20" i="1"/>
  <c r="D20" i="1" s="1"/>
  <c r="G20" i="1"/>
  <c r="H20" i="1" s="1"/>
  <c r="B20" i="1"/>
  <c r="A20" i="1"/>
  <c r="I19" i="1"/>
  <c r="G19" i="1"/>
  <c r="H19" i="1" s="1"/>
  <c r="B19" i="1"/>
  <c r="A19" i="1"/>
  <c r="I18" i="1"/>
  <c r="D18" i="1" s="1"/>
  <c r="G18" i="1"/>
  <c r="H18" i="1" s="1"/>
  <c r="B18" i="1"/>
  <c r="A18" i="1"/>
  <c r="I17" i="1"/>
  <c r="D17" i="1" s="1"/>
  <c r="G17" i="1"/>
  <c r="H17" i="1" s="1"/>
  <c r="B17" i="1"/>
  <c r="A17" i="1"/>
  <c r="S22" i="1"/>
  <c r="P22" i="1"/>
  <c r="O22" i="1"/>
  <c r="N22" i="1"/>
  <c r="M22" i="1"/>
  <c r="S21" i="1"/>
  <c r="P21" i="1"/>
  <c r="O21" i="1"/>
  <c r="N21" i="1"/>
  <c r="M21" i="1"/>
  <c r="S20" i="1"/>
  <c r="P20" i="1"/>
  <c r="O20" i="1"/>
  <c r="N20" i="1"/>
  <c r="M20" i="1"/>
  <c r="S19" i="1"/>
  <c r="P19" i="1"/>
  <c r="O19" i="1"/>
  <c r="N19" i="1"/>
  <c r="M19" i="1"/>
  <c r="S18" i="1"/>
  <c r="P18" i="1"/>
  <c r="O18" i="1"/>
  <c r="N18" i="1"/>
  <c r="M18" i="1"/>
  <c r="S17" i="1"/>
  <c r="P17" i="1"/>
  <c r="O17" i="1"/>
  <c r="N17" i="1"/>
  <c r="M17" i="1"/>
  <c r="S16" i="1"/>
  <c r="P16" i="1"/>
  <c r="O16" i="1"/>
  <c r="N16" i="1"/>
  <c r="M16" i="1"/>
  <c r="S15" i="1"/>
  <c r="P15" i="1"/>
  <c r="O15" i="1"/>
  <c r="N15" i="1"/>
  <c r="M15" i="1"/>
  <c r="I16" i="1"/>
  <c r="D16" i="1" s="1"/>
  <c r="G16" i="1"/>
  <c r="B16" i="1"/>
  <c r="A16" i="1"/>
  <c r="M11" i="1"/>
  <c r="N11" i="1"/>
  <c r="O11" i="1"/>
  <c r="P11" i="1"/>
  <c r="S11" i="1"/>
  <c r="M12" i="1"/>
  <c r="N12" i="1"/>
  <c r="O12" i="1"/>
  <c r="P12" i="1"/>
  <c r="S12" i="1"/>
  <c r="M13" i="1"/>
  <c r="N13" i="1"/>
  <c r="O13" i="1"/>
  <c r="P13" i="1"/>
  <c r="S13" i="1"/>
  <c r="M14" i="1"/>
  <c r="N14" i="1"/>
  <c r="O14" i="1"/>
  <c r="P14" i="1"/>
  <c r="S14" i="1"/>
  <c r="G11" i="1"/>
  <c r="H11" i="1" s="1"/>
  <c r="I11" i="1"/>
  <c r="D11" i="1" s="1"/>
  <c r="G12" i="1"/>
  <c r="H12" i="1" s="1"/>
  <c r="I12" i="1"/>
  <c r="D12" i="1" s="1"/>
  <c r="G13" i="1"/>
  <c r="H13" i="1" s="1"/>
  <c r="I13" i="1"/>
  <c r="D13" i="1" s="1"/>
  <c r="G14" i="1"/>
  <c r="H14" i="1" s="1"/>
  <c r="I14" i="1"/>
  <c r="D14" i="1" s="1"/>
  <c r="G15" i="1"/>
  <c r="H15" i="1" s="1"/>
  <c r="I15" i="1"/>
  <c r="A11" i="1"/>
  <c r="B11" i="1"/>
  <c r="A12" i="1"/>
  <c r="B12" i="1"/>
  <c r="A13" i="1"/>
  <c r="B13" i="1"/>
  <c r="A14" i="1"/>
  <c r="B14" i="1"/>
  <c r="A15" i="1"/>
  <c r="B15" i="1"/>
  <c r="M8" i="1"/>
  <c r="N8" i="1"/>
  <c r="O8" i="1"/>
  <c r="P8" i="1"/>
  <c r="S8" i="1"/>
  <c r="M9" i="1"/>
  <c r="N9" i="1"/>
  <c r="O9" i="1"/>
  <c r="P9" i="1"/>
  <c r="S9" i="1"/>
  <c r="M10" i="1"/>
  <c r="N10" i="1"/>
  <c r="O10" i="1"/>
  <c r="P10" i="1"/>
  <c r="S10" i="1"/>
  <c r="G8" i="1"/>
  <c r="H8" i="1" s="1"/>
  <c r="I8" i="1"/>
  <c r="D8" i="1" s="1"/>
  <c r="G9" i="1"/>
  <c r="H9" i="1" s="1"/>
  <c r="I9" i="1"/>
  <c r="D9" i="1" s="1"/>
  <c r="G10" i="1"/>
  <c r="I10" i="1"/>
  <c r="D10" i="1" s="1"/>
  <c r="A8" i="1"/>
  <c r="B8" i="1"/>
  <c r="A9" i="1"/>
  <c r="B9" i="1"/>
  <c r="A10" i="1"/>
  <c r="B10" i="1"/>
  <c r="AD67" i="5" l="1"/>
  <c r="AG69" i="5"/>
  <c r="AH69" i="5" s="1"/>
  <c r="AD65" i="5"/>
  <c r="AD58" i="5"/>
  <c r="AD51" i="5"/>
  <c r="AD60" i="5"/>
  <c r="AG52" i="5"/>
  <c r="AH52" i="5" s="1"/>
  <c r="AD52" i="5"/>
  <c r="AD57" i="5"/>
  <c r="AG71" i="5"/>
  <c r="AH71" i="5" s="1"/>
  <c r="AD53" i="5"/>
  <c r="AG73" i="5"/>
  <c r="AH73" i="5" s="1"/>
  <c r="AD73" i="5"/>
  <c r="AG70" i="5"/>
  <c r="AH70" i="5" s="1"/>
  <c r="AD70" i="5"/>
  <c r="AD64" i="5"/>
  <c r="AG64" i="5"/>
  <c r="AH64" i="5" s="1"/>
  <c r="AD56" i="5"/>
  <c r="AG66" i="5"/>
  <c r="AH66" i="5" s="1"/>
  <c r="AD66" i="5"/>
  <c r="AG55" i="5"/>
  <c r="AH55" i="5" s="1"/>
  <c r="AD55" i="5"/>
  <c r="AG59" i="5"/>
  <c r="AH59" i="5" s="1"/>
  <c r="AD59" i="5"/>
  <c r="AG63" i="5"/>
  <c r="AH63" i="5" s="1"/>
  <c r="AD63" i="5"/>
  <c r="AG50" i="5"/>
  <c r="AH50" i="5" s="1"/>
  <c r="AD50" i="5"/>
  <c r="AG20" i="5"/>
  <c r="AH20" i="5" s="1"/>
  <c r="AD20" i="5"/>
  <c r="AG16" i="5"/>
  <c r="AH16" i="5" s="1"/>
  <c r="AD16" i="5"/>
  <c r="AG22" i="5"/>
  <c r="AH22" i="5" s="1"/>
  <c r="AD22" i="5"/>
  <c r="AG18" i="5"/>
  <c r="AH18" i="5" s="1"/>
  <c r="AD18" i="5"/>
  <c r="AG17" i="5"/>
  <c r="AH17" i="5" s="1"/>
  <c r="AD17" i="5"/>
  <c r="AG19" i="5"/>
  <c r="AH19" i="5" s="1"/>
  <c r="AD19" i="5"/>
  <c r="AG21" i="5"/>
  <c r="AH21" i="5" s="1"/>
  <c r="AD21" i="5"/>
  <c r="AG14" i="5"/>
  <c r="AH14" i="5" s="1"/>
  <c r="AD14" i="5"/>
  <c r="AD24" i="5"/>
  <c r="AG24" i="5"/>
  <c r="AH24" i="5" s="1"/>
  <c r="K19" i="1"/>
  <c r="Q19" i="1" s="1"/>
  <c r="D19" i="1"/>
  <c r="K27" i="1"/>
  <c r="Q27" i="1" s="1"/>
  <c r="D27" i="1"/>
  <c r="K15" i="1"/>
  <c r="Q15" i="1" s="1"/>
  <c r="D15" i="1"/>
  <c r="K12" i="1"/>
  <c r="K28" i="1"/>
  <c r="Q28" i="1" s="1"/>
  <c r="K11" i="1"/>
  <c r="K16" i="1"/>
  <c r="Q16" i="1" s="1"/>
  <c r="K18" i="1"/>
  <c r="Q18" i="1" s="1"/>
  <c r="K20" i="1"/>
  <c r="Q20" i="1" s="1"/>
  <c r="K22" i="1"/>
  <c r="Q22" i="1" s="1"/>
  <c r="K23" i="1"/>
  <c r="Q23" i="1" s="1"/>
  <c r="K10" i="1"/>
  <c r="K14" i="1"/>
  <c r="Q14" i="1" s="1"/>
  <c r="K24" i="1"/>
  <c r="Q24" i="1" s="1"/>
  <c r="K30" i="1"/>
  <c r="K26" i="1"/>
  <c r="Q26" i="1" s="1"/>
  <c r="K9" i="1"/>
  <c r="Q9" i="1" s="1"/>
  <c r="K13" i="1"/>
  <c r="K8" i="1"/>
  <c r="Q8" i="1" s="1"/>
  <c r="K17" i="1"/>
  <c r="Q17" i="1" s="1"/>
  <c r="K21" i="1"/>
  <c r="Q21" i="1" s="1"/>
  <c r="K25" i="1"/>
  <c r="Q25" i="1" s="1"/>
  <c r="K29" i="1"/>
  <c r="Q29" i="1" s="1"/>
  <c r="H16" i="1"/>
  <c r="H26" i="1"/>
  <c r="H10" i="1"/>
  <c r="Q30" i="1"/>
  <c r="H25" i="1"/>
  <c r="H23" i="1"/>
  <c r="B7" i="7"/>
  <c r="A7" i="7"/>
  <c r="B6" i="7"/>
  <c r="A6" i="7"/>
  <c r="B5" i="7"/>
  <c r="A5" i="7"/>
  <c r="B4" i="7"/>
  <c r="A4" i="7"/>
  <c r="B3" i="7"/>
  <c r="A3" i="7"/>
  <c r="B2" i="7"/>
  <c r="A2" i="7"/>
  <c r="Q13" i="1" l="1"/>
  <c r="Q10" i="1"/>
  <c r="Q12" i="1"/>
  <c r="Q11" i="1"/>
  <c r="B2" i="5"/>
  <c r="B4" i="5"/>
  <c r="B6" i="5"/>
  <c r="B8" i="5"/>
  <c r="A2" i="5"/>
  <c r="A4" i="5"/>
  <c r="A6" i="5"/>
  <c r="A8" i="5"/>
  <c r="B3" i="4" l="1"/>
  <c r="B4" i="4"/>
  <c r="B5" i="4"/>
  <c r="B6" i="4"/>
  <c r="B7" i="4"/>
  <c r="B2" i="4"/>
  <c r="P3" i="1"/>
  <c r="P4" i="1"/>
  <c r="P5" i="1"/>
  <c r="P6" i="1"/>
  <c r="P7" i="1"/>
  <c r="P2" i="1"/>
  <c r="O3" i="1"/>
  <c r="O4" i="1"/>
  <c r="O5" i="1"/>
  <c r="O6" i="1"/>
  <c r="O7" i="1"/>
  <c r="O2" i="1"/>
  <c r="N3" i="1"/>
  <c r="N4" i="1"/>
  <c r="N5" i="1"/>
  <c r="N6" i="1"/>
  <c r="N7" i="1"/>
  <c r="M3" i="1"/>
  <c r="M4" i="1"/>
  <c r="M5" i="1"/>
  <c r="M6" i="1"/>
  <c r="M7" i="1"/>
  <c r="N2" i="1"/>
  <c r="M2" i="1"/>
  <c r="B3" i="1" l="1"/>
  <c r="B4" i="1"/>
  <c r="B5" i="1"/>
  <c r="B6" i="1"/>
  <c r="B7" i="1"/>
  <c r="B2" i="1"/>
  <c r="R12" i="1" l="1"/>
  <c r="R17" i="1"/>
  <c r="R11" i="1"/>
  <c r="R14" i="1"/>
  <c r="R30" i="1"/>
  <c r="R16" i="1"/>
  <c r="R18" i="1"/>
  <c r="R26" i="1"/>
  <c r="R13" i="1"/>
  <c r="R29" i="1"/>
  <c r="R10" i="1"/>
  <c r="R27" i="1"/>
  <c r="R22" i="1"/>
  <c r="R23" i="1"/>
  <c r="R21" i="1"/>
  <c r="R19" i="1"/>
  <c r="R20" i="1"/>
  <c r="R28" i="1"/>
  <c r="R24" i="1"/>
  <c r="R25" i="1"/>
  <c r="R15" i="1"/>
  <c r="K2" i="1"/>
  <c r="I3" i="1"/>
  <c r="D3" i="1" s="1"/>
  <c r="I4" i="1"/>
  <c r="D4" i="1" s="1"/>
  <c r="I5" i="1"/>
  <c r="D5" i="1" s="1"/>
  <c r="I6" i="1"/>
  <c r="I7" i="1"/>
  <c r="S5" i="1"/>
  <c r="S4" i="1"/>
  <c r="S3" i="1"/>
  <c r="S2" i="1"/>
  <c r="S6" i="1"/>
  <c r="S7" i="1"/>
  <c r="A3" i="1"/>
  <c r="A4" i="1"/>
  <c r="A5" i="1"/>
  <c r="A6" i="1"/>
  <c r="A7" i="1"/>
  <c r="A2" i="1"/>
  <c r="K7" i="1" l="1"/>
  <c r="D7" i="1"/>
  <c r="K6" i="1"/>
  <c r="Q6" i="1" s="1"/>
  <c r="D6" i="1"/>
  <c r="K3" i="1"/>
  <c r="Q3" i="1" s="1"/>
  <c r="K5" i="1"/>
  <c r="Q5" i="1" s="1"/>
  <c r="K4" i="1"/>
  <c r="Q4" i="1" s="1"/>
  <c r="Q2" i="1"/>
  <c r="Q7" i="1"/>
  <c r="E5" i="7" l="1"/>
  <c r="E2" i="7"/>
  <c r="E7" i="7"/>
  <c r="E4" i="7"/>
  <c r="E6" i="7"/>
  <c r="E3" i="7"/>
  <c r="G8" i="5"/>
  <c r="G6" i="5"/>
  <c r="G4" i="5"/>
  <c r="G2" i="5"/>
  <c r="G3" i="1"/>
  <c r="G5" i="1"/>
  <c r="G6" i="1"/>
  <c r="G7" i="1"/>
  <c r="G2" i="1"/>
  <c r="G4" i="1"/>
  <c r="F10" i="5" l="1" a="1"/>
  <c r="F10" i="5" s="1"/>
  <c r="AE11" i="5" a="1"/>
  <c r="AE11" i="5" s="1"/>
  <c r="F13" i="5" a="1"/>
  <c r="F13" i="5" s="1"/>
  <c r="W11" i="5"/>
  <c r="J12" i="5"/>
  <c r="P12" i="5"/>
  <c r="F12" i="5" a="1"/>
  <c r="F12" i="5" s="1"/>
  <c r="F11" i="5" a="1"/>
  <c r="F11" i="5" s="1"/>
  <c r="V12" i="5"/>
  <c r="AB13" i="5"/>
  <c r="W12" i="5"/>
  <c r="AE13" i="5" a="1"/>
  <c r="AE13" i="5" s="1"/>
  <c r="V13" i="5"/>
  <c r="W13" i="5"/>
  <c r="P13" i="5"/>
  <c r="AE12" i="5" a="1"/>
  <c r="AE12" i="5" s="1"/>
  <c r="AB12" i="5"/>
  <c r="J13" i="5"/>
  <c r="AF11" i="5" a="1"/>
  <c r="AF11" i="5" s="1"/>
  <c r="V11" i="5"/>
  <c r="X11" i="5" s="1"/>
  <c r="AB10" i="5"/>
  <c r="Y11" i="5"/>
  <c r="Z11" i="5" s="1"/>
  <c r="Y12" i="5"/>
  <c r="P11" i="5"/>
  <c r="AF13" i="5" a="1"/>
  <c r="AF13" i="5" s="1"/>
  <c r="J11" i="5"/>
  <c r="AF12" i="5" a="1"/>
  <c r="AF12" i="5" s="1"/>
  <c r="Y13" i="5"/>
  <c r="Z13" i="5" s="1"/>
  <c r="AB11" i="5"/>
  <c r="J10" i="5"/>
  <c r="AE10" i="5" a="1"/>
  <c r="AE10" i="5" s="1"/>
  <c r="W10" i="5"/>
  <c r="V10" i="5"/>
  <c r="AF10" i="5" a="1"/>
  <c r="AF10" i="5" s="1"/>
  <c r="Y10" i="5"/>
  <c r="P10" i="5"/>
  <c r="F8" i="5" a="1"/>
  <c r="F8" i="5" s="1"/>
  <c r="W9" i="5"/>
  <c r="J5" i="5"/>
  <c r="V7" i="5"/>
  <c r="J7" i="5"/>
  <c r="F9" i="5" a="1"/>
  <c r="F9" i="5" s="1"/>
  <c r="W5" i="5"/>
  <c r="P5" i="5"/>
  <c r="J9" i="5"/>
  <c r="W7" i="5"/>
  <c r="P7" i="5"/>
  <c r="F3" i="5" a="1"/>
  <c r="F3" i="5" s="1"/>
  <c r="F2" i="5" a="1"/>
  <c r="F2" i="5" s="1"/>
  <c r="R9" i="1"/>
  <c r="R8" i="1"/>
  <c r="F5" i="7"/>
  <c r="W5" i="7" s="1"/>
  <c r="H6" i="1"/>
  <c r="R6" i="1"/>
  <c r="F3" i="7"/>
  <c r="F7" i="7"/>
  <c r="U7" i="7" s="1"/>
  <c r="H5" i="1"/>
  <c r="R5" i="1"/>
  <c r="F2" i="7"/>
  <c r="H3" i="1"/>
  <c r="Y5" i="5" s="1"/>
  <c r="Z5" i="5" s="1"/>
  <c r="R3" i="1"/>
  <c r="H2" i="5"/>
  <c r="F6" i="7"/>
  <c r="U6" i="7" s="1"/>
  <c r="F4" i="7"/>
  <c r="W4" i="7" s="1"/>
  <c r="Z3" i="4" a="1"/>
  <c r="Z3" i="4" s="1"/>
  <c r="W3" i="4" a="1"/>
  <c r="W3" i="4" s="1"/>
  <c r="W2" i="4" a="1"/>
  <c r="W2" i="4" s="1"/>
  <c r="Z6" i="4" a="1"/>
  <c r="Z6" i="4" s="1"/>
  <c r="W7" i="4" a="1"/>
  <c r="W7" i="4" s="1"/>
  <c r="G7" i="4"/>
  <c r="H7" i="4"/>
  <c r="Z4" i="4" a="1"/>
  <c r="Z4" i="4" s="1"/>
  <c r="W6" i="4" a="1"/>
  <c r="W6" i="4" s="1"/>
  <c r="Z7" i="4" a="1"/>
  <c r="Z7" i="4" s="1"/>
  <c r="C6" i="4"/>
  <c r="R2" i="1"/>
  <c r="W5" i="4" a="1"/>
  <c r="W5" i="4" s="1"/>
  <c r="Z2" i="4" a="1"/>
  <c r="Z2" i="4" s="1"/>
  <c r="W4" i="4" a="1"/>
  <c r="W4" i="4" s="1"/>
  <c r="Z5" i="4" a="1"/>
  <c r="Z5" i="4" s="1"/>
  <c r="H5" i="4"/>
  <c r="G4" i="4"/>
  <c r="G5" i="4"/>
  <c r="G3" i="4"/>
  <c r="H4" i="4"/>
  <c r="H2" i="1"/>
  <c r="AF7" i="5" s="1" a="1"/>
  <c r="AF7" i="5" s="1"/>
  <c r="C7" i="4"/>
  <c r="H6" i="4"/>
  <c r="G6" i="4"/>
  <c r="C3" i="4"/>
  <c r="C5" i="4"/>
  <c r="C4" i="4"/>
  <c r="C2" i="4"/>
  <c r="G2" i="4"/>
  <c r="H7" i="1"/>
  <c r="R7" i="1"/>
  <c r="H4" i="5"/>
  <c r="W4" i="5" s="1"/>
  <c r="H8" i="5"/>
  <c r="AB8" i="5" s="1"/>
  <c r="H4" i="1"/>
  <c r="AB7" i="5" s="1"/>
  <c r="R4" i="1"/>
  <c r="H6" i="5"/>
  <c r="Y6" i="5" s="1"/>
  <c r="Z6" i="5" s="1"/>
  <c r="AA13" i="5" l="1"/>
  <c r="AC13" i="5" s="1"/>
  <c r="AD13" i="5" s="1"/>
  <c r="X12" i="5"/>
  <c r="AA10" i="5"/>
  <c r="AC10" i="5" s="1"/>
  <c r="X13" i="5"/>
  <c r="AA2" i="7"/>
  <c r="H2" i="4"/>
  <c r="AA11" i="5"/>
  <c r="AC11" i="5" s="1"/>
  <c r="AG11" i="5" s="1"/>
  <c r="AH11" i="5" s="1"/>
  <c r="AA12" i="5"/>
  <c r="X10" i="5"/>
  <c r="AK13" i="5" a="1"/>
  <c r="AK13" i="5" s="1"/>
  <c r="AK12" i="5" a="1"/>
  <c r="AK12" i="5" s="1"/>
  <c r="AK10" i="5" a="1"/>
  <c r="AK10" i="5" s="1"/>
  <c r="AK11" i="5" a="1"/>
  <c r="AK11" i="5" s="1"/>
  <c r="Z10" i="5"/>
  <c r="Z12" i="5"/>
  <c r="AC12" i="5"/>
  <c r="H3" i="7"/>
  <c r="H5" i="7"/>
  <c r="AA5" i="7"/>
  <c r="U4" i="7"/>
  <c r="H4" i="7"/>
  <c r="AA4" i="7"/>
  <c r="N4" i="7"/>
  <c r="N6" i="7"/>
  <c r="AB9" i="5"/>
  <c r="T4" i="7"/>
  <c r="W7" i="7"/>
  <c r="Y5" i="7"/>
  <c r="N5" i="7"/>
  <c r="U2" i="7"/>
  <c r="Y7" i="7"/>
  <c r="N2" i="7"/>
  <c r="V9" i="5"/>
  <c r="X9" i="5" s="1"/>
  <c r="Y7" i="5"/>
  <c r="Z7" i="5" s="1"/>
  <c r="AE5" i="5" a="1"/>
  <c r="AE5" i="5" s="1"/>
  <c r="Y4" i="7"/>
  <c r="Y2" i="7"/>
  <c r="H7" i="7"/>
  <c r="AF5" i="5" a="1"/>
  <c r="AF5" i="5" s="1"/>
  <c r="W6" i="7"/>
  <c r="T2" i="7"/>
  <c r="H2" i="7"/>
  <c r="Y9" i="5"/>
  <c r="Z9" i="5" s="1"/>
  <c r="P9" i="5"/>
  <c r="AE9" i="5" a="1"/>
  <c r="AE9" i="5" s="1"/>
  <c r="T6" i="7"/>
  <c r="X6" i="7" s="1"/>
  <c r="W2" i="7"/>
  <c r="H6" i="7"/>
  <c r="AB5" i="5"/>
  <c r="V5" i="5"/>
  <c r="AA5" i="5" s="1"/>
  <c r="AF9" i="5" a="1"/>
  <c r="AF9" i="5" s="1"/>
  <c r="N7" i="7"/>
  <c r="AE7" i="5" a="1"/>
  <c r="AE7" i="5" s="1"/>
  <c r="AK8" i="5" a="1"/>
  <c r="AK8" i="5" s="1"/>
  <c r="AA7" i="5"/>
  <c r="AE3" i="5" a="1"/>
  <c r="AE3" i="5" s="1"/>
  <c r="AE2" i="5" a="1"/>
  <c r="AE2" i="5" s="1"/>
  <c r="AE6" i="5" a="1"/>
  <c r="AE6" i="5" s="1"/>
  <c r="Y2" i="5"/>
  <c r="Z2" i="5" s="1"/>
  <c r="AE8" i="5" a="1"/>
  <c r="AE8" i="5" s="1"/>
  <c r="E7" i="4" a="1"/>
  <c r="E7" i="4" s="1"/>
  <c r="AF2" i="5" a="1"/>
  <c r="AF2" i="5" s="1"/>
  <c r="F3" i="4" a="1"/>
  <c r="F3" i="4" s="1"/>
  <c r="AF3" i="5" a="1"/>
  <c r="AF3" i="5" s="1"/>
  <c r="AE4" i="5" a="1"/>
  <c r="AE4" i="5" s="1"/>
  <c r="AK9" i="5" a="1"/>
  <c r="AK9" i="5" s="1"/>
  <c r="AK3" i="5" a="1"/>
  <c r="AK3" i="5" s="1"/>
  <c r="AK5" i="5" a="1"/>
  <c r="AK5" i="5" s="1"/>
  <c r="AK7" i="5" a="1"/>
  <c r="AK7" i="5" s="1"/>
  <c r="J4" i="5"/>
  <c r="P6" i="5"/>
  <c r="W6" i="5"/>
  <c r="AB6" i="5"/>
  <c r="AB4" i="5"/>
  <c r="V4" i="5"/>
  <c r="J8" i="5"/>
  <c r="Y4" i="5"/>
  <c r="Z4" i="5" s="1"/>
  <c r="V8" i="5"/>
  <c r="AF4" i="5" a="1"/>
  <c r="AF4" i="5" s="1"/>
  <c r="Y8" i="5"/>
  <c r="Z8" i="5" s="1"/>
  <c r="P8" i="5"/>
  <c r="AF6" i="5" a="1"/>
  <c r="AF6" i="5" s="1"/>
  <c r="W8" i="5"/>
  <c r="AF8" i="5" a="1"/>
  <c r="AF8" i="5" s="1"/>
  <c r="P4" i="5"/>
  <c r="J6" i="5"/>
  <c r="V6" i="5"/>
  <c r="P3" i="5"/>
  <c r="J2" i="5"/>
  <c r="D3" i="4" a="1"/>
  <c r="D3" i="4" s="1"/>
  <c r="N3" i="7"/>
  <c r="W3" i="5"/>
  <c r="V2" i="5"/>
  <c r="J3" i="5"/>
  <c r="AB3" i="5"/>
  <c r="F6" i="4" a="1"/>
  <c r="F6" i="4" s="1"/>
  <c r="W3" i="7"/>
  <c r="V3" i="5"/>
  <c r="P2" i="5"/>
  <c r="Y3" i="5"/>
  <c r="Z3" i="5" s="1"/>
  <c r="W2" i="5"/>
  <c r="X7" i="5"/>
  <c r="AB2" i="5"/>
  <c r="AE2" i="7" a="1"/>
  <c r="AE2" i="7" s="1"/>
  <c r="AE4" i="7" a="1"/>
  <c r="AE4" i="7" s="1"/>
  <c r="AE3" i="7" a="1"/>
  <c r="AE3" i="7" s="1"/>
  <c r="AK4" i="5" a="1"/>
  <c r="AK4" i="5" s="1"/>
  <c r="F4" i="4" a="1"/>
  <c r="F4" i="4" s="1"/>
  <c r="E4" i="4" a="1"/>
  <c r="E4" i="4" s="1"/>
  <c r="T3" i="7"/>
  <c r="H3" i="4"/>
  <c r="U3" i="7"/>
  <c r="Y3" i="7"/>
  <c r="E5" i="4" a="1"/>
  <c r="E5" i="4" s="1"/>
  <c r="AA3" i="7"/>
  <c r="F5" i="4" a="1"/>
  <c r="F5" i="4" s="1"/>
  <c r="AK6" i="5" a="1"/>
  <c r="AK6" i="5" s="1"/>
  <c r="D5" i="4" a="1"/>
  <c r="D5" i="4" s="1"/>
  <c r="D6" i="4" a="1"/>
  <c r="D6" i="4" s="1"/>
  <c r="E6" i="4" a="1"/>
  <c r="E6" i="4" s="1"/>
  <c r="D7" i="4" a="1"/>
  <c r="D7" i="4" s="1"/>
  <c r="AE7" i="7" a="1"/>
  <c r="AE7" i="7" s="1"/>
  <c r="AE5" i="7" a="1"/>
  <c r="AE5" i="7" s="1"/>
  <c r="AE6" i="7" a="1"/>
  <c r="AE6" i="7" s="1"/>
  <c r="AK2" i="5" a="1"/>
  <c r="AK2" i="5" s="1"/>
  <c r="D4" i="4" a="1"/>
  <c r="D4" i="4" s="1"/>
  <c r="F2" i="4" a="1"/>
  <c r="F2" i="4" s="1"/>
  <c r="T7" i="7"/>
  <c r="V7" i="7" s="1"/>
  <c r="T5" i="7"/>
  <c r="F7" i="4" a="1"/>
  <c r="F7" i="4" s="1"/>
  <c r="AA6" i="7"/>
  <c r="U5" i="7"/>
  <c r="E2" i="4" a="1"/>
  <c r="E2" i="4" s="1"/>
  <c r="E3" i="4" a="1"/>
  <c r="E3" i="4" s="1"/>
  <c r="I3" i="4" s="1"/>
  <c r="Y6" i="7"/>
  <c r="AA7" i="7"/>
  <c r="D2" i="4" a="1"/>
  <c r="D2" i="4" s="1"/>
  <c r="X4" i="7"/>
  <c r="AD11" i="5" l="1"/>
  <c r="I5" i="4"/>
  <c r="I7" i="4"/>
  <c r="AA9" i="5"/>
  <c r="AC9" i="5" s="1"/>
  <c r="AG9" i="5" s="1"/>
  <c r="AH9" i="5" s="1"/>
  <c r="X5" i="5"/>
  <c r="V2" i="7"/>
  <c r="AG13" i="5"/>
  <c r="AH13" i="5" s="1"/>
  <c r="AA8" i="5"/>
  <c r="X2" i="7"/>
  <c r="Z2" i="7" s="1"/>
  <c r="AB2" i="7" s="1"/>
  <c r="AC5" i="5"/>
  <c r="AG5" i="5" s="1"/>
  <c r="AH5" i="5" s="1"/>
  <c r="V4" i="7"/>
  <c r="AD12" i="5"/>
  <c r="AG12" i="5"/>
  <c r="AH12" i="5" s="1"/>
  <c r="AG10" i="5"/>
  <c r="AH10" i="5" s="1"/>
  <c r="AD10" i="5"/>
  <c r="X8" i="5"/>
  <c r="AC7" i="5"/>
  <c r="AG7" i="5" s="1"/>
  <c r="AH7" i="5" s="1"/>
  <c r="V6" i="7"/>
  <c r="Z4" i="7"/>
  <c r="AB4" i="7" s="1"/>
  <c r="AA3" i="5"/>
  <c r="AC3" i="5" s="1"/>
  <c r="X3" i="7"/>
  <c r="Z3" i="7" s="1"/>
  <c r="AB3" i="7" s="1"/>
  <c r="X3" i="5"/>
  <c r="Z6" i="7"/>
  <c r="X5" i="7"/>
  <c r="Z5" i="7" s="1"/>
  <c r="AB5" i="7" s="1"/>
  <c r="Q5" i="4" a="1"/>
  <c r="Q5" i="4" s="1"/>
  <c r="Q2" i="4" a="1"/>
  <c r="Q2" i="4" s="1"/>
  <c r="Q7" i="4" a="1"/>
  <c r="Q7" i="4" s="1"/>
  <c r="Q4" i="4" a="1"/>
  <c r="Q4" i="4" s="1"/>
  <c r="Q6" i="4" a="1"/>
  <c r="Q6" i="4" s="1"/>
  <c r="Q3" i="4" a="1"/>
  <c r="Q3" i="4" s="1"/>
  <c r="U7" i="4" a="1"/>
  <c r="U7" i="4" s="1"/>
  <c r="U4" i="4" a="1"/>
  <c r="U4" i="4" s="1"/>
  <c r="U5" i="4" a="1"/>
  <c r="U5" i="4" s="1"/>
  <c r="U2" i="4" a="1"/>
  <c r="U2" i="4" s="1"/>
  <c r="U6" i="4" a="1"/>
  <c r="U6" i="4" s="1"/>
  <c r="U3" i="4" a="1"/>
  <c r="U3" i="4" s="1"/>
  <c r="X6" i="5"/>
  <c r="V3" i="7"/>
  <c r="I2" i="4"/>
  <c r="AB6" i="7"/>
  <c r="X2" i="5"/>
  <c r="X4" i="5"/>
  <c r="I4" i="4"/>
  <c r="K4" i="4"/>
  <c r="M4" i="4" s="1"/>
  <c r="J4" i="4"/>
  <c r="L4" i="4" s="1"/>
  <c r="AC8" i="5"/>
  <c r="K7" i="4"/>
  <c r="M7" i="4" s="1"/>
  <c r="J7" i="4"/>
  <c r="L7" i="4" s="1"/>
  <c r="J3" i="4"/>
  <c r="L3" i="4" s="1"/>
  <c r="AA2" i="5"/>
  <c r="AC2" i="5" s="1"/>
  <c r="X7" i="7"/>
  <c r="Z7" i="7" s="1"/>
  <c r="AB7" i="7" s="1"/>
  <c r="K3" i="4"/>
  <c r="M3" i="4" s="1"/>
  <c r="J2" i="4"/>
  <c r="L2" i="4" s="1"/>
  <c r="K2" i="4"/>
  <c r="M2" i="4" s="1"/>
  <c r="V5" i="7"/>
  <c r="AA6" i="5"/>
  <c r="AC6" i="5" s="1"/>
  <c r="I6" i="4"/>
  <c r="J6" i="4"/>
  <c r="L6" i="4" s="1"/>
  <c r="K6" i="4"/>
  <c r="M6" i="4" s="1"/>
  <c r="AA4" i="5"/>
  <c r="AC4" i="5" s="1"/>
  <c r="J5" i="4"/>
  <c r="L5" i="4" s="1"/>
  <c r="K5" i="4"/>
  <c r="M5" i="4" s="1"/>
  <c r="S42" i="5" l="1" a="1"/>
  <c r="S42" i="5" s="1"/>
  <c r="S43" i="5" a="1"/>
  <c r="S43" i="5" s="1"/>
  <c r="S54" i="5" a="1"/>
  <c r="S54" i="5" s="1"/>
  <c r="S55" i="5" a="1"/>
  <c r="S55" i="5" s="1"/>
  <c r="S66" i="5" a="1"/>
  <c r="S66" i="5" s="1"/>
  <c r="S67" i="5" a="1"/>
  <c r="S67" i="5" s="1"/>
  <c r="S45" i="5" a="1"/>
  <c r="S45" i="5" s="1"/>
  <c r="T45" i="5" s="1"/>
  <c r="S44" i="5" a="1"/>
  <c r="S44" i="5" s="1"/>
  <c r="T44" i="5" s="1"/>
  <c r="S57" i="5" a="1"/>
  <c r="S57" i="5" s="1"/>
  <c r="T57" i="5" s="1"/>
  <c r="S69" i="5" a="1"/>
  <c r="S69" i="5" s="1"/>
  <c r="T69" i="5" s="1"/>
  <c r="S56" i="5" a="1"/>
  <c r="S56" i="5" s="1"/>
  <c r="T56" i="5" s="1"/>
  <c r="S68" i="5" a="1"/>
  <c r="S68" i="5" s="1"/>
  <c r="T68" i="5" s="1"/>
  <c r="S49" i="5" a="1"/>
  <c r="S49" i="5" s="1"/>
  <c r="S48" i="5" a="1"/>
  <c r="S48" i="5" s="1"/>
  <c r="S72" i="5" a="1"/>
  <c r="S72" i="5" s="1"/>
  <c r="S60" i="5" a="1"/>
  <c r="S60" i="5" s="1"/>
  <c r="S73" i="5" a="1"/>
  <c r="S73" i="5" s="1"/>
  <c r="S61" i="5" a="1"/>
  <c r="S61" i="5" s="1"/>
  <c r="M40" i="5" a="1"/>
  <c r="M40" i="5" s="1"/>
  <c r="N40" i="5" s="1"/>
  <c r="M41" i="5" a="1"/>
  <c r="M41" i="5" s="1"/>
  <c r="N41" i="5" s="1"/>
  <c r="M53" i="5" a="1"/>
  <c r="M53" i="5" s="1"/>
  <c r="N53" i="5" s="1"/>
  <c r="M52" i="5" a="1"/>
  <c r="M52" i="5" s="1"/>
  <c r="N52" i="5" s="1"/>
  <c r="M64" i="5" a="1"/>
  <c r="M64" i="5" s="1"/>
  <c r="N64" i="5" s="1"/>
  <c r="M65" i="5" a="1"/>
  <c r="M65" i="5" s="1"/>
  <c r="N65" i="5" s="1"/>
  <c r="S40" i="5" a="1"/>
  <c r="S40" i="5" s="1"/>
  <c r="T40" i="5" s="1"/>
  <c r="S41" i="5" a="1"/>
  <c r="S41" i="5" s="1"/>
  <c r="T41" i="5" s="1"/>
  <c r="S64" i="5" a="1"/>
  <c r="S64" i="5" s="1"/>
  <c r="T64" i="5" s="1"/>
  <c r="S52" i="5" a="1"/>
  <c r="S52" i="5" s="1"/>
  <c r="T52" i="5" s="1"/>
  <c r="S65" i="5" a="1"/>
  <c r="S65" i="5" s="1"/>
  <c r="T65" i="5" s="1"/>
  <c r="S53" i="5" a="1"/>
  <c r="S53" i="5" s="1"/>
  <c r="T53" i="5" s="1"/>
  <c r="M46" i="5" a="1"/>
  <c r="M46" i="5" s="1"/>
  <c r="N46" i="5" s="1"/>
  <c r="M47" i="5" a="1"/>
  <c r="M47" i="5" s="1"/>
  <c r="N47" i="5" s="1"/>
  <c r="M70" i="5" a="1"/>
  <c r="M70" i="5" s="1"/>
  <c r="N70" i="5" s="1"/>
  <c r="M59" i="5" a="1"/>
  <c r="M59" i="5" s="1"/>
  <c r="N59" i="5" s="1"/>
  <c r="M71" i="5" a="1"/>
  <c r="M71" i="5" s="1"/>
  <c r="N71" i="5" s="1"/>
  <c r="M58" i="5" a="1"/>
  <c r="M58" i="5" s="1"/>
  <c r="N58" i="5" s="1"/>
  <c r="M42" i="5" a="1"/>
  <c r="M42" i="5" s="1"/>
  <c r="M43" i="5" a="1"/>
  <c r="M43" i="5" s="1"/>
  <c r="M54" i="5" a="1"/>
  <c r="M54" i="5" s="1"/>
  <c r="M67" i="5" a="1"/>
  <c r="M67" i="5" s="1"/>
  <c r="M66" i="5" a="1"/>
  <c r="M66" i="5" s="1"/>
  <c r="M55" i="5" a="1"/>
  <c r="M55" i="5" s="1"/>
  <c r="S46" i="5" a="1"/>
  <c r="S46" i="5" s="1"/>
  <c r="T46" i="5" s="1"/>
  <c r="S47" i="5" a="1"/>
  <c r="S47" i="5" s="1"/>
  <c r="T47" i="5" s="1"/>
  <c r="S70" i="5" a="1"/>
  <c r="S70" i="5" s="1"/>
  <c r="T70" i="5" s="1"/>
  <c r="S58" i="5" a="1"/>
  <c r="S58" i="5" s="1"/>
  <c r="T58" i="5" s="1"/>
  <c r="S71" i="5" a="1"/>
  <c r="S71" i="5" s="1"/>
  <c r="T71" i="5" s="1"/>
  <c r="S59" i="5" a="1"/>
  <c r="S59" i="5" s="1"/>
  <c r="T59" i="5" s="1"/>
  <c r="M49" i="5" a="1"/>
  <c r="M49" i="5" s="1"/>
  <c r="M48" i="5" a="1"/>
  <c r="M48" i="5" s="1"/>
  <c r="M72" i="5" a="1"/>
  <c r="M72" i="5" s="1"/>
  <c r="M61" i="5" a="1"/>
  <c r="M61" i="5" s="1"/>
  <c r="M73" i="5" a="1"/>
  <c r="M73" i="5" s="1"/>
  <c r="M60" i="5" a="1"/>
  <c r="M60" i="5" s="1"/>
  <c r="M38" i="5" a="1"/>
  <c r="M38" i="5" s="1"/>
  <c r="N38" i="5" s="1"/>
  <c r="M39" i="5" a="1"/>
  <c r="M39" i="5" s="1"/>
  <c r="N39" i="5" s="1"/>
  <c r="M51" i="5" a="1"/>
  <c r="M51" i="5" s="1"/>
  <c r="N51" i="5" s="1"/>
  <c r="M62" i="5" a="1"/>
  <c r="M62" i="5" s="1"/>
  <c r="N62" i="5" s="1"/>
  <c r="M50" i="5" a="1"/>
  <c r="M50" i="5" s="1"/>
  <c r="N50" i="5" s="1"/>
  <c r="M63" i="5" a="1"/>
  <c r="M63" i="5" s="1"/>
  <c r="N63" i="5" s="1"/>
  <c r="S38" i="5" a="1"/>
  <c r="S38" i="5" s="1"/>
  <c r="T38" i="5" s="1"/>
  <c r="S39" i="5" a="1"/>
  <c r="S39" i="5" s="1"/>
  <c r="T39" i="5" s="1"/>
  <c r="S62" i="5" a="1"/>
  <c r="S62" i="5" s="1"/>
  <c r="T62" i="5" s="1"/>
  <c r="S51" i="5" a="1"/>
  <c r="S51" i="5" s="1"/>
  <c r="T51" i="5" s="1"/>
  <c r="S63" i="5" a="1"/>
  <c r="S63" i="5" s="1"/>
  <c r="T63" i="5" s="1"/>
  <c r="S50" i="5" a="1"/>
  <c r="S50" i="5" s="1"/>
  <c r="T50" i="5" s="1"/>
  <c r="M45" i="5" a="1"/>
  <c r="M45" i="5" s="1"/>
  <c r="N45" i="5" s="1"/>
  <c r="M44" i="5" a="1"/>
  <c r="M44" i="5" s="1"/>
  <c r="N44" i="5" s="1"/>
  <c r="M57" i="5" a="1"/>
  <c r="M57" i="5" s="1"/>
  <c r="N57" i="5" s="1"/>
  <c r="M56" i="5" a="1"/>
  <c r="M56" i="5" s="1"/>
  <c r="N56" i="5" s="1"/>
  <c r="M68" i="5" a="1"/>
  <c r="M68" i="5" s="1"/>
  <c r="N68" i="5" s="1"/>
  <c r="M69" i="5" a="1"/>
  <c r="M69" i="5" s="1"/>
  <c r="N69" i="5" s="1"/>
  <c r="S31" i="5" a="1"/>
  <c r="S31" i="5" s="1"/>
  <c r="S30" i="5" a="1"/>
  <c r="S30" i="5" s="1"/>
  <c r="S28" i="5" a="1"/>
  <c r="S28" i="5" s="1"/>
  <c r="T28" i="5" s="1"/>
  <c r="S29" i="5" a="1"/>
  <c r="S29" i="5" s="1"/>
  <c r="T29" i="5" s="1"/>
  <c r="S36" i="5" a="1"/>
  <c r="S36" i="5" s="1"/>
  <c r="S37" i="5" a="1"/>
  <c r="S37" i="5" s="1"/>
  <c r="S35" i="5" a="1"/>
  <c r="S35" i="5" s="1"/>
  <c r="T35" i="5" s="1"/>
  <c r="S34" i="5" a="1"/>
  <c r="S34" i="5" s="1"/>
  <c r="T34" i="5" s="1"/>
  <c r="M28" i="5" a="1"/>
  <c r="M28" i="5" s="1"/>
  <c r="N28" i="5" s="1"/>
  <c r="M29" i="5" a="1"/>
  <c r="M29" i="5" s="1"/>
  <c r="N29" i="5" s="1"/>
  <c r="S33" i="5" a="1"/>
  <c r="S33" i="5" s="1"/>
  <c r="T33" i="5" s="1"/>
  <c r="S32" i="5" a="1"/>
  <c r="S32" i="5" s="1"/>
  <c r="T32" i="5" s="1"/>
  <c r="M34" i="5" a="1"/>
  <c r="M34" i="5" s="1"/>
  <c r="N34" i="5" s="1"/>
  <c r="M35" i="5" a="1"/>
  <c r="M35" i="5" s="1"/>
  <c r="N35" i="5" s="1"/>
  <c r="M30" i="5" a="1"/>
  <c r="M30" i="5" s="1"/>
  <c r="M31" i="5" a="1"/>
  <c r="M31" i="5" s="1"/>
  <c r="M37" i="5" a="1"/>
  <c r="M37" i="5" s="1"/>
  <c r="M36" i="5" a="1"/>
  <c r="M36" i="5" s="1"/>
  <c r="S26" i="5" a="1"/>
  <c r="S26" i="5" s="1"/>
  <c r="T26" i="5" s="1"/>
  <c r="S27" i="5" a="1"/>
  <c r="S27" i="5" s="1"/>
  <c r="T27" i="5" s="1"/>
  <c r="M26" i="5" a="1"/>
  <c r="M26" i="5" s="1"/>
  <c r="N26" i="5" s="1"/>
  <c r="M27" i="5" a="1"/>
  <c r="M27" i="5" s="1"/>
  <c r="N27" i="5" s="1"/>
  <c r="M32" i="5" a="1"/>
  <c r="M32" i="5" s="1"/>
  <c r="N32" i="5" s="1"/>
  <c r="M33" i="5" a="1"/>
  <c r="M33" i="5" s="1"/>
  <c r="N33" i="5" s="1"/>
  <c r="S18" i="5" a="1"/>
  <c r="S18" i="5" s="1"/>
  <c r="S19" i="5" a="1"/>
  <c r="S19" i="5" s="1"/>
  <c r="S14" i="5" a="1"/>
  <c r="S14" i="5" s="1"/>
  <c r="T14" i="5" s="1"/>
  <c r="S15" i="5" a="1"/>
  <c r="S15" i="5" s="1"/>
  <c r="T15" i="5" s="1"/>
  <c r="S25" i="5" a="1"/>
  <c r="S25" i="5" s="1"/>
  <c r="S24" i="5" a="1"/>
  <c r="S24" i="5" s="1"/>
  <c r="S23" i="5" a="1"/>
  <c r="S23" i="5" s="1"/>
  <c r="T23" i="5" s="1"/>
  <c r="S22" i="5" a="1"/>
  <c r="S22" i="5" s="1"/>
  <c r="T22" i="5" s="1"/>
  <c r="M17" i="5" a="1"/>
  <c r="M17" i="5" s="1"/>
  <c r="N17" i="5" s="1"/>
  <c r="M16" i="5" a="1"/>
  <c r="M16" i="5" s="1"/>
  <c r="N16" i="5" s="1"/>
  <c r="S20" i="5" a="1"/>
  <c r="S20" i="5" s="1"/>
  <c r="T20" i="5" s="1"/>
  <c r="S21" i="5" a="1"/>
  <c r="S21" i="5" s="1"/>
  <c r="T21" i="5" s="1"/>
  <c r="M23" i="5" a="1"/>
  <c r="M23" i="5" s="1"/>
  <c r="N23" i="5" s="1"/>
  <c r="M22" i="5" a="1"/>
  <c r="M22" i="5" s="1"/>
  <c r="N22" i="5" s="1"/>
  <c r="M19" i="5" a="1"/>
  <c r="M19" i="5" s="1"/>
  <c r="M18" i="5" a="1"/>
  <c r="M18" i="5" s="1"/>
  <c r="M25" i="5" a="1"/>
  <c r="M25" i="5" s="1"/>
  <c r="M24" i="5" a="1"/>
  <c r="M24" i="5" s="1"/>
  <c r="S17" i="5" a="1"/>
  <c r="S17" i="5" s="1"/>
  <c r="T17" i="5" s="1"/>
  <c r="S16" i="5" a="1"/>
  <c r="S16" i="5" s="1"/>
  <c r="T16" i="5" s="1"/>
  <c r="M2" i="5" a="1"/>
  <c r="M2" i="5" s="1"/>
  <c r="M14" i="5" a="1"/>
  <c r="M14" i="5" s="1"/>
  <c r="N14" i="5" s="1"/>
  <c r="M15" i="5" a="1"/>
  <c r="M15" i="5" s="1"/>
  <c r="N15" i="5" s="1"/>
  <c r="M20" i="5" a="1"/>
  <c r="M20" i="5" s="1"/>
  <c r="N20" i="5" s="1"/>
  <c r="M21" i="5" a="1"/>
  <c r="M21" i="5" s="1"/>
  <c r="N21" i="5" s="1"/>
  <c r="AD9" i="5"/>
  <c r="AD7" i="5"/>
  <c r="AD5" i="5"/>
  <c r="S11" i="5" a="1"/>
  <c r="S11" i="5" s="1"/>
  <c r="S10" i="5" a="1"/>
  <c r="S10" i="5" s="1"/>
  <c r="S12" i="5" a="1"/>
  <c r="S12" i="5" s="1"/>
  <c r="S13" i="5" a="1"/>
  <c r="S13" i="5" s="1"/>
  <c r="M10" i="5" a="1"/>
  <c r="M10" i="5" s="1"/>
  <c r="M11" i="5" a="1"/>
  <c r="M11" i="5" s="1"/>
  <c r="M12" i="5" a="1"/>
  <c r="M12" i="5" s="1"/>
  <c r="M13" i="5" a="1"/>
  <c r="M13" i="5" s="1"/>
  <c r="AG4" i="5"/>
  <c r="AH4" i="5" s="1"/>
  <c r="AD4" i="5"/>
  <c r="AG6" i="5"/>
  <c r="AH6" i="5" s="1"/>
  <c r="AD6" i="5"/>
  <c r="AG8" i="5"/>
  <c r="AH8" i="5" s="1"/>
  <c r="AD8" i="5"/>
  <c r="AG2" i="5"/>
  <c r="AH2" i="5" s="1"/>
  <c r="AD2" i="5"/>
  <c r="AG3" i="5"/>
  <c r="AH3" i="5" s="1"/>
  <c r="AD3" i="5"/>
  <c r="S9" i="5" a="1"/>
  <c r="S9" i="5" s="1"/>
  <c r="M5" i="5" a="1"/>
  <c r="M5" i="5" s="1"/>
  <c r="M7" i="5" a="1"/>
  <c r="M7" i="5" s="1"/>
  <c r="M3" i="5" a="1"/>
  <c r="M3" i="5" s="1"/>
  <c r="M9" i="5" a="1"/>
  <c r="M9" i="5" s="1"/>
  <c r="S7" i="5" a="1"/>
  <c r="S7" i="5" s="1"/>
  <c r="S3" i="5" a="1"/>
  <c r="S3" i="5" s="1"/>
  <c r="S5" i="5" a="1"/>
  <c r="S5" i="5" s="1"/>
  <c r="S3" i="4" a="1"/>
  <c r="S3" i="4" s="1"/>
  <c r="O3" i="4" a="1"/>
  <c r="O3" i="4" s="1"/>
  <c r="P5" i="4" a="1"/>
  <c r="P5" i="4" s="1"/>
  <c r="T5" i="4" a="1"/>
  <c r="T5" i="4" s="1"/>
  <c r="P4" i="4" a="1"/>
  <c r="P4" i="4" s="1"/>
  <c r="T4" i="4" a="1"/>
  <c r="T4" i="4" s="1"/>
  <c r="S4" i="5" a="1"/>
  <c r="S4" i="5" s="1"/>
  <c r="Q4" i="7" a="1"/>
  <c r="Q4" i="7" s="1"/>
  <c r="K2" i="7" a="1"/>
  <c r="K2" i="7" s="1"/>
  <c r="Q6" i="7" a="1"/>
  <c r="Q6" i="7" s="1"/>
  <c r="S8" i="5" a="1"/>
  <c r="S8" i="5" s="1"/>
  <c r="M4" i="5" a="1"/>
  <c r="M4" i="5" s="1"/>
  <c r="K4" i="7" a="1"/>
  <c r="K4" i="7" s="1"/>
  <c r="M6" i="5" a="1"/>
  <c r="M6" i="5" s="1"/>
  <c r="K5" i="7" a="1"/>
  <c r="K5" i="7" s="1"/>
  <c r="S5" i="4" a="1"/>
  <c r="S5" i="4" s="1"/>
  <c r="O5" i="4" a="1"/>
  <c r="O5" i="4" s="1"/>
  <c r="T6" i="4" a="1"/>
  <c r="T6" i="4" s="1"/>
  <c r="P6" i="4" a="1"/>
  <c r="P6" i="4" s="1"/>
  <c r="O6" i="4" a="1"/>
  <c r="O6" i="4" s="1"/>
  <c r="S6" i="4" a="1"/>
  <c r="S6" i="4" s="1"/>
  <c r="O7" i="4" a="1"/>
  <c r="O7" i="4" s="1"/>
  <c r="S7" i="4" a="1"/>
  <c r="S7" i="4" s="1"/>
  <c r="Q2" i="7" a="1"/>
  <c r="Q2" i="7" s="1"/>
  <c r="K3" i="7" a="1"/>
  <c r="K3" i="7" s="1"/>
  <c r="P2" i="4" a="1"/>
  <c r="P2" i="4" s="1"/>
  <c r="T2" i="4" a="1"/>
  <c r="T2" i="4" s="1"/>
  <c r="S2" i="4" a="1"/>
  <c r="S2" i="4" s="1"/>
  <c r="O2" i="4" a="1"/>
  <c r="O2" i="4" s="1"/>
  <c r="T3" i="4" a="1"/>
  <c r="T3" i="4" s="1"/>
  <c r="P3" i="4" a="1"/>
  <c r="P3" i="4" s="1"/>
  <c r="K6" i="7" a="1"/>
  <c r="K6" i="7" s="1"/>
  <c r="M8" i="5" a="1"/>
  <c r="M8" i="5" s="1"/>
  <c r="K7" i="7" a="1"/>
  <c r="K7" i="7" s="1"/>
  <c r="T7" i="4" a="1"/>
  <c r="T7" i="4" s="1"/>
  <c r="P7" i="4" a="1"/>
  <c r="P7" i="4" s="1"/>
  <c r="Q5" i="7" a="1"/>
  <c r="Q5" i="7" s="1"/>
  <c r="S6" i="5" a="1"/>
  <c r="S6" i="5" s="1"/>
  <c r="Q7" i="7" a="1"/>
  <c r="Q7" i="7" s="1"/>
  <c r="S4" i="4" a="1"/>
  <c r="S4" i="4" s="1"/>
  <c r="O4" i="4" a="1"/>
  <c r="O4" i="4" s="1"/>
  <c r="S2" i="5" a="1"/>
  <c r="S2" i="5" s="1"/>
  <c r="Q3" i="7" a="1"/>
  <c r="Q3" i="7" s="1"/>
  <c r="Y5" i="4"/>
  <c r="X5" i="4"/>
  <c r="X2" i="4"/>
  <c r="X3" i="4"/>
  <c r="Y2" i="4"/>
  <c r="Y3" i="4"/>
  <c r="Y6" i="4"/>
  <c r="Y4" i="4"/>
  <c r="X4" i="4"/>
  <c r="X6" i="4"/>
  <c r="X7" i="4"/>
  <c r="Y7" i="4"/>
  <c r="AJ13" i="5" l="1" a="1"/>
  <c r="AJ13" i="5" s="1"/>
  <c r="AL13" i="5" s="1"/>
  <c r="AJ12" i="5" a="1"/>
  <c r="AJ12" i="5" s="1"/>
  <c r="AL12" i="5" s="1"/>
  <c r="AI12" i="5" a="1"/>
  <c r="AI12" i="5" s="1"/>
  <c r="AI13" i="5" a="1"/>
  <c r="AI13" i="5" s="1"/>
  <c r="AI11" i="5" a="1"/>
  <c r="AI11" i="5" s="1"/>
  <c r="AI10" i="5" a="1"/>
  <c r="AI10" i="5" s="1"/>
  <c r="AJ11" i="5" a="1"/>
  <c r="AJ11" i="5" s="1"/>
  <c r="AJ10" i="5" a="1"/>
  <c r="AJ10" i="5" s="1"/>
  <c r="AL10" i="5" s="1"/>
  <c r="L13" i="5" a="1"/>
  <c r="L13" i="5" s="1"/>
  <c r="L12" i="5" a="1"/>
  <c r="L12" i="5" s="1"/>
  <c r="R12" i="5" a="1"/>
  <c r="R12" i="5" s="1"/>
  <c r="R13" i="5" a="1"/>
  <c r="R13" i="5" s="1"/>
  <c r="Q12" i="5" a="1"/>
  <c r="Q12" i="5" s="1"/>
  <c r="T12" i="5" s="1"/>
  <c r="Q13" i="5" a="1"/>
  <c r="Q13" i="5" s="1"/>
  <c r="T13" i="5" s="1"/>
  <c r="K12" i="5" a="1"/>
  <c r="K12" i="5" s="1"/>
  <c r="N12" i="5" s="1"/>
  <c r="K13" i="5" a="1"/>
  <c r="K13" i="5" s="1"/>
  <c r="N13" i="5" s="1"/>
  <c r="Q10" i="5" a="1"/>
  <c r="Q10" i="5" s="1"/>
  <c r="Q11" i="5" a="1"/>
  <c r="Q11" i="5" s="1"/>
  <c r="K10" i="5" a="1"/>
  <c r="K10" i="5" s="1"/>
  <c r="K11" i="5" a="1"/>
  <c r="K11" i="5" s="1"/>
  <c r="L10" i="5" a="1"/>
  <c r="L10" i="5" s="1"/>
  <c r="L11" i="5" a="1"/>
  <c r="L11" i="5" s="1"/>
  <c r="R10" i="5" a="1"/>
  <c r="R10" i="5" s="1"/>
  <c r="R11" i="5" a="1"/>
  <c r="R11" i="5" s="1"/>
  <c r="AI5" i="5" a="1"/>
  <c r="AI5" i="5" s="1"/>
  <c r="R7" i="5" a="1"/>
  <c r="R7" i="5" s="1"/>
  <c r="Q5" i="5" a="1"/>
  <c r="Q5" i="5" s="1"/>
  <c r="AI7" i="5" a="1"/>
  <c r="AI7" i="5" s="1"/>
  <c r="AI9" i="5" a="1"/>
  <c r="AI9" i="5" s="1"/>
  <c r="AI3" i="5" a="1"/>
  <c r="AI3" i="5" s="1"/>
  <c r="L3" i="5" a="1"/>
  <c r="L3" i="5" s="1"/>
  <c r="L7" i="5" a="1"/>
  <c r="L7" i="5" s="1"/>
  <c r="R3" i="5" a="1"/>
  <c r="R3" i="5" s="1"/>
  <c r="L9" i="5" a="1"/>
  <c r="L9" i="5" s="1"/>
  <c r="R9" i="5" a="1"/>
  <c r="R9" i="5" s="1"/>
  <c r="Q9" i="5" a="1"/>
  <c r="Q9" i="5" s="1"/>
  <c r="K7" i="5" a="1"/>
  <c r="K7" i="5" s="1"/>
  <c r="R5" i="5" a="1"/>
  <c r="R5" i="5" s="1"/>
  <c r="K3" i="5" a="1"/>
  <c r="K3" i="5" s="1"/>
  <c r="N3" i="5" s="1"/>
  <c r="K5" i="5" a="1"/>
  <c r="K5" i="5" s="1"/>
  <c r="K9" i="5" a="1"/>
  <c r="K9" i="5" s="1"/>
  <c r="Q7" i="5" a="1"/>
  <c r="Q7" i="5" s="1"/>
  <c r="L5" i="5" a="1"/>
  <c r="L5" i="5" s="1"/>
  <c r="Q3" i="5" a="1"/>
  <c r="Q3" i="5" s="1"/>
  <c r="AJ5" i="5" a="1"/>
  <c r="AJ5" i="5" s="1"/>
  <c r="AJ3" i="5" a="1"/>
  <c r="AJ3" i="5" s="1"/>
  <c r="AJ7" i="5" a="1"/>
  <c r="AJ7" i="5" s="1"/>
  <c r="AJ9" i="5" a="1"/>
  <c r="AJ9" i="5" s="1"/>
  <c r="I7" i="7" a="1"/>
  <c r="I7" i="7" s="1"/>
  <c r="Q8" i="5" a="1"/>
  <c r="Q8" i="5" s="1"/>
  <c r="O6" i="7" a="1"/>
  <c r="O6" i="7" s="1"/>
  <c r="P4" i="7" a="1"/>
  <c r="P4" i="7" s="1"/>
  <c r="R4" i="5" a="1"/>
  <c r="R4" i="5" s="1"/>
  <c r="AD2" i="7" a="1"/>
  <c r="AD2" i="7" s="1"/>
  <c r="O3" i="7" a="1"/>
  <c r="O3" i="7" s="1"/>
  <c r="Q2" i="5" a="1"/>
  <c r="Q2" i="5" s="1"/>
  <c r="AI6" i="5" a="1"/>
  <c r="AI6" i="5" s="1"/>
  <c r="AC5" i="7" a="1"/>
  <c r="AC5" i="7" s="1"/>
  <c r="AD5" i="7" a="1"/>
  <c r="AD5" i="7" s="1"/>
  <c r="AJ6" i="5" a="1"/>
  <c r="AJ6" i="5" s="1"/>
  <c r="AD6" i="7" a="1"/>
  <c r="AD6" i="7" s="1"/>
  <c r="AJ8" i="5" a="1"/>
  <c r="AJ8" i="5" s="1"/>
  <c r="K6" i="5" a="1"/>
  <c r="K6" i="5" s="1"/>
  <c r="I5" i="7" a="1"/>
  <c r="I5" i="7" s="1"/>
  <c r="L6" i="5" a="1"/>
  <c r="L6" i="5" s="1"/>
  <c r="J5" i="7" a="1"/>
  <c r="J5" i="7" s="1"/>
  <c r="O7" i="7" a="1"/>
  <c r="O7" i="7" s="1"/>
  <c r="AC6" i="7" a="1"/>
  <c r="AC6" i="7" s="1"/>
  <c r="AI8" i="5" a="1"/>
  <c r="AI8" i="5" s="1"/>
  <c r="L4" i="5" a="1"/>
  <c r="L4" i="5" s="1"/>
  <c r="J4" i="7" a="1"/>
  <c r="J4" i="7" s="1"/>
  <c r="AC3" i="7" a="1"/>
  <c r="AC3" i="7" s="1"/>
  <c r="AI2" i="5" a="1"/>
  <c r="AI2" i="5" s="1"/>
  <c r="AD7" i="7" a="1"/>
  <c r="AD7" i="7" s="1"/>
  <c r="K4" i="5" a="1"/>
  <c r="K4" i="5" s="1"/>
  <c r="I4" i="7" a="1"/>
  <c r="I4" i="7" s="1"/>
  <c r="P3" i="7" a="1"/>
  <c r="P3" i="7" s="1"/>
  <c r="R2" i="5" a="1"/>
  <c r="R2" i="5" s="1"/>
  <c r="O2" i="7" a="1"/>
  <c r="O2" i="7" s="1"/>
  <c r="K2" i="5" a="1"/>
  <c r="K2" i="5" s="1"/>
  <c r="I3" i="7" a="1"/>
  <c r="I3" i="7" s="1"/>
  <c r="I2" i="7" a="1"/>
  <c r="I2" i="7" s="1"/>
  <c r="O4" i="7" a="1"/>
  <c r="O4" i="7" s="1"/>
  <c r="Q4" i="5" a="1"/>
  <c r="Q4" i="5" s="1"/>
  <c r="AJ2" i="5" a="1"/>
  <c r="AJ2" i="5" s="1"/>
  <c r="AD3" i="7" a="1"/>
  <c r="AD3" i="7" s="1"/>
  <c r="AC2" i="7" a="1"/>
  <c r="AC2" i="7" s="1"/>
  <c r="P2" i="7" a="1"/>
  <c r="P2" i="7" s="1"/>
  <c r="J7" i="7" a="1"/>
  <c r="J7" i="7" s="1"/>
  <c r="AI4" i="5" a="1"/>
  <c r="AI4" i="5" s="1"/>
  <c r="AC4" i="7" a="1"/>
  <c r="AC4" i="7" s="1"/>
  <c r="R8" i="5" a="1"/>
  <c r="R8" i="5" s="1"/>
  <c r="P6" i="7" a="1"/>
  <c r="P6" i="7" s="1"/>
  <c r="I6" i="7" a="1"/>
  <c r="I6" i="7" s="1"/>
  <c r="K8" i="5" a="1"/>
  <c r="K8" i="5" s="1"/>
  <c r="AC7" i="7" a="1"/>
  <c r="AC7" i="7" s="1"/>
  <c r="AJ4" i="5" a="1"/>
  <c r="AJ4" i="5" s="1"/>
  <c r="AD4" i="7" a="1"/>
  <c r="AD4" i="7" s="1"/>
  <c r="J3" i="7" a="1"/>
  <c r="J3" i="7" s="1"/>
  <c r="L2" i="5" a="1"/>
  <c r="L2" i="5" s="1"/>
  <c r="P7" i="7" a="1"/>
  <c r="P7" i="7" s="1"/>
  <c r="L8" i="5" a="1"/>
  <c r="L8" i="5" s="1"/>
  <c r="J6" i="7" a="1"/>
  <c r="J6" i="7" s="1"/>
  <c r="J2" i="7" a="1"/>
  <c r="J2" i="7" s="1"/>
  <c r="Q6" i="5" a="1"/>
  <c r="Q6" i="5" s="1"/>
  <c r="T6" i="5" s="1"/>
  <c r="O5" i="7" a="1"/>
  <c r="O5" i="7" s="1"/>
  <c r="R6" i="5" a="1"/>
  <c r="R6" i="5" s="1"/>
  <c r="P5" i="7" a="1"/>
  <c r="P5" i="7" s="1"/>
  <c r="AL11" i="5" l="1"/>
  <c r="N11" i="5"/>
  <c r="N10" i="5"/>
  <c r="T11" i="5"/>
  <c r="T10" i="5"/>
  <c r="T5" i="5"/>
  <c r="T9" i="5"/>
  <c r="T8" i="5"/>
  <c r="R2" i="7"/>
  <c r="L2" i="7"/>
  <c r="AF2" i="7"/>
  <c r="T3" i="5"/>
  <c r="N9" i="5"/>
  <c r="T7" i="5"/>
  <c r="AL5" i="5"/>
  <c r="AL3" i="5"/>
  <c r="AL7" i="5"/>
  <c r="N7" i="5"/>
  <c r="AL9" i="5"/>
  <c r="T4" i="5"/>
  <c r="N5" i="5"/>
  <c r="N8" i="5"/>
  <c r="AF7" i="7"/>
  <c r="L7" i="7"/>
  <c r="L6" i="7"/>
  <c r="AF6" i="7"/>
  <c r="R7" i="7"/>
  <c r="R6" i="7"/>
  <c r="AL8" i="5"/>
  <c r="AF5" i="7"/>
  <c r="R5" i="7"/>
  <c r="N4" i="5"/>
  <c r="AL6" i="5"/>
  <c r="N6" i="5"/>
  <c r="L5" i="7"/>
  <c r="AF4" i="7"/>
  <c r="L4" i="7"/>
  <c r="R4" i="7"/>
  <c r="AL4" i="5"/>
  <c r="L3" i="7"/>
  <c r="R3" i="7"/>
  <c r="AL2" i="5"/>
  <c r="N2" i="5"/>
  <c r="T2" i="5"/>
  <c r="AF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Henrique</author>
  </authors>
  <commentList>
    <comment ref="D1" authorId="0" shapeId="0" xr:uid="{D7497575-687D-4614-8081-724FC160D5EA}">
      <text>
        <r>
          <rPr>
            <b/>
            <sz val="9"/>
            <color indexed="81"/>
            <rFont val="Segoe UI"/>
            <family val="2"/>
          </rPr>
          <t>Gabriel Henrique:</t>
        </r>
        <r>
          <rPr>
            <sz val="9"/>
            <color indexed="81"/>
            <rFont val="Segoe UI"/>
            <family val="2"/>
          </rPr>
          <t xml:space="preserve">
Em 50% dos registros, a disponibilidade ficou igual ou abaixo disso</t>
        </r>
      </text>
    </comment>
    <comment ref="E1" authorId="0" shapeId="0" xr:uid="{A606BC2C-B4BC-43A3-905E-1DE01ABB7A05}">
      <text>
        <r>
          <rPr>
            <b/>
            <sz val="9"/>
            <color indexed="81"/>
            <rFont val="Segoe UI"/>
            <family val="2"/>
          </rPr>
          <t>Gabriel Henrique:</t>
        </r>
        <r>
          <rPr>
            <sz val="9"/>
            <color indexed="81"/>
            <rFont val="Segoe UI"/>
            <family val="2"/>
          </rPr>
          <t xml:space="preserve">
Em 75% dos registros, a disponibilidade ficou igual ou abaixo disso</t>
        </r>
      </text>
    </comment>
    <comment ref="F1" authorId="0" shapeId="0" xr:uid="{735E3C7C-BEA5-4328-B30D-2136953EBC04}">
      <text>
        <r>
          <rPr>
            <b/>
            <sz val="9"/>
            <color indexed="81"/>
            <rFont val="Segoe UI"/>
            <family val="2"/>
          </rPr>
          <t>Gabriel Henrique:</t>
        </r>
        <r>
          <rPr>
            <sz val="9"/>
            <color indexed="81"/>
            <rFont val="Segoe UI"/>
            <family val="2"/>
          </rPr>
          <t xml:space="preserve">
Em 90% dos registros, a disponibilidade ficou igual ou abaixo disso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<sst xmlns="http://schemas.openxmlformats.org/spreadsheetml/2006/main" count="708" uniqueCount="140">
  <si>
    <t>EQUIPAMENTO DIGITADO</t>
  </si>
  <si>
    <t>EQUIPAMENTO</t>
  </si>
  <si>
    <t>CONTRATO</t>
  </si>
  <si>
    <t>TIPO</t>
  </si>
  <si>
    <t>-</t>
  </si>
  <si>
    <t>CORTE</t>
  </si>
  <si>
    <t>ARRASTE</t>
  </si>
  <si>
    <t>TRAÇAMENTO</t>
  </si>
  <si>
    <t>DETALHAMENTO</t>
  </si>
  <si>
    <t>DESCRIÇÃO</t>
  </si>
  <si>
    <t>P/INDISPONIBILIDADE</t>
  </si>
  <si>
    <t>DESCONSIDERAR?</t>
  </si>
  <si>
    <t>DESCONSIDERAR:</t>
  </si>
  <si>
    <t>OPERAÇÃO</t>
  </si>
  <si>
    <t>EM OPERAÇÃO</t>
  </si>
  <si>
    <t>NÃO</t>
  </si>
  <si>
    <t>CATAÇÃO</t>
  </si>
  <si>
    <t>SIM</t>
  </si>
  <si>
    <t>NÃO É INDISPONIBILIDADE</t>
  </si>
  <si>
    <t>DISPONIBILIDADE OPERACIONAL</t>
  </si>
  <si>
    <t>DISPONIBILIDADE MECÂNICA</t>
  </si>
  <si>
    <t>CÓDIGO</t>
  </si>
  <si>
    <t>ANO</t>
  </si>
  <si>
    <t>MÊS</t>
  </si>
  <si>
    <t>OPERADOR</t>
  </si>
  <si>
    <t>TURNO</t>
  </si>
  <si>
    <t>DATA APONTAMENTO</t>
  </si>
  <si>
    <t>HORA INICIO PARADA</t>
  </si>
  <si>
    <t>HORA FINAL PARADA</t>
  </si>
  <si>
    <t>TEMPO DE PARADA</t>
  </si>
  <si>
    <t>CÓDIGO MOTIVO PARADA</t>
  </si>
  <si>
    <t>TIPO INDISPONIBILIDADE</t>
  </si>
  <si>
    <t>CONSIDERAR?</t>
  </si>
  <si>
    <t>DESCONSIDERADO ?</t>
  </si>
  <si>
    <t>STATUS</t>
  </si>
  <si>
    <t>QUANTIDADE DE PARADAS POR TURNO</t>
  </si>
  <si>
    <t>DATA</t>
  </si>
  <si>
    <t>TIPO DE EQUIPAMENTO</t>
  </si>
  <si>
    <t>D.M</t>
  </si>
  <si>
    <t>D.O</t>
  </si>
  <si>
    <t>TEMPO REFEIÇÃO</t>
  </si>
  <si>
    <t>HORAS RODADAS</t>
  </si>
  <si>
    <t>HORAS DESCONSIDERADAS</t>
  </si>
  <si>
    <t>TOTAL HORAS</t>
  </si>
  <si>
    <t>STATUS META HORAS</t>
  </si>
  <si>
    <t>HORAS D.M</t>
  </si>
  <si>
    <t>HORAS D.O</t>
  </si>
  <si>
    <t>STATUS D.M</t>
  </si>
  <si>
    <t>STATUS D.O</t>
  </si>
  <si>
    <t>MÁQUINAS</t>
  </si>
  <si>
    <t>PERCENTIL 50</t>
  </si>
  <si>
    <t>PERCENTIL 75</t>
  </si>
  <si>
    <t>TETO DE HORAS</t>
  </si>
  <si>
    <t>MÉDIA HORAS REAL</t>
  </si>
  <si>
    <t>QUANTIDADE DE REGISTROS</t>
  </si>
  <si>
    <t>FATOR</t>
  </si>
  <si>
    <t>META BASE</t>
  </si>
  <si>
    <t>META DESAFIO</t>
  </si>
  <si>
    <t>TETO META</t>
  </si>
  <si>
    <t>HORAS</t>
  </si>
  <si>
    <t>FATOR REDUÇÃO</t>
  </si>
  <si>
    <t>META D.M BASE</t>
  </si>
  <si>
    <t>META D.M DESAFIO</t>
  </si>
  <si>
    <t>TETO META D.M</t>
  </si>
  <si>
    <t>META D.O BASE</t>
  </si>
  <si>
    <t>META D.O DESAFIO</t>
  </si>
  <si>
    <t>TETO META D.O</t>
  </si>
  <si>
    <t>FATOR REDUÇÃO DESAFIO</t>
  </si>
  <si>
    <t>PERCENTIL 90</t>
  </si>
  <si>
    <t>FATOR DESAFIO</t>
  </si>
  <si>
    <t>MÉDIA HORAS PARADAS</t>
  </si>
  <si>
    <t>TOTAL HORAS PARADAS</t>
  </si>
  <si>
    <t>META HORAS BASE</t>
  </si>
  <si>
    <t>META HORAS DESAFIO</t>
  </si>
  <si>
    <t>TETO META HORAS</t>
  </si>
  <si>
    <t>HORAS TRABALHADAS REAL</t>
  </si>
  <si>
    <t>HORAS PARADAS</t>
  </si>
  <si>
    <t>CHECK TOTAL HORAS</t>
  </si>
  <si>
    <t>CHECK HORAS RODADAS</t>
  </si>
  <si>
    <t>CHECK HORAS TRABALHADAS</t>
  </si>
  <si>
    <t>TURNO 1</t>
  </si>
  <si>
    <t>TURNO 2</t>
  </si>
  <si>
    <t>DETALHE 2</t>
  </si>
  <si>
    <t>DETALHE 3</t>
  </si>
  <si>
    <t>DETALHE 4</t>
  </si>
  <si>
    <t>DETALHE 5</t>
  </si>
  <si>
    <t>DETALHE 6</t>
  </si>
  <si>
    <t>DETALHE 7</t>
  </si>
  <si>
    <t>DETALHE 8</t>
  </si>
  <si>
    <t>DETALHE 9</t>
  </si>
  <si>
    <t>DETALHE 10</t>
  </si>
  <si>
    <t>DETALHE 11</t>
  </si>
  <si>
    <t>DETALHE 12</t>
  </si>
  <si>
    <t>DETALHE 13</t>
  </si>
  <si>
    <t>DETALHE 14</t>
  </si>
  <si>
    <t>DETALHE 15</t>
  </si>
  <si>
    <t>DETALHE 16</t>
  </si>
  <si>
    <t>DETALHE 17</t>
  </si>
  <si>
    <t>DETALHE 18</t>
  </si>
  <si>
    <t>DETALHE 19</t>
  </si>
  <si>
    <t>DETALHE 20</t>
  </si>
  <si>
    <t>DESCRIÇÃO 1</t>
  </si>
  <si>
    <t>DESCRIÇÃO 2</t>
  </si>
  <si>
    <t>DESCRIÇÃO 3</t>
  </si>
  <si>
    <t>DESCRIÇÃO 4</t>
  </si>
  <si>
    <t>DESCRIÇÃO 5</t>
  </si>
  <si>
    <t>DESCRIÇÃO 6</t>
  </si>
  <si>
    <t>DESCRIÇÃO 7</t>
  </si>
  <si>
    <t>DESCRIÇÃO 8</t>
  </si>
  <si>
    <t>DESCRIÇÃO 9</t>
  </si>
  <si>
    <t>DESCRIÇÃO 10</t>
  </si>
  <si>
    <t>DESCRIÇÃO 11</t>
  </si>
  <si>
    <t>DESCRIÇÃO 12</t>
  </si>
  <si>
    <t>DESCRIÇÃO 13</t>
  </si>
  <si>
    <t>DESCRIÇÃO 14</t>
  </si>
  <si>
    <t>DESCRIÇÃO 15</t>
  </si>
  <si>
    <t>DESCRIÇÃO 16</t>
  </si>
  <si>
    <t>DESCRIÇÃO 17</t>
  </si>
  <si>
    <t>DESCRIÇÃO 18</t>
  </si>
  <si>
    <t>DESCRIÇÃO 19</t>
  </si>
  <si>
    <t>FELLER1</t>
  </si>
  <si>
    <t>FELLER BUNCHER 1</t>
  </si>
  <si>
    <t>FELLER2</t>
  </si>
  <si>
    <t>FELLER BUNCHER 2</t>
  </si>
  <si>
    <t>SKIDDER1</t>
  </si>
  <si>
    <t>SKIDDER 1</t>
  </si>
  <si>
    <t>SKIDDER2</t>
  </si>
  <si>
    <t>SKIDDER 2</t>
  </si>
  <si>
    <t>GARRA1</t>
  </si>
  <si>
    <t>GARRA TRAÇADORA 1</t>
  </si>
  <si>
    <t>GARRA2</t>
  </si>
  <si>
    <t>GARRA TRAÇADORA 2</t>
  </si>
  <si>
    <t>OPERADOR 1</t>
  </si>
  <si>
    <t>OPERADOR 2</t>
  </si>
  <si>
    <t>OPERADOR 3</t>
  </si>
  <si>
    <t>OPERADOR 4</t>
  </si>
  <si>
    <t>OPERADOR 5</t>
  </si>
  <si>
    <t>OPERADOR 6</t>
  </si>
  <si>
    <t>OPERADOR 7</t>
  </si>
  <si>
    <t>OPERADOR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</si>
</sst>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6]mmmm\-yy;@"/>
    <numFmt numFmtId="165" formatCode="[$-F400]h:mm:ss\ AM/PM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0" fillId="0" borderId="1" xfId="0" applyBorder="1"/>
    <xf numFmtId="0" fontId="0" fillId="4" borderId="1" xfId="0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 wrapText="1"/>
    </xf>
    <xf numFmtId="165" fontId="0" fillId="5" borderId="1" xfId="0" applyNumberForma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2" fontId="0" fillId="5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0" fillId="4" borderId="1" xfId="0" applyNumberFormat="1" applyFill="1" applyBorder="1" applyAlignment="1">
      <alignment horizontal="center" vertical="center"/>
    </xf>
    <xf numFmtId="10" fontId="1" fillId="2" borderId="1" xfId="0" applyNumberFormat="1" applyFont="1" applyFill="1" applyBorder="1" applyAlignment="1">
      <alignment horizontal="center" vertical="center" wrapText="1"/>
    </xf>
    <xf numFmtId="10" fontId="0" fillId="5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5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theme="4" tint="-0.499984740745262"/>
      </font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"/>
  <sheetViews>
    <sheetView tabSelected="1" zoomScale="70" zoomScaleNormal="70" workbookViewId="0">
      <pane ySplit="1" topLeftCell="A2" activePane="bottomLeft" state="frozen"/>
      <selection pane="bottomLeft" activeCell="F50" sqref="F50"/>
    </sheetView>
  </sheetViews>
  <sheetFormatPr defaultColWidth="8.88671875" defaultRowHeight="14.4" x14ac:dyDescent="0.3"/>
  <cols>
    <col min="1" max="1" width="8.109375" style="11" customWidth="1"/>
    <col min="2" max="2" width="12.33203125" style="12" customWidth="1"/>
    <col min="3" max="3" width="33.109375" style="3" customWidth="1"/>
    <col min="4" max="4" width="14.6640625" style="11" customWidth="1"/>
    <col min="5" max="5" width="16.44140625" style="19" customWidth="1"/>
    <col min="6" max="6" width="15.88671875" style="3" customWidth="1"/>
    <col min="7" max="7" width="18.88671875" style="11" customWidth="1"/>
    <col min="8" max="8" width="15.6640625" style="11" customWidth="1"/>
    <col min="9" max="9" width="13" style="14" customWidth="1"/>
    <col min="10" max="10" width="13.109375" style="17" customWidth="1"/>
    <col min="11" max="11" width="11.5546875" style="16" customWidth="1"/>
    <col min="12" max="12" width="19.109375" style="3" customWidth="1"/>
    <col min="13" max="13" width="61.5546875" style="11" bestFit="1" customWidth="1"/>
    <col min="14" max="14" width="41.44140625" style="11" customWidth="1"/>
    <col min="15" max="15" width="29.33203125" style="11" customWidth="1"/>
    <col min="16" max="16" width="20.33203125" style="11" customWidth="1"/>
    <col min="17" max="17" width="15.5546875" style="9" customWidth="1"/>
    <col min="18" max="18" width="22.109375" style="22" customWidth="1"/>
    <col min="19" max="19" width="15.109375" style="11" customWidth="1"/>
    <col min="20" max="16384" width="8.88671875" style="3"/>
  </cols>
  <sheetData>
    <row r="1" spans="1:19" s="1" customFormat="1" ht="36" customHeight="1" x14ac:dyDescent="0.3">
      <c r="A1" s="1" t="s">
        <v>22</v>
      </c>
      <c r="B1" s="10" t="s">
        <v>23</v>
      </c>
      <c r="C1" s="1" t="s">
        <v>24</v>
      </c>
      <c r="D1" s="1" t="s">
        <v>25</v>
      </c>
      <c r="E1" s="20" t="s">
        <v>26</v>
      </c>
      <c r="F1" s="1" t="s">
        <v>0</v>
      </c>
      <c r="G1" s="1" t="s">
        <v>1</v>
      </c>
      <c r="H1" s="1" t="s">
        <v>37</v>
      </c>
      <c r="I1" s="13" t="s">
        <v>27</v>
      </c>
      <c r="J1" s="13" t="s">
        <v>28</v>
      </c>
      <c r="K1" s="15" t="s">
        <v>29</v>
      </c>
      <c r="L1" s="1" t="s">
        <v>30</v>
      </c>
      <c r="M1" s="1" t="s">
        <v>8</v>
      </c>
      <c r="N1" s="1" t="s">
        <v>9</v>
      </c>
      <c r="O1" s="1" t="s">
        <v>31</v>
      </c>
      <c r="P1" s="1" t="s">
        <v>33</v>
      </c>
      <c r="Q1" s="1" t="s">
        <v>34</v>
      </c>
      <c r="R1" s="21" t="s">
        <v>35</v>
      </c>
      <c r="S1" s="1" t="s">
        <v>32</v>
      </c>
    </row>
    <row r="2" spans="1:19" x14ac:dyDescent="0.3">
      <c r="A2" s="11">
        <f>IFERROR(YEAR(E2),"-")</f>
        <v>2026</v>
      </c>
      <c r="B2" s="12">
        <f>IFERROR(DATE(YEAR(E2),MONTH(E2),MONTH(E2)),"-")</f>
        <v>46023</v>
      </c>
      <c r="C2" s="3" t="s">
        <v>132</v>
      </c>
      <c r="D2" s="11" t="str">
        <f>IF(AND(I2&gt;=TIME(6,0,0),I2&lt;TIME(18,0,0),OR(J2&lt;=TIME(18,0,0),J2&lt;TIME(6,0,0))),"TURNO 1","TURNO 2")</f>
        <v>TURNO 1</v>
      </c>
      <c r="E2" s="19">
        <v>46023</v>
      </c>
      <c r="F2" s="3" t="s">
        <v>120</v>
      </c>
      <c r="G2" s="11" t="str">
        <f>IFERROR(VLOOKUP(F2,Cadastros!A:B,2,FALSE),"-")</f>
        <v>FELLER BUNCHER 1</v>
      </c>
      <c r="H2" s="11" t="str">
        <f>IFERROR(VLOOKUP(G2,Cadastros!B:D,3,FALSE),"-")</f>
        <v>CORTE</v>
      </c>
      <c r="I2" s="18">
        <v>0.25</v>
      </c>
      <c r="J2" s="17">
        <v>0.25</v>
      </c>
      <c r="K2" s="16">
        <f>IFERROR(IF(J2="-","-",((J2-I2)-INT(J2-I2))*24),"0")</f>
        <v>0</v>
      </c>
      <c r="L2" s="3">
        <v>13</v>
      </c>
      <c r="M2" s="11" t="str">
        <f>IFERROR(VLOOKUP($L2,Justificativas!$A:$E,2,FALSE),"-")</f>
        <v>DETALHE 13</v>
      </c>
      <c r="N2" s="11" t="str">
        <f>IFERROR(VLOOKUP($L2,Justificativas!$A:$E,3,FALSE),"-")</f>
        <v>DESCRIÇÃO 12</v>
      </c>
      <c r="O2" s="11" t="str">
        <f>IFERROR(VLOOKUP($L2,Justificativas!$A:$E,4,FALSE),"-")</f>
        <v>DISPONIBILIDADE MECÂNICA</v>
      </c>
      <c r="P2" s="11" t="str">
        <f>IFERROR(VLOOKUP($L2,Justificativas!$A:$E,5,FALSE),"-")</f>
        <v>NÃO</v>
      </c>
      <c r="Q2" s="9" t="str">
        <f>IF(K2=0,"NÃO PUXA NO BI","PUXA")</f>
        <v>NÃO PUXA NO BI</v>
      </c>
      <c r="R2" s="22">
        <f>COUNTIFS($B$1:B1,B2,$E$1:E1,E2,$G$1:G1,G2,$D$1:D1,D2)</f>
        <v>0</v>
      </c>
      <c r="S2" s="11" t="str">
        <f>IF(OR(L2="100-1",L2="100-2",L2="100-3"),"NÃO","SIM")</f>
        <v>SIM</v>
      </c>
    </row>
    <row r="3" spans="1:19" x14ac:dyDescent="0.3">
      <c r="A3" s="11">
        <f t="shared" ref="A3:A7" si="0">IFERROR(YEAR(E3),"-")</f>
        <v>2026</v>
      </c>
      <c r="B3" s="12">
        <f t="shared" ref="B3:B7" si="1">IFERROR(DATE(YEAR(E3),MONTH(E3),MONTH(E3)),"-")</f>
        <v>46023</v>
      </c>
      <c r="C3" s="3" t="s">
        <v>132</v>
      </c>
      <c r="D3" s="11" t="str">
        <f t="shared" ref="D3:D30" si="2">IF(AND(I3&gt;=TIME(6,0,0),I3&lt;TIME(18,0,0),OR(J3&lt;=TIME(18,0,0),J3&lt;TIME(6,0,0))),"TURNO 1","TURNO 2")</f>
        <v>TURNO 1</v>
      </c>
      <c r="E3" s="19">
        <v>46023</v>
      </c>
      <c r="F3" s="3" t="s">
        <v>120</v>
      </c>
      <c r="G3" s="11" t="str">
        <f>IFERROR(VLOOKUP(F3,Cadastros!A:B,2,FALSE),"-")</f>
        <v>FELLER BUNCHER 1</v>
      </c>
      <c r="H3" s="11" t="str">
        <f>IFERROR(VLOOKUP(G3,Cadastros!B:D,3,FALSE),"-")</f>
        <v>CORTE</v>
      </c>
      <c r="I3" s="14">
        <f t="shared" ref="I3:I7" si="3">J2</f>
        <v>0.25</v>
      </c>
      <c r="J3" s="17">
        <v>0.33333333333333331</v>
      </c>
      <c r="K3" s="16">
        <f t="shared" ref="K3:K30" si="4">IFERROR(IF(J3="-","-",((J3-I3)-INT(J3-I3))*24),"0")</f>
        <v>1.9999999999999996</v>
      </c>
      <c r="L3" s="3">
        <v>3</v>
      </c>
      <c r="M3" s="11" t="str">
        <f>IFERROR(VLOOKUP($L3,Justificativas!$A:$E,2,FALSE),"-")</f>
        <v>DETALHE 3</v>
      </c>
      <c r="N3" s="11" t="str">
        <f>IFERROR(VLOOKUP($L3,Justificativas!$A:$E,3,FALSE),"-")</f>
        <v>DESCRIÇÃO 2</v>
      </c>
      <c r="O3" s="11" t="str">
        <f>IFERROR(VLOOKUP($L3,Justificativas!$A:$E,4,FALSE),"-")</f>
        <v>NÃO É INDISPONIBILIDADE</v>
      </c>
      <c r="P3" s="11" t="str">
        <f>IFERROR(VLOOKUP($L3,Justificativas!$A:$E,5,FALSE),"-")</f>
        <v>SIM</v>
      </c>
      <c r="Q3" s="9" t="str">
        <f t="shared" ref="Q3:Q7" si="5">IF(K3=0,"NÃO PUXA NO BI","PUXA")</f>
        <v>PUXA</v>
      </c>
      <c r="R3" s="22">
        <f>COUNTIFS($B$1:B2,B3,$E$1:E2,E3,$G$1:G2,G3,$D$1:D2,D3)</f>
        <v>1</v>
      </c>
      <c r="S3" s="11" t="str">
        <f>IF(OR(L3="100-1",L3="100-2",L3="100-3"),"NÃO","SIM")</f>
        <v>SIM</v>
      </c>
    </row>
    <row r="4" spans="1:19" x14ac:dyDescent="0.3">
      <c r="A4" s="11">
        <f t="shared" si="0"/>
        <v>2026</v>
      </c>
      <c r="B4" s="12">
        <f t="shared" si="1"/>
        <v>46023</v>
      </c>
      <c r="C4" s="3" t="s">
        <v>132</v>
      </c>
      <c r="D4" s="11" t="str">
        <f t="shared" si="2"/>
        <v>TURNO 1</v>
      </c>
      <c r="E4" s="19">
        <v>46023</v>
      </c>
      <c r="F4" s="3" t="s">
        <v>120</v>
      </c>
      <c r="G4" s="11" t="str">
        <f>IFERROR(VLOOKUP(F4,Cadastros!A:B,2,FALSE),"-")</f>
        <v>FELLER BUNCHER 1</v>
      </c>
      <c r="H4" s="11" t="str">
        <f>IFERROR(VLOOKUP(G4,Cadastros!B:D,3,FALSE),"-")</f>
        <v>CORTE</v>
      </c>
      <c r="I4" s="14">
        <f t="shared" si="3"/>
        <v>0.33333333333333331</v>
      </c>
      <c r="J4" s="17">
        <v>0.45833333333333331</v>
      </c>
      <c r="K4" s="16">
        <f t="shared" si="4"/>
        <v>3</v>
      </c>
      <c r="L4" s="3">
        <v>8</v>
      </c>
      <c r="M4" s="11" t="str">
        <f>IFERROR(VLOOKUP($L4,Justificativas!$A:$E,2,FALSE),"-")</f>
        <v>DETALHE 8</v>
      </c>
      <c r="N4" s="11" t="str">
        <f>IFERROR(VLOOKUP($L4,Justificativas!$A:$E,3,FALSE),"-")</f>
        <v>DESCRIÇÃO 7</v>
      </c>
      <c r="O4" s="11" t="str">
        <f>IFERROR(VLOOKUP($L4,Justificativas!$A:$E,4,FALSE),"-")</f>
        <v>DISPONIBILIDADE OPERACIONAL</v>
      </c>
      <c r="P4" s="11" t="str">
        <f>IFERROR(VLOOKUP($L4,Justificativas!$A:$E,5,FALSE),"-")</f>
        <v>NÃO</v>
      </c>
      <c r="Q4" s="9" t="str">
        <f t="shared" si="5"/>
        <v>PUXA</v>
      </c>
      <c r="R4" s="22">
        <f>COUNTIFS($B$1:B3,B4,$E$1:E3,E4,$G$1:G3,G4,$D$1:D3,D4)</f>
        <v>2</v>
      </c>
      <c r="S4" s="11" t="str">
        <f>IF(OR(L4="100-1",L4="100-2",L4="100-3"),"NÃO","SIM")</f>
        <v>SIM</v>
      </c>
    </row>
    <row r="5" spans="1:19" x14ac:dyDescent="0.3">
      <c r="A5" s="11">
        <f t="shared" si="0"/>
        <v>2026</v>
      </c>
      <c r="B5" s="12">
        <f t="shared" si="1"/>
        <v>46023</v>
      </c>
      <c r="C5" s="3" t="s">
        <v>132</v>
      </c>
      <c r="D5" s="11" t="str">
        <f t="shared" si="2"/>
        <v>TURNO 1</v>
      </c>
      <c r="E5" s="19">
        <v>46023</v>
      </c>
      <c r="F5" s="3" t="s">
        <v>120</v>
      </c>
      <c r="G5" s="11" t="str">
        <f>IFERROR(VLOOKUP(F5,Cadastros!A:B,2,FALSE),"-")</f>
        <v>FELLER BUNCHER 1</v>
      </c>
      <c r="H5" s="11" t="str">
        <f>IFERROR(VLOOKUP(G5,Cadastros!B:D,3,FALSE),"-")</f>
        <v>CORTE</v>
      </c>
      <c r="I5" s="14">
        <f t="shared" si="3"/>
        <v>0.45833333333333331</v>
      </c>
      <c r="J5" s="17">
        <v>0.625</v>
      </c>
      <c r="K5" s="16">
        <f t="shared" si="4"/>
        <v>4</v>
      </c>
      <c r="L5" s="3">
        <v>17</v>
      </c>
      <c r="M5" s="11" t="str">
        <f>IFERROR(VLOOKUP($L5,Justificativas!$A:$E,2,FALSE),"-")</f>
        <v>DETALHE 17</v>
      </c>
      <c r="N5" s="11" t="str">
        <f>IFERROR(VLOOKUP($L5,Justificativas!$A:$E,3,FALSE),"-")</f>
        <v>DESCRIÇÃO 16</v>
      </c>
      <c r="O5" s="11" t="str">
        <f>IFERROR(VLOOKUP($L5,Justificativas!$A:$E,4,FALSE),"-")</f>
        <v>DISPONIBILIDADE MECÂNICA</v>
      </c>
      <c r="P5" s="11" t="str">
        <f>IFERROR(VLOOKUP($L5,Justificativas!$A:$E,5,FALSE),"-")</f>
        <v>NÃO</v>
      </c>
      <c r="Q5" s="9" t="str">
        <f t="shared" si="5"/>
        <v>PUXA</v>
      </c>
      <c r="R5" s="22">
        <f>COUNTIFS($B$1:B4,B5,$E$1:E4,E5,$G$1:G4,G5,$D$1:D4,D5)</f>
        <v>3</v>
      </c>
      <c r="S5" s="11" t="str">
        <f>IF(OR(L5="100-1",L5="100-2",L5="100-3"),"NÃO","SIM")</f>
        <v>SIM</v>
      </c>
    </row>
    <row r="6" spans="1:19" x14ac:dyDescent="0.3">
      <c r="A6" s="11">
        <f t="shared" si="0"/>
        <v>2026</v>
      </c>
      <c r="B6" s="12">
        <f t="shared" si="1"/>
        <v>46023</v>
      </c>
      <c r="C6" s="3" t="s">
        <v>132</v>
      </c>
      <c r="D6" s="11" t="str">
        <f t="shared" si="2"/>
        <v>TURNO 1</v>
      </c>
      <c r="E6" s="19">
        <v>46023</v>
      </c>
      <c r="F6" s="3" t="s">
        <v>120</v>
      </c>
      <c r="G6" s="11" t="str">
        <f>IFERROR(VLOOKUP(F6,Cadastros!A:B,2,FALSE),"-")</f>
        <v>FELLER BUNCHER 1</v>
      </c>
      <c r="H6" s="11" t="str">
        <f>IFERROR(VLOOKUP(G6,Cadastros!B:D,3,FALSE),"-")</f>
        <v>CORTE</v>
      </c>
      <c r="I6" s="14">
        <f t="shared" si="3"/>
        <v>0.625</v>
      </c>
      <c r="J6" s="17">
        <v>0.75</v>
      </c>
      <c r="K6" s="16">
        <f t="shared" si="4"/>
        <v>3</v>
      </c>
      <c r="L6" s="3">
        <v>11</v>
      </c>
      <c r="M6" s="11" t="str">
        <f>IFERROR(VLOOKUP($L6,Justificativas!$A:$E,2,FALSE),"-")</f>
        <v>DETALHE 11</v>
      </c>
      <c r="N6" s="11" t="str">
        <f>IFERROR(VLOOKUP($L6,Justificativas!$A:$E,3,FALSE),"-")</f>
        <v>DESCRIÇÃO 10</v>
      </c>
      <c r="O6" s="11" t="str">
        <f>IFERROR(VLOOKUP($L6,Justificativas!$A:$E,4,FALSE),"-")</f>
        <v>DISPONIBILIDADE OPERACIONAL</v>
      </c>
      <c r="P6" s="11" t="str">
        <f>IFERROR(VLOOKUP($L6,Justificativas!$A:$E,5,FALSE),"-")</f>
        <v>NÃO</v>
      </c>
      <c r="Q6" s="9" t="str">
        <f t="shared" si="5"/>
        <v>PUXA</v>
      </c>
      <c r="R6" s="22">
        <f>COUNTIFS($B$1:B5,B6,$E$1:E5,E6,$G$1:G5,G6,$D$1:D5,D6)</f>
        <v>4</v>
      </c>
      <c r="S6" s="11" t="str">
        <f t="shared" ref="S6:S7" si="6">IF(OR(L6="100-1",L6="100-2",L6="100-3"),"NÃO","SIM")</f>
        <v>SIM</v>
      </c>
    </row>
    <row r="7" spans="1:19" x14ac:dyDescent="0.3">
      <c r="A7" s="11">
        <f t="shared" si="0"/>
        <v>2026</v>
      </c>
      <c r="B7" s="12">
        <f t="shared" si="1"/>
        <v>46023</v>
      </c>
      <c r="C7" s="3" t="s">
        <v>133</v>
      </c>
      <c r="D7" s="11" t="str">
        <f t="shared" si="2"/>
        <v>TURNO 2</v>
      </c>
      <c r="E7" s="19">
        <v>46023</v>
      </c>
      <c r="F7" s="3" t="s">
        <v>120</v>
      </c>
      <c r="G7" s="11" t="str">
        <f>IFERROR(VLOOKUP(F7,Cadastros!A:B,2,FALSE),"-")</f>
        <v>FELLER BUNCHER 1</v>
      </c>
      <c r="H7" s="11" t="str">
        <f>IFERROR(VLOOKUP(G7,Cadastros!B:D,3,FALSE),"-")</f>
        <v>CORTE</v>
      </c>
      <c r="I7" s="14">
        <f t="shared" si="3"/>
        <v>0.75</v>
      </c>
      <c r="J7" s="17">
        <v>0.83333333333333337</v>
      </c>
      <c r="K7" s="16">
        <f t="shared" si="4"/>
        <v>2.0000000000000009</v>
      </c>
      <c r="L7" s="3">
        <v>19</v>
      </c>
      <c r="M7" s="11" t="str">
        <f>IFERROR(VLOOKUP($L7,Justificativas!$A:$E,2,FALSE),"-")</f>
        <v>DETALHE 19</v>
      </c>
      <c r="N7" s="11" t="str">
        <f>IFERROR(VLOOKUP($L7,Justificativas!$A:$E,3,FALSE),"-")</f>
        <v>DESCRIÇÃO 18</v>
      </c>
      <c r="O7" s="11" t="str">
        <f>IFERROR(VLOOKUP($L7,Justificativas!$A:$E,4,FALSE),"-")</f>
        <v>DISPONIBILIDADE MECÂNICA</v>
      </c>
      <c r="P7" s="11" t="str">
        <f>IFERROR(VLOOKUP($L7,Justificativas!$A:$E,5,FALSE),"-")</f>
        <v>NÃO</v>
      </c>
      <c r="Q7" s="9" t="str">
        <f t="shared" si="5"/>
        <v>PUXA</v>
      </c>
      <c r="R7" s="22">
        <f>COUNTIFS($B$1:B6,B7,$E$1:E6,E7,$G$1:G6,G7,$D$1:D6,D7)</f>
        <v>0</v>
      </c>
      <c r="S7" s="11" t="str">
        <f t="shared" si="6"/>
        <v>SIM</v>
      </c>
    </row>
    <row r="8" spans="1:19" x14ac:dyDescent="0.3">
      <c r="A8" s="11">
        <f t="shared" ref="A8:A10" si="7">IFERROR(YEAR(E8),"-")</f>
        <v>2026</v>
      </c>
      <c r="B8" s="12">
        <f t="shared" ref="B8:B10" si="8">IFERROR(DATE(YEAR(E8),MONTH(E8),MONTH(E8)),"-")</f>
        <v>46023</v>
      </c>
      <c r="C8" s="3" t="s">
        <v>133</v>
      </c>
      <c r="D8" s="11" t="str">
        <f t="shared" si="2"/>
        <v>TURNO 2</v>
      </c>
      <c r="E8" s="19">
        <v>46023</v>
      </c>
      <c r="F8" s="3" t="s">
        <v>120</v>
      </c>
      <c r="G8" s="11" t="str">
        <f>IFERROR(VLOOKUP(F8,Cadastros!A:B,2,FALSE),"-")</f>
        <v>FELLER BUNCHER 1</v>
      </c>
      <c r="H8" s="11" t="str">
        <f>IFERROR(VLOOKUP(G8,Cadastros!B:D,3,FALSE),"-")</f>
        <v>CORTE</v>
      </c>
      <c r="I8" s="14">
        <f t="shared" ref="I8:I10" si="9">J7</f>
        <v>0.83333333333333337</v>
      </c>
      <c r="J8" s="17">
        <v>4.1666666666666664E-2</v>
      </c>
      <c r="K8" s="16">
        <f t="shared" si="4"/>
        <v>4.9999999999999982</v>
      </c>
      <c r="L8" s="3">
        <v>6</v>
      </c>
      <c r="M8" s="11" t="str">
        <f>IFERROR(VLOOKUP($L8,Justificativas!$A:$E,2,FALSE),"-")</f>
        <v>DETALHE 6</v>
      </c>
      <c r="N8" s="11" t="str">
        <f>IFERROR(VLOOKUP($L8,Justificativas!$A:$E,3,FALSE),"-")</f>
        <v>DESCRIÇÃO 5</v>
      </c>
      <c r="O8" s="11" t="str">
        <f>IFERROR(VLOOKUP($L8,Justificativas!$A:$E,4,FALSE),"-")</f>
        <v>DISPONIBILIDADE OPERACIONAL</v>
      </c>
      <c r="P8" s="11" t="str">
        <f>IFERROR(VLOOKUP($L8,Justificativas!$A:$E,5,FALSE),"-")</f>
        <v>NÃO</v>
      </c>
      <c r="Q8" s="9" t="str">
        <f t="shared" ref="Q8:Q10" si="10">IF(K8=0,"NÃO PUXA NO BI","PUXA")</f>
        <v>PUXA</v>
      </c>
      <c r="R8" s="22">
        <f>COUNTIFS($B$1:B7,B8,$E$1:E7,E8,$G$1:G7,G8,$D$1:D7,D8)</f>
        <v>1</v>
      </c>
      <c r="S8" s="11" t="str">
        <f t="shared" ref="S8:S10" si="11">IF(OR(L8="100-1",L8="100-2",L8="100-3"),"NÃO","SIM")</f>
        <v>SIM</v>
      </c>
    </row>
    <row r="9" spans="1:19" x14ac:dyDescent="0.3">
      <c r="A9" s="11">
        <f t="shared" si="7"/>
        <v>2026</v>
      </c>
      <c r="B9" s="12">
        <f t="shared" si="8"/>
        <v>46023</v>
      </c>
      <c r="C9" s="3" t="s">
        <v>133</v>
      </c>
      <c r="D9" s="11" t="str">
        <f t="shared" si="2"/>
        <v>TURNO 2</v>
      </c>
      <c r="E9" s="19">
        <v>46023</v>
      </c>
      <c r="F9" s="3" t="s">
        <v>120</v>
      </c>
      <c r="G9" s="11" t="str">
        <f>IFERROR(VLOOKUP(F9,Cadastros!A:B,2,FALSE),"-")</f>
        <v>FELLER BUNCHER 1</v>
      </c>
      <c r="H9" s="11" t="str">
        <f>IFERROR(VLOOKUP(G9,Cadastros!B:D,3,FALSE),"-")</f>
        <v>CORTE</v>
      </c>
      <c r="I9" s="14">
        <f t="shared" si="9"/>
        <v>4.1666666666666664E-2</v>
      </c>
      <c r="J9" s="17">
        <v>0.25</v>
      </c>
      <c r="K9" s="16">
        <f t="shared" si="4"/>
        <v>5</v>
      </c>
      <c r="L9" s="3">
        <v>14</v>
      </c>
      <c r="M9" s="11" t="str">
        <f>IFERROR(VLOOKUP($L9,Justificativas!$A:$E,2,FALSE),"-")</f>
        <v>DETALHE 14</v>
      </c>
      <c r="N9" s="11" t="str">
        <f>IFERROR(VLOOKUP($L9,Justificativas!$A:$E,3,FALSE),"-")</f>
        <v>DESCRIÇÃO 13</v>
      </c>
      <c r="O9" s="11" t="str">
        <f>IFERROR(VLOOKUP($L9,Justificativas!$A:$E,4,FALSE),"-")</f>
        <v>DISPONIBILIDADE MECÂNICA</v>
      </c>
      <c r="P9" s="11" t="str">
        <f>IFERROR(VLOOKUP($L9,Justificativas!$A:$E,5,FALSE),"-")</f>
        <v>NÃO</v>
      </c>
      <c r="Q9" s="9" t="str">
        <f t="shared" si="10"/>
        <v>PUXA</v>
      </c>
      <c r="R9" s="22">
        <f>COUNTIFS($B$1:B8,B9,$E$1:E8,E9,$G$1:G8,G9,$D$1:D8,D9)</f>
        <v>2</v>
      </c>
      <c r="S9" s="11" t="str">
        <f t="shared" si="11"/>
        <v>SIM</v>
      </c>
    </row>
    <row r="10" spans="1:19" x14ac:dyDescent="0.3">
      <c r="A10" s="11">
        <f t="shared" si="7"/>
        <v>2026</v>
      </c>
      <c r="B10" s="12">
        <f t="shared" si="8"/>
        <v>46023</v>
      </c>
      <c r="C10" s="3" t="s">
        <v>134</v>
      </c>
      <c r="D10" s="11" t="str">
        <f t="shared" si="2"/>
        <v>TURNO 1</v>
      </c>
      <c r="E10" s="19">
        <v>46024</v>
      </c>
      <c r="F10" s="3" t="s">
        <v>126</v>
      </c>
      <c r="G10" s="11" t="str">
        <f>IFERROR(VLOOKUP(F10,Cadastros!A:B,2,FALSE),"-")</f>
        <v>SKIDDER 2</v>
      </c>
      <c r="H10" s="11" t="str">
        <f>IFERROR(VLOOKUP(G10,Cadastros!B:D,3,FALSE),"-")</f>
        <v>ARRASTE</v>
      </c>
      <c r="I10" s="14">
        <f t="shared" si="9"/>
        <v>0.25</v>
      </c>
      <c r="J10" s="17">
        <v>0.75</v>
      </c>
      <c r="K10" s="16">
        <f t="shared" si="4"/>
        <v>12</v>
      </c>
      <c r="L10" s="3">
        <v>15</v>
      </c>
      <c r="M10" s="11" t="str">
        <f>IFERROR(VLOOKUP($L10,Justificativas!$A:$E,2,FALSE),"-")</f>
        <v>DETALHE 15</v>
      </c>
      <c r="N10" s="11" t="str">
        <f>IFERROR(VLOOKUP($L10,Justificativas!$A:$E,3,FALSE),"-")</f>
        <v>DESCRIÇÃO 14</v>
      </c>
      <c r="O10" s="11" t="str">
        <f>IFERROR(VLOOKUP($L10,Justificativas!$A:$E,4,FALSE),"-")</f>
        <v>DISPONIBILIDADE MECÂNICA</v>
      </c>
      <c r="P10" s="11" t="str">
        <f>IFERROR(VLOOKUP($L10,Justificativas!$A:$E,5,FALSE),"-")</f>
        <v>NÃO</v>
      </c>
      <c r="Q10" s="9" t="str">
        <f t="shared" si="10"/>
        <v>PUXA</v>
      </c>
      <c r="R10" s="22">
        <f>COUNTIFS($B$1:B9,B10,$E$1:E9,E10,$G$1:G9,G10,$D$1:D9,D10)</f>
        <v>0</v>
      </c>
      <c r="S10" s="11" t="str">
        <f t="shared" si="11"/>
        <v>SIM</v>
      </c>
    </row>
    <row r="11" spans="1:19" x14ac:dyDescent="0.3">
      <c r="A11" s="11">
        <f t="shared" ref="A11:A15" si="12">IFERROR(YEAR(E11),"-")</f>
        <v>2026</v>
      </c>
      <c r="B11" s="12">
        <f t="shared" ref="B11:B15" si="13">IFERROR(DATE(YEAR(E11),MONTH(E11),MONTH(E11)),"-")</f>
        <v>46023</v>
      </c>
      <c r="C11" s="3" t="s">
        <v>135</v>
      </c>
      <c r="D11" s="11" t="str">
        <f t="shared" si="2"/>
        <v>TURNO 2</v>
      </c>
      <c r="E11" s="19">
        <v>46024</v>
      </c>
      <c r="F11" s="3" t="s">
        <v>126</v>
      </c>
      <c r="G11" s="11" t="str">
        <f>IFERROR(VLOOKUP(F11,Cadastros!A:B,2,FALSE),"-")</f>
        <v>SKIDDER 2</v>
      </c>
      <c r="H11" s="11" t="str">
        <f>IFERROR(VLOOKUP(G11,Cadastros!B:D,3,FALSE),"-")</f>
        <v>ARRASTE</v>
      </c>
      <c r="I11" s="14">
        <f t="shared" ref="I11:I15" si="14">J10</f>
        <v>0.75</v>
      </c>
      <c r="J11" s="17">
        <v>0.25</v>
      </c>
      <c r="K11" s="16">
        <f t="shared" si="4"/>
        <v>12</v>
      </c>
      <c r="L11" s="3">
        <v>10</v>
      </c>
      <c r="M11" s="11" t="str">
        <f>IFERROR(VLOOKUP($L11,Justificativas!$A:$E,2,FALSE),"-")</f>
        <v>DETALHE 10</v>
      </c>
      <c r="N11" s="11" t="str">
        <f>IFERROR(VLOOKUP($L11,Justificativas!$A:$E,3,FALSE),"-")</f>
        <v>DESCRIÇÃO 9</v>
      </c>
      <c r="O11" s="11" t="str">
        <f>IFERROR(VLOOKUP($L11,Justificativas!$A:$E,4,FALSE),"-")</f>
        <v>DISPONIBILIDADE OPERACIONAL</v>
      </c>
      <c r="P11" s="11" t="str">
        <f>IFERROR(VLOOKUP($L11,Justificativas!$A:$E,5,FALSE),"-")</f>
        <v>NÃO</v>
      </c>
      <c r="Q11" s="9" t="str">
        <f t="shared" ref="Q11:Q14" si="15">IF(K11=0,"NÃO PUXA NO BI","PUXA")</f>
        <v>PUXA</v>
      </c>
      <c r="R11" s="22">
        <f>COUNTIFS($B$1:B10,B11,$E$1:E10,E11,$G$1:G10,G11,$D$1:D10,D11)</f>
        <v>0</v>
      </c>
      <c r="S11" s="11" t="str">
        <f t="shared" ref="S11:S14" si="16">IF(OR(L11="100-1",L11="100-2",L11="100-3"),"NÃO","SIM")</f>
        <v>SIM</v>
      </c>
    </row>
    <row r="12" spans="1:19" x14ac:dyDescent="0.3">
      <c r="A12" s="11">
        <f t="shared" si="12"/>
        <v>2026</v>
      </c>
      <c r="B12" s="12">
        <f t="shared" si="13"/>
        <v>46023</v>
      </c>
      <c r="C12" s="3" t="s">
        <v>132</v>
      </c>
      <c r="D12" s="11" t="str">
        <f t="shared" si="2"/>
        <v>TURNO 1</v>
      </c>
      <c r="E12" s="19">
        <v>46025</v>
      </c>
      <c r="F12" s="3" t="s">
        <v>120</v>
      </c>
      <c r="G12" s="11" t="str">
        <f>IFERROR(VLOOKUP(F12,Cadastros!A:B,2,FALSE),"-")</f>
        <v>FELLER BUNCHER 1</v>
      </c>
      <c r="H12" s="11" t="str">
        <f>IFERROR(VLOOKUP(G12,Cadastros!B:D,3,FALSE),"-")</f>
        <v>CORTE</v>
      </c>
      <c r="I12" s="14">
        <f t="shared" si="14"/>
        <v>0.25</v>
      </c>
      <c r="J12" s="17">
        <v>0.75</v>
      </c>
      <c r="K12" s="16">
        <f t="shared" si="4"/>
        <v>12</v>
      </c>
      <c r="L12" s="3">
        <v>1</v>
      </c>
      <c r="M12" s="11" t="str">
        <f>IFERROR(VLOOKUP($L12,Justificativas!$A:$E,2,FALSE),"-")</f>
        <v>OPERAÇÃO</v>
      </c>
      <c r="N12" s="11" t="str">
        <f>IFERROR(VLOOKUP($L12,Justificativas!$A:$E,3,FALSE),"-")</f>
        <v>EM OPERAÇÃO</v>
      </c>
      <c r="O12" s="11" t="str">
        <f>IFERROR(VLOOKUP($L12,Justificativas!$A:$E,4,FALSE),"-")</f>
        <v>OPERAÇÃO</v>
      </c>
      <c r="P12" s="11" t="str">
        <f>IFERROR(VLOOKUP($L12,Justificativas!$A:$E,5,FALSE),"-")</f>
        <v>NÃO</v>
      </c>
      <c r="Q12" s="9" t="str">
        <f t="shared" si="15"/>
        <v>PUXA</v>
      </c>
      <c r="R12" s="22">
        <f>COUNTIFS($B$1:B11,B12,$E$1:E11,E12,$G$1:G11,G12,$D$1:D11,D12)</f>
        <v>0</v>
      </c>
      <c r="S12" s="11" t="str">
        <f t="shared" si="16"/>
        <v>SIM</v>
      </c>
    </row>
    <row r="13" spans="1:19" x14ac:dyDescent="0.3">
      <c r="A13" s="11">
        <f t="shared" si="12"/>
        <v>2026</v>
      </c>
      <c r="B13" s="12">
        <f t="shared" si="13"/>
        <v>46023</v>
      </c>
      <c r="C13" s="3" t="s">
        <v>133</v>
      </c>
      <c r="D13" s="11" t="str">
        <f t="shared" si="2"/>
        <v>TURNO 2</v>
      </c>
      <c r="E13" s="19">
        <v>46025</v>
      </c>
      <c r="F13" s="3" t="s">
        <v>120</v>
      </c>
      <c r="G13" s="11" t="str">
        <f>IFERROR(VLOOKUP(F13,Cadastros!A:B,2,FALSE),"-")</f>
        <v>FELLER BUNCHER 1</v>
      </c>
      <c r="H13" s="11" t="str">
        <f>IFERROR(VLOOKUP(G13,Cadastros!B:D,3,FALSE),"-")</f>
        <v>CORTE</v>
      </c>
      <c r="I13" s="14">
        <f t="shared" si="14"/>
        <v>0.75</v>
      </c>
      <c r="J13" s="17">
        <v>0.25</v>
      </c>
      <c r="K13" s="16">
        <f t="shared" si="4"/>
        <v>12</v>
      </c>
      <c r="L13" s="3">
        <v>20</v>
      </c>
      <c r="M13" s="11" t="str">
        <f>IFERROR(VLOOKUP($L13,Justificativas!$A:$E,2,FALSE),"-")</f>
        <v>DETALHE 20</v>
      </c>
      <c r="N13" s="11" t="str">
        <f>IFERROR(VLOOKUP($L13,Justificativas!$A:$E,3,FALSE),"-")</f>
        <v>DESCRIÇÃO 19</v>
      </c>
      <c r="O13" s="11" t="str">
        <f>IFERROR(VLOOKUP($L13,Justificativas!$A:$E,4,FALSE),"-")</f>
        <v>DISPONIBILIDADE MECÂNICA</v>
      </c>
      <c r="P13" s="11" t="str">
        <f>IFERROR(VLOOKUP($L13,Justificativas!$A:$E,5,FALSE),"-")</f>
        <v>NÃO</v>
      </c>
      <c r="Q13" s="9" t="str">
        <f t="shared" si="15"/>
        <v>PUXA</v>
      </c>
      <c r="R13" s="22">
        <f>COUNTIFS($B$1:B12,B13,$E$1:E12,E13,$G$1:G12,G13,$D$1:D12,D13)</f>
        <v>0</v>
      </c>
      <c r="S13" s="11" t="str">
        <f t="shared" si="16"/>
        <v>SIM</v>
      </c>
    </row>
    <row r="14" spans="1:19" x14ac:dyDescent="0.3">
      <c r="A14" s="11">
        <f t="shared" si="12"/>
        <v>2026</v>
      </c>
      <c r="B14" s="12">
        <f t="shared" si="13"/>
        <v>46023</v>
      </c>
      <c r="C14" s="3" t="s">
        <v>134</v>
      </c>
      <c r="D14" s="11" t="str">
        <f t="shared" si="2"/>
        <v>TURNO 1</v>
      </c>
      <c r="E14" s="19">
        <v>46026</v>
      </c>
      <c r="F14" s="3" t="s">
        <v>126</v>
      </c>
      <c r="G14" s="11" t="str">
        <f>IFERROR(VLOOKUP(F14,Cadastros!A:B,2,FALSE),"-")</f>
        <v>SKIDDER 2</v>
      </c>
      <c r="H14" s="11" t="str">
        <f>IFERROR(VLOOKUP(G14,Cadastros!B:D,3,FALSE),"-")</f>
        <v>ARRASTE</v>
      </c>
      <c r="I14" s="14">
        <f t="shared" si="14"/>
        <v>0.25</v>
      </c>
      <c r="J14" s="17">
        <v>0.75</v>
      </c>
      <c r="K14" s="16">
        <f t="shared" si="4"/>
        <v>12</v>
      </c>
      <c r="L14" s="3">
        <v>8</v>
      </c>
      <c r="M14" s="11" t="str">
        <f>IFERROR(VLOOKUP($L14,Justificativas!$A:$E,2,FALSE),"-")</f>
        <v>DETALHE 8</v>
      </c>
      <c r="N14" s="11" t="str">
        <f>IFERROR(VLOOKUP($L14,Justificativas!$A:$E,3,FALSE),"-")</f>
        <v>DESCRIÇÃO 7</v>
      </c>
      <c r="O14" s="11" t="str">
        <f>IFERROR(VLOOKUP($L14,Justificativas!$A:$E,4,FALSE),"-")</f>
        <v>DISPONIBILIDADE OPERACIONAL</v>
      </c>
      <c r="P14" s="11" t="str">
        <f>IFERROR(VLOOKUP($L14,Justificativas!$A:$E,5,FALSE),"-")</f>
        <v>NÃO</v>
      </c>
      <c r="Q14" s="9" t="str">
        <f t="shared" si="15"/>
        <v>PUXA</v>
      </c>
      <c r="R14" s="22">
        <f>COUNTIFS($B$1:B13,B14,$E$1:E13,E14,$G$1:G13,G14,$D$1:D13,D14)</f>
        <v>0</v>
      </c>
      <c r="S14" s="11" t="str">
        <f t="shared" si="16"/>
        <v>SIM</v>
      </c>
    </row>
    <row r="15" spans="1:19" x14ac:dyDescent="0.3">
      <c r="A15" s="11">
        <f t="shared" si="12"/>
        <v>2026</v>
      </c>
      <c r="B15" s="12">
        <f t="shared" si="13"/>
        <v>46023</v>
      </c>
      <c r="C15" s="3" t="s">
        <v>135</v>
      </c>
      <c r="D15" s="11" t="str">
        <f t="shared" si="2"/>
        <v>TURNO 2</v>
      </c>
      <c r="E15" s="19">
        <v>46026</v>
      </c>
      <c r="F15" s="3" t="s">
        <v>126</v>
      </c>
      <c r="G15" s="11" t="str">
        <f>IFERROR(VLOOKUP(F15,Cadastros!A:B,2,FALSE),"-")</f>
        <v>SKIDDER 2</v>
      </c>
      <c r="H15" s="11" t="str">
        <f>IFERROR(VLOOKUP(G15,Cadastros!B:D,3,FALSE),"-")</f>
        <v>ARRASTE</v>
      </c>
      <c r="I15" s="14">
        <f t="shared" si="14"/>
        <v>0.75</v>
      </c>
      <c r="J15" s="17">
        <v>0.25</v>
      </c>
      <c r="K15" s="16">
        <f t="shared" si="4"/>
        <v>12</v>
      </c>
      <c r="L15" s="3">
        <v>18</v>
      </c>
      <c r="M15" s="11" t="str">
        <f>IFERROR(VLOOKUP($L15,Justificativas!$A:$E,2,FALSE),"-")</f>
        <v>DETALHE 18</v>
      </c>
      <c r="N15" s="11" t="str">
        <f>IFERROR(VLOOKUP($L15,Justificativas!$A:$E,3,FALSE),"-")</f>
        <v>DESCRIÇÃO 17</v>
      </c>
      <c r="O15" s="11" t="str">
        <f>IFERROR(VLOOKUP($L15,Justificativas!$A:$E,4,FALSE),"-")</f>
        <v>DISPONIBILIDADE MECÂNICA</v>
      </c>
      <c r="P15" s="11" t="str">
        <f>IFERROR(VLOOKUP($L15,Justificativas!$A:$E,5,FALSE),"-")</f>
        <v>NÃO</v>
      </c>
      <c r="Q15" s="9" t="str">
        <f t="shared" ref="Q15" si="17">IF(K15=0,"NÃO PUXA NO BI","PUXA")</f>
        <v>PUXA</v>
      </c>
      <c r="R15" s="22">
        <f>COUNTIFS($B$1:B14,B15,$E$1:E14,E15,$G$1:G14,G15,$D$1:D14,D15)</f>
        <v>0</v>
      </c>
      <c r="S15" s="11" t="str">
        <f t="shared" ref="S15" si="18">IF(OR(L15="100-1",L15="100-2",L15="100-3"),"NÃO","SIM")</f>
        <v>SIM</v>
      </c>
    </row>
    <row r="16" spans="1:19" x14ac:dyDescent="0.3">
      <c r="A16" s="11">
        <f t="shared" ref="A16" si="19">IFERROR(YEAR(E16),"-")</f>
        <v>2026</v>
      </c>
      <c r="B16" s="12">
        <f t="shared" ref="B16" si="20">IFERROR(DATE(YEAR(E16),MONTH(E16),MONTH(E16)),"-")</f>
        <v>46023</v>
      </c>
      <c r="C16" s="3" t="s">
        <v>136</v>
      </c>
      <c r="D16" s="11" t="str">
        <f t="shared" si="2"/>
        <v>TURNO 1</v>
      </c>
      <c r="E16" s="19">
        <v>46027</v>
      </c>
      <c r="F16" s="3" t="s">
        <v>128</v>
      </c>
      <c r="G16" s="11" t="str">
        <f>IFERROR(VLOOKUP(F16,Cadastros!A:B,2,FALSE),"-")</f>
        <v>GARRA TRAÇADORA 1</v>
      </c>
      <c r="H16" s="11" t="str">
        <f>IFERROR(VLOOKUP(G16,Cadastros!B:D,3,FALSE),"-")</f>
        <v>TRAÇAMENTO</v>
      </c>
      <c r="I16" s="14">
        <f t="shared" ref="I16" si="21">J15</f>
        <v>0.25</v>
      </c>
      <c r="J16" s="17">
        <v>0.29166666666666669</v>
      </c>
      <c r="K16" s="16">
        <f t="shared" si="4"/>
        <v>1.0000000000000004</v>
      </c>
      <c r="L16" s="3">
        <v>12</v>
      </c>
      <c r="M16" s="11" t="str">
        <f>IFERROR(VLOOKUP($L16,Justificativas!$A:$E,2,FALSE),"-")</f>
        <v>DETALHE 12</v>
      </c>
      <c r="N16" s="11" t="str">
        <f>IFERROR(VLOOKUP($L16,Justificativas!$A:$E,3,FALSE),"-")</f>
        <v>DESCRIÇÃO 11</v>
      </c>
      <c r="O16" s="11" t="str">
        <f>IFERROR(VLOOKUP($L16,Justificativas!$A:$E,4,FALSE),"-")</f>
        <v>DISPONIBILIDADE OPERACIONAL</v>
      </c>
      <c r="P16" s="11" t="str">
        <f>IFERROR(VLOOKUP($L16,Justificativas!$A:$E,5,FALSE),"-")</f>
        <v>NÃO</v>
      </c>
      <c r="Q16" s="9" t="str">
        <f t="shared" ref="Q16:Q22" si="22">IF(K16=0,"NÃO PUXA NO BI","PUXA")</f>
        <v>PUXA</v>
      </c>
      <c r="R16" s="22">
        <f>COUNTIFS($B$1:B15,B16,$E$1:E15,E16,$G$1:G15,G16,$D$1:D15,D16)</f>
        <v>0</v>
      </c>
      <c r="S16" s="11" t="str">
        <f t="shared" ref="S16:S22" si="23">IF(OR(L16="100-1",L16="100-2",L16="100-3"),"NÃO","SIM")</f>
        <v>SIM</v>
      </c>
    </row>
    <row r="17" spans="1:19" x14ac:dyDescent="0.3">
      <c r="A17" s="11">
        <f t="shared" ref="A17:A22" si="24">IFERROR(YEAR(E17),"-")</f>
        <v>2026</v>
      </c>
      <c r="B17" s="12">
        <f t="shared" ref="B17:B22" si="25">IFERROR(DATE(YEAR(E17),MONTH(E17),MONTH(E17)),"-")</f>
        <v>46023</v>
      </c>
      <c r="C17" s="3" t="s">
        <v>136</v>
      </c>
      <c r="D17" s="11" t="str">
        <f t="shared" si="2"/>
        <v>TURNO 1</v>
      </c>
      <c r="E17" s="19">
        <v>46027</v>
      </c>
      <c r="F17" s="3" t="s">
        <v>128</v>
      </c>
      <c r="G17" s="11" t="str">
        <f>IFERROR(VLOOKUP(F17,Cadastros!A:B,2,FALSE),"-")</f>
        <v>GARRA TRAÇADORA 1</v>
      </c>
      <c r="H17" s="11" t="str">
        <f>IFERROR(VLOOKUP(G17,Cadastros!B:D,3,FALSE),"-")</f>
        <v>TRAÇAMENTO</v>
      </c>
      <c r="I17" s="14">
        <f t="shared" ref="I17:I22" si="26">J16</f>
        <v>0.29166666666666669</v>
      </c>
      <c r="J17" s="17">
        <v>0.4375</v>
      </c>
      <c r="K17" s="16">
        <f t="shared" si="4"/>
        <v>3.4999999999999996</v>
      </c>
      <c r="L17" s="3">
        <v>5</v>
      </c>
      <c r="M17" s="11" t="str">
        <f>IFERROR(VLOOKUP($L17,Justificativas!$A:$E,2,FALSE),"-")</f>
        <v>DETALHE 5</v>
      </c>
      <c r="N17" s="11" t="str">
        <f>IFERROR(VLOOKUP($L17,Justificativas!$A:$E,3,FALSE),"-")</f>
        <v>DESCRIÇÃO 4</v>
      </c>
      <c r="O17" s="11" t="str">
        <f>IFERROR(VLOOKUP($L17,Justificativas!$A:$E,4,FALSE),"-")</f>
        <v>DISPONIBILIDADE OPERACIONAL</v>
      </c>
      <c r="P17" s="11" t="str">
        <f>IFERROR(VLOOKUP($L17,Justificativas!$A:$E,5,FALSE),"-")</f>
        <v>NÃO</v>
      </c>
      <c r="Q17" s="9" t="str">
        <f t="shared" si="22"/>
        <v>PUXA</v>
      </c>
      <c r="R17" s="22">
        <f>COUNTIFS($B$1:B16,B17,$E$1:E16,E17,$G$1:G16,G17,$D$1:D16,D17)</f>
        <v>1</v>
      </c>
      <c r="S17" s="11" t="str">
        <f t="shared" si="23"/>
        <v>SIM</v>
      </c>
    </row>
    <row r="18" spans="1:19" x14ac:dyDescent="0.3">
      <c r="A18" s="11">
        <f t="shared" si="24"/>
        <v>2026</v>
      </c>
      <c r="B18" s="12">
        <f t="shared" si="25"/>
        <v>46023</v>
      </c>
      <c r="C18" s="3" t="s">
        <v>136</v>
      </c>
      <c r="D18" s="11" t="str">
        <f t="shared" si="2"/>
        <v>TURNO 1</v>
      </c>
      <c r="E18" s="19">
        <v>46027</v>
      </c>
      <c r="F18" s="3" t="s">
        <v>128</v>
      </c>
      <c r="G18" s="11" t="str">
        <f>IFERROR(VLOOKUP(F18,Cadastros!A:B,2,FALSE),"-")</f>
        <v>GARRA TRAÇADORA 1</v>
      </c>
      <c r="H18" s="11" t="str">
        <f>IFERROR(VLOOKUP(G18,Cadastros!B:D,3,FALSE),"-")</f>
        <v>TRAÇAMENTO</v>
      </c>
      <c r="I18" s="14">
        <f t="shared" si="26"/>
        <v>0.4375</v>
      </c>
      <c r="J18" s="17">
        <v>0.5</v>
      </c>
      <c r="K18" s="16">
        <f t="shared" si="4"/>
        <v>1.5</v>
      </c>
      <c r="L18" s="3">
        <v>12</v>
      </c>
      <c r="M18" s="11" t="str">
        <f>IFERROR(VLOOKUP($L18,Justificativas!$A:$E,2,FALSE),"-")</f>
        <v>DETALHE 12</v>
      </c>
      <c r="N18" s="11" t="str">
        <f>IFERROR(VLOOKUP($L18,Justificativas!$A:$E,3,FALSE),"-")</f>
        <v>DESCRIÇÃO 11</v>
      </c>
      <c r="O18" s="11" t="str">
        <f>IFERROR(VLOOKUP($L18,Justificativas!$A:$E,4,FALSE),"-")</f>
        <v>DISPONIBILIDADE OPERACIONAL</v>
      </c>
      <c r="P18" s="11" t="str">
        <f>IFERROR(VLOOKUP($L18,Justificativas!$A:$E,5,FALSE),"-")</f>
        <v>NÃO</v>
      </c>
      <c r="Q18" s="9" t="str">
        <f t="shared" si="22"/>
        <v>PUXA</v>
      </c>
      <c r="R18" s="22">
        <f>COUNTIFS($B$1:B17,B18,$E$1:E17,E18,$G$1:G17,G18,$D$1:D17,D18)</f>
        <v>2</v>
      </c>
      <c r="S18" s="11" t="str">
        <f t="shared" si="23"/>
        <v>SIM</v>
      </c>
    </row>
    <row r="19" spans="1:19" x14ac:dyDescent="0.3">
      <c r="A19" s="11">
        <f t="shared" si="24"/>
        <v>2026</v>
      </c>
      <c r="B19" s="12">
        <f t="shared" si="25"/>
        <v>46023</v>
      </c>
      <c r="C19" s="3" t="s">
        <v>136</v>
      </c>
      <c r="D19" s="11" t="str">
        <f t="shared" si="2"/>
        <v>TURNO 1</v>
      </c>
      <c r="E19" s="19">
        <v>46027</v>
      </c>
      <c r="F19" s="3" t="s">
        <v>128</v>
      </c>
      <c r="G19" s="11" t="str">
        <f>IFERROR(VLOOKUP(F19,Cadastros!A:B,2,FALSE),"-")</f>
        <v>GARRA TRAÇADORA 1</v>
      </c>
      <c r="H19" s="11" t="str">
        <f>IFERROR(VLOOKUP(G19,Cadastros!B:D,3,FALSE),"-")</f>
        <v>TRAÇAMENTO</v>
      </c>
      <c r="I19" s="14">
        <f t="shared" si="26"/>
        <v>0.5</v>
      </c>
      <c r="J19" s="17">
        <v>0.60069444444444442</v>
      </c>
      <c r="K19" s="16">
        <f t="shared" si="4"/>
        <v>2.4166666666666661</v>
      </c>
      <c r="L19" s="3">
        <v>2</v>
      </c>
      <c r="M19" s="11" t="str">
        <f>IFERROR(VLOOKUP($L19,Justificativas!$A:$E,2,FALSE),"-")</f>
        <v>DETALHE 2</v>
      </c>
      <c r="N19" s="11" t="str">
        <f>IFERROR(VLOOKUP($L19,Justificativas!$A:$E,3,FALSE),"-")</f>
        <v>DESCRIÇÃO 1</v>
      </c>
      <c r="O19" s="11" t="str">
        <f>IFERROR(VLOOKUP($L19,Justificativas!$A:$E,4,FALSE),"-")</f>
        <v>OPERAÇÃO</v>
      </c>
      <c r="P19" s="11" t="str">
        <f>IFERROR(VLOOKUP($L19,Justificativas!$A:$E,5,FALSE),"-")</f>
        <v>SIM</v>
      </c>
      <c r="Q19" s="9" t="str">
        <f t="shared" si="22"/>
        <v>PUXA</v>
      </c>
      <c r="R19" s="22">
        <f>COUNTIFS($B$1:B18,B19,$E$1:E18,E19,$G$1:G18,G19,$D$1:D18,D19)</f>
        <v>3</v>
      </c>
      <c r="S19" s="11" t="str">
        <f t="shared" si="23"/>
        <v>SIM</v>
      </c>
    </row>
    <row r="20" spans="1:19" x14ac:dyDescent="0.3">
      <c r="A20" s="11">
        <f t="shared" si="24"/>
        <v>2026</v>
      </c>
      <c r="B20" s="12">
        <f t="shared" si="25"/>
        <v>46023</v>
      </c>
      <c r="C20" s="3" t="s">
        <v>136</v>
      </c>
      <c r="D20" s="11" t="str">
        <f t="shared" si="2"/>
        <v>TURNO 1</v>
      </c>
      <c r="E20" s="19">
        <v>46027</v>
      </c>
      <c r="F20" s="3" t="s">
        <v>128</v>
      </c>
      <c r="G20" s="11" t="str">
        <f>IFERROR(VLOOKUP(F20,Cadastros!A:B,2,FALSE),"-")</f>
        <v>GARRA TRAÇADORA 1</v>
      </c>
      <c r="H20" s="11" t="str">
        <f>IFERROR(VLOOKUP(G20,Cadastros!B:D,3,FALSE),"-")</f>
        <v>TRAÇAMENTO</v>
      </c>
      <c r="I20" s="14">
        <f t="shared" si="26"/>
        <v>0.60069444444444442</v>
      </c>
      <c r="J20" s="17">
        <v>0.70833333333333337</v>
      </c>
      <c r="K20" s="16">
        <f t="shared" si="4"/>
        <v>2.5833333333333348</v>
      </c>
      <c r="L20" s="3">
        <v>8</v>
      </c>
      <c r="M20" s="11" t="str">
        <f>IFERROR(VLOOKUP($L20,Justificativas!$A:$E,2,FALSE),"-")</f>
        <v>DETALHE 8</v>
      </c>
      <c r="N20" s="11" t="str">
        <f>IFERROR(VLOOKUP($L20,Justificativas!$A:$E,3,FALSE),"-")</f>
        <v>DESCRIÇÃO 7</v>
      </c>
      <c r="O20" s="11" t="str">
        <f>IFERROR(VLOOKUP($L20,Justificativas!$A:$E,4,FALSE),"-")</f>
        <v>DISPONIBILIDADE OPERACIONAL</v>
      </c>
      <c r="P20" s="11" t="str">
        <f>IFERROR(VLOOKUP($L20,Justificativas!$A:$E,5,FALSE),"-")</f>
        <v>NÃO</v>
      </c>
      <c r="Q20" s="9" t="str">
        <f t="shared" si="22"/>
        <v>PUXA</v>
      </c>
      <c r="R20" s="22">
        <f>COUNTIFS($B$1:B19,B20,$E$1:E19,E20,$G$1:G19,G20,$D$1:D19,D20)</f>
        <v>4</v>
      </c>
      <c r="S20" s="11" t="str">
        <f t="shared" si="23"/>
        <v>SIM</v>
      </c>
    </row>
    <row r="21" spans="1:19" x14ac:dyDescent="0.3">
      <c r="A21" s="11">
        <f t="shared" si="24"/>
        <v>2026</v>
      </c>
      <c r="B21" s="12">
        <f t="shared" si="25"/>
        <v>46023</v>
      </c>
      <c r="C21" s="3" t="s">
        <v>136</v>
      </c>
      <c r="D21" s="11" t="str">
        <f t="shared" si="2"/>
        <v>TURNO 1</v>
      </c>
      <c r="E21" s="19">
        <v>46027</v>
      </c>
      <c r="F21" s="3" t="s">
        <v>128</v>
      </c>
      <c r="G21" s="11" t="str">
        <f>IFERROR(VLOOKUP(F21,Cadastros!A:B,2,FALSE),"-")</f>
        <v>GARRA TRAÇADORA 1</v>
      </c>
      <c r="H21" s="11" t="str">
        <f>IFERROR(VLOOKUP(G21,Cadastros!B:D,3,FALSE),"-")</f>
        <v>TRAÇAMENTO</v>
      </c>
      <c r="I21" s="14">
        <f t="shared" si="26"/>
        <v>0.70833333333333337</v>
      </c>
      <c r="J21" s="17">
        <v>0.75</v>
      </c>
      <c r="K21" s="16">
        <f t="shared" si="4"/>
        <v>0.99999999999999911</v>
      </c>
      <c r="L21" s="3">
        <v>1</v>
      </c>
      <c r="M21" s="11" t="str">
        <f>IFERROR(VLOOKUP($L21,Justificativas!$A:$E,2,FALSE),"-")</f>
        <v>OPERAÇÃO</v>
      </c>
      <c r="N21" s="11" t="str">
        <f>IFERROR(VLOOKUP($L21,Justificativas!$A:$E,3,FALSE),"-")</f>
        <v>EM OPERAÇÃO</v>
      </c>
      <c r="O21" s="11" t="str">
        <f>IFERROR(VLOOKUP($L21,Justificativas!$A:$E,4,FALSE),"-")</f>
        <v>OPERAÇÃO</v>
      </c>
      <c r="P21" s="11" t="str">
        <f>IFERROR(VLOOKUP($L21,Justificativas!$A:$E,5,FALSE),"-")</f>
        <v>NÃO</v>
      </c>
      <c r="Q21" s="9" t="str">
        <f t="shared" si="22"/>
        <v>PUXA</v>
      </c>
      <c r="R21" s="22">
        <f>COUNTIFS($B$1:B20,B21,$E$1:E20,E21,$G$1:G20,G21,$D$1:D20,D21)</f>
        <v>5</v>
      </c>
      <c r="S21" s="11" t="str">
        <f t="shared" si="23"/>
        <v>SIM</v>
      </c>
    </row>
    <row r="22" spans="1:19" x14ac:dyDescent="0.3">
      <c r="A22" s="11">
        <f t="shared" si="24"/>
        <v>2026</v>
      </c>
      <c r="B22" s="12">
        <f t="shared" si="25"/>
        <v>46023</v>
      </c>
      <c r="C22" s="3" t="s">
        <v>137</v>
      </c>
      <c r="D22" s="11" t="str">
        <f t="shared" si="2"/>
        <v>TURNO 2</v>
      </c>
      <c r="E22" s="19">
        <v>46027</v>
      </c>
      <c r="F22" s="3" t="s">
        <v>128</v>
      </c>
      <c r="G22" s="11" t="str">
        <f>IFERROR(VLOOKUP(F22,Cadastros!A:B,2,FALSE),"-")</f>
        <v>GARRA TRAÇADORA 1</v>
      </c>
      <c r="H22" s="11" t="str">
        <f>IFERROR(VLOOKUP(G22,Cadastros!B:D,3,FALSE),"-")</f>
        <v>TRAÇAMENTO</v>
      </c>
      <c r="I22" s="14">
        <f t="shared" si="26"/>
        <v>0.75</v>
      </c>
      <c r="J22" s="17">
        <v>0.86458333333333337</v>
      </c>
      <c r="K22" s="16">
        <f t="shared" si="4"/>
        <v>2.7500000000000009</v>
      </c>
      <c r="L22" s="3">
        <v>5</v>
      </c>
      <c r="M22" s="11" t="str">
        <f>IFERROR(VLOOKUP($L22,Justificativas!$A:$E,2,FALSE),"-")</f>
        <v>DETALHE 5</v>
      </c>
      <c r="N22" s="11" t="str">
        <f>IFERROR(VLOOKUP($L22,Justificativas!$A:$E,3,FALSE),"-")</f>
        <v>DESCRIÇÃO 4</v>
      </c>
      <c r="O22" s="11" t="str">
        <f>IFERROR(VLOOKUP($L22,Justificativas!$A:$E,4,FALSE),"-")</f>
        <v>DISPONIBILIDADE OPERACIONAL</v>
      </c>
      <c r="P22" s="11" t="str">
        <f>IFERROR(VLOOKUP($L22,Justificativas!$A:$E,5,FALSE),"-")</f>
        <v>NÃO</v>
      </c>
      <c r="Q22" s="9" t="str">
        <f t="shared" si="22"/>
        <v>PUXA</v>
      </c>
      <c r="R22" s="22">
        <f>COUNTIFS($B$1:B21,B22,$E$1:E21,E22,$G$1:G21,G22,$D$1:D21,D22)</f>
        <v>0</v>
      </c>
      <c r="S22" s="11" t="str">
        <f t="shared" si="23"/>
        <v>SIM</v>
      </c>
    </row>
    <row r="23" spans="1:19" x14ac:dyDescent="0.3">
      <c r="A23" s="11">
        <f t="shared" ref="A23:A25" si="27">IFERROR(YEAR(E23),"-")</f>
        <v>2026</v>
      </c>
      <c r="B23" s="12">
        <f t="shared" ref="B23:B25" si="28">IFERROR(DATE(YEAR(E23),MONTH(E23),MONTH(E23)),"-")</f>
        <v>46023</v>
      </c>
      <c r="C23" s="3" t="s">
        <v>137</v>
      </c>
      <c r="D23" s="11" t="str">
        <f t="shared" si="2"/>
        <v>TURNO 2</v>
      </c>
      <c r="E23" s="19">
        <v>46027</v>
      </c>
      <c r="F23" s="3" t="s">
        <v>128</v>
      </c>
      <c r="G23" s="11" t="str">
        <f>IFERROR(VLOOKUP(F23,Cadastros!A:B,2,FALSE),"-")</f>
        <v>GARRA TRAÇADORA 1</v>
      </c>
      <c r="H23" s="11" t="str">
        <f>IFERROR(VLOOKUP(G23,Cadastros!B:D,3,FALSE),"-")</f>
        <v>TRAÇAMENTO</v>
      </c>
      <c r="I23" s="14">
        <f t="shared" ref="I23:I25" si="29">J22</f>
        <v>0.86458333333333337</v>
      </c>
      <c r="J23" s="17">
        <v>0.95833333333333337</v>
      </c>
      <c r="K23" s="16">
        <f t="shared" si="4"/>
        <v>2.25</v>
      </c>
      <c r="L23" s="3">
        <v>19</v>
      </c>
      <c r="M23" s="11" t="str">
        <f>IFERROR(VLOOKUP($L23,Justificativas!$A:$E,2,FALSE),"-")</f>
        <v>DETALHE 19</v>
      </c>
      <c r="N23" s="11" t="str">
        <f>IFERROR(VLOOKUP($L23,Justificativas!$A:$E,3,FALSE),"-")</f>
        <v>DESCRIÇÃO 18</v>
      </c>
      <c r="O23" s="11" t="str">
        <f>IFERROR(VLOOKUP($L23,Justificativas!$A:$E,4,FALSE),"-")</f>
        <v>DISPONIBILIDADE MECÂNICA</v>
      </c>
      <c r="P23" s="11" t="str">
        <f>IFERROR(VLOOKUP($L23,Justificativas!$A:$E,5,FALSE),"-")</f>
        <v>NÃO</v>
      </c>
      <c r="Q23" s="9" t="str">
        <f t="shared" ref="Q23:Q25" si="30">IF(K23=0,"NÃO PUXA NO BI","PUXA")</f>
        <v>PUXA</v>
      </c>
      <c r="R23" s="22">
        <f>COUNTIFS($B$1:B22,B23,$E$1:E22,E23,$G$1:G22,G23,$D$1:D22,D23)</f>
        <v>1</v>
      </c>
      <c r="S23" s="11" t="str">
        <f t="shared" ref="S23:S25" si="31">IF(OR(L23="100-1",L23="100-2",L23="100-3"),"NÃO","SIM")</f>
        <v>SIM</v>
      </c>
    </row>
    <row r="24" spans="1:19" x14ac:dyDescent="0.3">
      <c r="A24" s="11">
        <f t="shared" si="27"/>
        <v>2026</v>
      </c>
      <c r="B24" s="12">
        <f t="shared" si="28"/>
        <v>46023</v>
      </c>
      <c r="C24" s="3" t="s">
        <v>137</v>
      </c>
      <c r="D24" s="11" t="str">
        <f t="shared" si="2"/>
        <v>TURNO 2</v>
      </c>
      <c r="E24" s="19">
        <v>46027</v>
      </c>
      <c r="F24" s="3" t="s">
        <v>128</v>
      </c>
      <c r="G24" s="11" t="str">
        <f>IFERROR(VLOOKUP(F24,Cadastros!A:B,2,FALSE),"-")</f>
        <v>GARRA TRAÇADORA 1</v>
      </c>
      <c r="H24" s="11" t="str">
        <f>IFERROR(VLOOKUP(G24,Cadastros!B:D,3,FALSE),"-")</f>
        <v>TRAÇAMENTO</v>
      </c>
      <c r="I24" s="14">
        <f t="shared" si="29"/>
        <v>0.95833333333333337</v>
      </c>
      <c r="J24" s="17">
        <v>0.125</v>
      </c>
      <c r="K24" s="16">
        <f t="shared" si="4"/>
        <v>3.9999999999999991</v>
      </c>
      <c r="L24" s="3">
        <v>7</v>
      </c>
      <c r="M24" s="11" t="str">
        <f>IFERROR(VLOOKUP($L24,Justificativas!$A:$E,2,FALSE),"-")</f>
        <v>DETALHE 7</v>
      </c>
      <c r="N24" s="11" t="str">
        <f>IFERROR(VLOOKUP($L24,Justificativas!$A:$E,3,FALSE),"-")</f>
        <v>DESCRIÇÃO 6</v>
      </c>
      <c r="O24" s="11" t="str">
        <f>IFERROR(VLOOKUP($L24,Justificativas!$A:$E,4,FALSE),"-")</f>
        <v>DISPONIBILIDADE OPERACIONAL</v>
      </c>
      <c r="P24" s="11" t="str">
        <f>IFERROR(VLOOKUP($L24,Justificativas!$A:$E,5,FALSE),"-")</f>
        <v>NÃO</v>
      </c>
      <c r="Q24" s="9" t="str">
        <f t="shared" si="30"/>
        <v>PUXA</v>
      </c>
      <c r="R24" s="22">
        <f>COUNTIFS($B$1:B23,B24,$E$1:E23,E24,$G$1:G23,G24,$D$1:D23,D24)</f>
        <v>2</v>
      </c>
      <c r="S24" s="11" t="str">
        <f t="shared" si="31"/>
        <v>SIM</v>
      </c>
    </row>
    <row r="25" spans="1:19" x14ac:dyDescent="0.3">
      <c r="A25" s="11">
        <f t="shared" si="27"/>
        <v>2026</v>
      </c>
      <c r="B25" s="12">
        <f t="shared" si="28"/>
        <v>46023</v>
      </c>
      <c r="C25" s="3" t="s">
        <v>137</v>
      </c>
      <c r="D25" s="11" t="str">
        <f t="shared" si="2"/>
        <v>TURNO 2</v>
      </c>
      <c r="E25" s="19">
        <v>46027</v>
      </c>
      <c r="F25" s="3" t="s">
        <v>128</v>
      </c>
      <c r="G25" s="11" t="str">
        <f>IFERROR(VLOOKUP(F25,Cadastros!A:B,2,FALSE),"-")</f>
        <v>GARRA TRAÇADORA 1</v>
      </c>
      <c r="H25" s="11" t="str">
        <f>IFERROR(VLOOKUP(G25,Cadastros!B:D,3,FALSE),"-")</f>
        <v>TRAÇAMENTO</v>
      </c>
      <c r="I25" s="14">
        <f t="shared" si="29"/>
        <v>0.125</v>
      </c>
      <c r="J25" s="17">
        <v>0.25</v>
      </c>
      <c r="K25" s="16">
        <f t="shared" si="4"/>
        <v>3</v>
      </c>
      <c r="L25" s="3">
        <v>3</v>
      </c>
      <c r="M25" s="11" t="str">
        <f>IFERROR(VLOOKUP($L25,Justificativas!$A:$E,2,FALSE),"-")</f>
        <v>DETALHE 3</v>
      </c>
      <c r="N25" s="11" t="str">
        <f>IFERROR(VLOOKUP($L25,Justificativas!$A:$E,3,FALSE),"-")</f>
        <v>DESCRIÇÃO 2</v>
      </c>
      <c r="O25" s="11" t="str">
        <f>IFERROR(VLOOKUP($L25,Justificativas!$A:$E,4,FALSE),"-")</f>
        <v>NÃO É INDISPONIBILIDADE</v>
      </c>
      <c r="P25" s="11" t="str">
        <f>IFERROR(VLOOKUP($L25,Justificativas!$A:$E,5,FALSE),"-")</f>
        <v>SIM</v>
      </c>
      <c r="Q25" s="9" t="str">
        <f t="shared" si="30"/>
        <v>PUXA</v>
      </c>
      <c r="R25" s="22">
        <f>COUNTIFS($B$1:B24,B25,$E$1:E24,E25,$G$1:G24,G25,$D$1:D24,D25)</f>
        <v>3</v>
      </c>
      <c r="S25" s="11" t="str">
        <f t="shared" si="31"/>
        <v>SIM</v>
      </c>
    </row>
    <row r="26" spans="1:19" x14ac:dyDescent="0.3">
      <c r="A26" s="11">
        <f t="shared" ref="A26:A30" si="32">IFERROR(YEAR(E26),"-")</f>
        <v>2026</v>
      </c>
      <c r="B26" s="12">
        <f t="shared" ref="B26:B30" si="33">IFERROR(DATE(YEAR(E26),MONTH(E26),MONTH(E26)),"-")</f>
        <v>46023</v>
      </c>
      <c r="C26" s="3" t="s">
        <v>138</v>
      </c>
      <c r="D26" s="11" t="str">
        <f t="shared" si="2"/>
        <v>TURNO 1</v>
      </c>
      <c r="E26" s="19">
        <v>46028</v>
      </c>
      <c r="F26" s="3" t="s">
        <v>122</v>
      </c>
      <c r="G26" s="11" t="str">
        <f>IFERROR(VLOOKUP(F26,Cadastros!A:B,2,FALSE),"-")</f>
        <v>FELLER BUNCHER 2</v>
      </c>
      <c r="H26" s="11" t="str">
        <f>IFERROR(VLOOKUP(G26,Cadastros!B:D,3,FALSE),"-")</f>
        <v>CORTE</v>
      </c>
      <c r="I26" s="14">
        <f t="shared" ref="I26:I30" si="34">J25</f>
        <v>0.25</v>
      </c>
      <c r="J26" s="17">
        <v>0.41666666666666669</v>
      </c>
      <c r="K26" s="16">
        <f t="shared" si="4"/>
        <v>4</v>
      </c>
      <c r="L26" s="3">
        <v>8</v>
      </c>
      <c r="M26" s="11" t="str">
        <f>IFERROR(VLOOKUP($L26,Justificativas!$A:$E,2,FALSE),"-")</f>
        <v>DETALHE 8</v>
      </c>
      <c r="N26" s="11" t="str">
        <f>IFERROR(VLOOKUP($L26,Justificativas!$A:$E,3,FALSE),"-")</f>
        <v>DESCRIÇÃO 7</v>
      </c>
      <c r="O26" s="11" t="str">
        <f>IFERROR(VLOOKUP($L26,Justificativas!$A:$E,4,FALSE),"-")</f>
        <v>DISPONIBILIDADE OPERACIONAL</v>
      </c>
      <c r="P26" s="11" t="str">
        <f>IFERROR(VLOOKUP($L26,Justificativas!$A:$E,5,FALSE),"-")</f>
        <v>NÃO</v>
      </c>
      <c r="Q26" s="9" t="str">
        <f t="shared" ref="Q26:Q30" si="35">IF(K26=0,"NÃO PUXA NO BI","PUXA")</f>
        <v>PUXA</v>
      </c>
      <c r="R26" s="22">
        <f>COUNTIFS($B$1:B25,B26,$E$1:E25,E26,$G$1:G25,G26,$D$1:D25,D26)</f>
        <v>0</v>
      </c>
      <c r="S26" s="11" t="str">
        <f t="shared" ref="S26:S30" si="36">IF(OR(L26="100-1",L26="100-2",L26="100-3"),"NÃO","SIM")</f>
        <v>SIM</v>
      </c>
    </row>
    <row r="27" spans="1:19" x14ac:dyDescent="0.3">
      <c r="A27" s="11">
        <f t="shared" si="32"/>
        <v>2026</v>
      </c>
      <c r="B27" s="12">
        <f t="shared" si="33"/>
        <v>46023</v>
      </c>
      <c r="C27" s="3" t="s">
        <v>138</v>
      </c>
      <c r="D27" s="11" t="str">
        <f t="shared" si="2"/>
        <v>TURNO 1</v>
      </c>
      <c r="E27" s="19">
        <v>46028</v>
      </c>
      <c r="F27" s="3" t="s">
        <v>122</v>
      </c>
      <c r="G27" s="11" t="str">
        <f>IFERROR(VLOOKUP(F27,Cadastros!A:B,2,FALSE),"-")</f>
        <v>FELLER BUNCHER 2</v>
      </c>
      <c r="H27" s="11" t="str">
        <f>IFERROR(VLOOKUP(G27,Cadastros!B:D,3,FALSE),"-")</f>
        <v>CORTE</v>
      </c>
      <c r="I27" s="14">
        <f t="shared" si="34"/>
        <v>0.41666666666666669</v>
      </c>
      <c r="J27" s="17">
        <v>0.66666666666666663</v>
      </c>
      <c r="K27" s="16">
        <f t="shared" si="4"/>
        <v>5.9999999999999982</v>
      </c>
      <c r="L27" s="3">
        <v>7</v>
      </c>
      <c r="M27" s="11" t="str">
        <f>IFERROR(VLOOKUP($L27,Justificativas!$A:$E,2,FALSE),"-")</f>
        <v>DETALHE 7</v>
      </c>
      <c r="N27" s="11" t="str">
        <f>IFERROR(VLOOKUP($L27,Justificativas!$A:$E,3,FALSE),"-")</f>
        <v>DESCRIÇÃO 6</v>
      </c>
      <c r="O27" s="11" t="str">
        <f>IFERROR(VLOOKUP($L27,Justificativas!$A:$E,4,FALSE),"-")</f>
        <v>DISPONIBILIDADE OPERACIONAL</v>
      </c>
      <c r="P27" s="11" t="str">
        <f>IFERROR(VLOOKUP($L27,Justificativas!$A:$E,5,FALSE),"-")</f>
        <v>NÃO</v>
      </c>
      <c r="Q27" s="9" t="str">
        <f t="shared" si="35"/>
        <v>PUXA</v>
      </c>
      <c r="R27" s="22">
        <f>COUNTIFS($B$1:B26,B27,$E$1:E26,E27,$G$1:G26,G27,$D$1:D26,D27)</f>
        <v>1</v>
      </c>
      <c r="S27" s="11" t="str">
        <f t="shared" si="36"/>
        <v>SIM</v>
      </c>
    </row>
    <row r="28" spans="1:19" x14ac:dyDescent="0.3">
      <c r="A28" s="11">
        <f t="shared" si="32"/>
        <v>2026</v>
      </c>
      <c r="B28" s="12">
        <f t="shared" si="33"/>
        <v>46023</v>
      </c>
      <c r="C28" s="3" t="s">
        <v>138</v>
      </c>
      <c r="D28" s="11" t="str">
        <f t="shared" si="2"/>
        <v>TURNO 1</v>
      </c>
      <c r="E28" s="19">
        <v>46028</v>
      </c>
      <c r="F28" s="3" t="s">
        <v>122</v>
      </c>
      <c r="G28" s="11" t="str">
        <f>IFERROR(VLOOKUP(F28,Cadastros!A:B,2,FALSE),"-")</f>
        <v>FELLER BUNCHER 2</v>
      </c>
      <c r="H28" s="11" t="str">
        <f>IFERROR(VLOOKUP(G28,Cadastros!B:D,3,FALSE),"-")</f>
        <v>CORTE</v>
      </c>
      <c r="I28" s="14">
        <f t="shared" si="34"/>
        <v>0.66666666666666663</v>
      </c>
      <c r="J28" s="17">
        <v>0.75</v>
      </c>
      <c r="K28" s="16">
        <f t="shared" si="4"/>
        <v>2.0000000000000009</v>
      </c>
      <c r="L28" s="3">
        <v>3</v>
      </c>
      <c r="M28" s="11" t="str">
        <f>IFERROR(VLOOKUP($L28,Justificativas!$A:$E,2,FALSE),"-")</f>
        <v>DETALHE 3</v>
      </c>
      <c r="N28" s="11" t="str">
        <f>IFERROR(VLOOKUP($L28,Justificativas!$A:$E,3,FALSE),"-")</f>
        <v>DESCRIÇÃO 2</v>
      </c>
      <c r="O28" s="11" t="str">
        <f>IFERROR(VLOOKUP($L28,Justificativas!$A:$E,4,FALSE),"-")</f>
        <v>NÃO É INDISPONIBILIDADE</v>
      </c>
      <c r="P28" s="11" t="str">
        <f>IFERROR(VLOOKUP($L28,Justificativas!$A:$E,5,FALSE),"-")</f>
        <v>SIM</v>
      </c>
      <c r="Q28" s="9" t="str">
        <f t="shared" si="35"/>
        <v>PUXA</v>
      </c>
      <c r="R28" s="22">
        <f>COUNTIFS($B$1:B27,B28,$E$1:E27,E28,$G$1:G27,G28,$D$1:D27,D28)</f>
        <v>2</v>
      </c>
      <c r="S28" s="11" t="str">
        <f t="shared" si="36"/>
        <v>SIM</v>
      </c>
    </row>
    <row r="29" spans="1:19" x14ac:dyDescent="0.3">
      <c r="A29" s="11">
        <f t="shared" si="32"/>
        <v>2026</v>
      </c>
      <c r="B29" s="12">
        <f t="shared" si="33"/>
        <v>46023</v>
      </c>
      <c r="C29" s="3" t="s">
        <v>139</v>
      </c>
      <c r="D29" s="11" t="str">
        <f t="shared" si="2"/>
        <v>TURNO 2</v>
      </c>
      <c r="E29" s="19">
        <v>46028</v>
      </c>
      <c r="F29" s="3" t="s">
        <v>122</v>
      </c>
      <c r="G29" s="11" t="str">
        <f>IFERROR(VLOOKUP(F29,Cadastros!A:B,2,FALSE),"-")</f>
        <v>FELLER BUNCHER 2</v>
      </c>
      <c r="H29" s="11" t="str">
        <f>IFERROR(VLOOKUP(G29,Cadastros!B:D,3,FALSE),"-")</f>
        <v>CORTE</v>
      </c>
      <c r="I29" s="14">
        <f t="shared" si="34"/>
        <v>0.75</v>
      </c>
      <c r="J29" s="17">
        <v>0.125</v>
      </c>
      <c r="K29" s="16">
        <f t="shared" si="4"/>
        <v>9</v>
      </c>
      <c r="L29" s="3">
        <v>5</v>
      </c>
      <c r="M29" s="11" t="str">
        <f>IFERROR(VLOOKUP($L29,Justificativas!$A:$E,2,FALSE),"-")</f>
        <v>DETALHE 5</v>
      </c>
      <c r="N29" s="11" t="str">
        <f>IFERROR(VLOOKUP($L29,Justificativas!$A:$E,3,FALSE),"-")</f>
        <v>DESCRIÇÃO 4</v>
      </c>
      <c r="O29" s="11" t="str">
        <f>IFERROR(VLOOKUP($L29,Justificativas!$A:$E,4,FALSE),"-")</f>
        <v>DISPONIBILIDADE OPERACIONAL</v>
      </c>
      <c r="P29" s="11" t="str">
        <f>IFERROR(VLOOKUP($L29,Justificativas!$A:$E,5,FALSE),"-")</f>
        <v>NÃO</v>
      </c>
      <c r="Q29" s="9" t="str">
        <f t="shared" si="35"/>
        <v>PUXA</v>
      </c>
      <c r="R29" s="22">
        <f>COUNTIFS($B$1:B28,B29,$E$1:E28,E29,$G$1:G28,G29,$D$1:D28,D29)</f>
        <v>0</v>
      </c>
      <c r="S29" s="11" t="str">
        <f t="shared" si="36"/>
        <v>SIM</v>
      </c>
    </row>
    <row r="30" spans="1:19" x14ac:dyDescent="0.3">
      <c r="A30" s="11">
        <f t="shared" si="32"/>
        <v>2026</v>
      </c>
      <c r="B30" s="12">
        <f t="shared" si="33"/>
        <v>46023</v>
      </c>
      <c r="C30" s="3" t="s">
        <v>139</v>
      </c>
      <c r="D30" s="11" t="str">
        <f t="shared" si="2"/>
        <v>TURNO 2</v>
      </c>
      <c r="E30" s="19">
        <v>46028</v>
      </c>
      <c r="F30" s="3" t="s">
        <v>122</v>
      </c>
      <c r="G30" s="11" t="str">
        <f>IFERROR(VLOOKUP(F30,Cadastros!A:B,2,FALSE),"-")</f>
        <v>FELLER BUNCHER 2</v>
      </c>
      <c r="H30" s="11" t="str">
        <f>IFERROR(VLOOKUP(G30,Cadastros!B:D,3,FALSE),"-")</f>
        <v>CORTE</v>
      </c>
      <c r="I30" s="14">
        <f t="shared" si="34"/>
        <v>0.125</v>
      </c>
      <c r="J30" s="17">
        <v>0.25</v>
      </c>
      <c r="K30" s="16">
        <f t="shared" si="4"/>
        <v>3</v>
      </c>
      <c r="L30" s="3">
        <v>11</v>
      </c>
      <c r="M30" s="11" t="str">
        <f>IFERROR(VLOOKUP($L30,Justificativas!$A:$E,2,FALSE),"-")</f>
        <v>DETALHE 11</v>
      </c>
      <c r="N30" s="11" t="str">
        <f>IFERROR(VLOOKUP($L30,Justificativas!$A:$E,3,FALSE),"-")</f>
        <v>DESCRIÇÃO 10</v>
      </c>
      <c r="O30" s="11" t="str">
        <f>IFERROR(VLOOKUP($L30,Justificativas!$A:$E,4,FALSE),"-")</f>
        <v>DISPONIBILIDADE OPERACIONAL</v>
      </c>
      <c r="P30" s="11" t="str">
        <f>IFERROR(VLOOKUP($L30,Justificativas!$A:$E,5,FALSE),"-")</f>
        <v>NÃO</v>
      </c>
      <c r="Q30" s="9" t="str">
        <f t="shared" si="35"/>
        <v>PUXA</v>
      </c>
      <c r="R30" s="22">
        <f>COUNTIFS($B$1:B29,B30,$E$1:E29,E30,$G$1:G29,G30,$D$1:D29,D30)</f>
        <v>1</v>
      </c>
      <c r="S30" s="11" t="str">
        <f t="shared" si="36"/>
        <v>SIM</v>
      </c>
    </row>
  </sheetData>
  <autoFilter ref="A1:S30" xr:uid="{00000000-0001-0000-0000-000000000000}"/>
  <phoneticPr fontId="4" type="noConversion"/>
  <conditionalFormatting sqref="A1">
    <cfRule type="duplicateValues" dxfId="23" priority="6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9D2F1-82F5-47FF-BF24-BE594ECF190B}">
  <dimension ref="A1:AL73"/>
  <sheetViews>
    <sheetView zoomScale="70" zoomScaleNormal="70" workbookViewId="0">
      <pane ySplit="1" topLeftCell="A2" activePane="bottomLeft" state="frozen"/>
      <selection pane="bottomLeft" activeCell="F56" sqref="F56"/>
    </sheetView>
  </sheetViews>
  <sheetFormatPr defaultColWidth="8.88671875" defaultRowHeight="14.4" x14ac:dyDescent="0.3"/>
  <cols>
    <col min="1" max="1" width="9.6640625" style="11" customWidth="1"/>
    <col min="2" max="2" width="12.6640625" style="12" customWidth="1"/>
    <col min="3" max="3" width="13.88671875" style="3" customWidth="1"/>
    <col min="4" max="4" width="15.33203125" style="3" customWidth="1"/>
    <col min="5" max="5" width="15.33203125" style="11" customWidth="1"/>
    <col min="6" max="6" width="35.6640625" style="11" customWidth="1"/>
    <col min="7" max="7" width="22.6640625" style="11" customWidth="1"/>
    <col min="8" max="8" width="16.44140625" style="11" customWidth="1"/>
    <col min="9" max="9" width="28.6640625" style="9" customWidth="1"/>
    <col min="10" max="10" width="10.33203125" style="24" customWidth="1"/>
    <col min="11" max="11" width="11.6640625" style="24" customWidth="1"/>
    <col min="12" max="13" width="11.88671875" style="24" customWidth="1"/>
    <col min="14" max="14" width="13.44140625" style="11" customWidth="1"/>
    <col min="15" max="15" width="32.88671875" style="9" customWidth="1"/>
    <col min="16" max="16" width="10.33203125" style="24" customWidth="1"/>
    <col min="17" max="17" width="11.6640625" style="24" customWidth="1"/>
    <col min="18" max="18" width="12.109375" style="24" customWidth="1"/>
    <col min="19" max="19" width="11.88671875" style="24" customWidth="1"/>
    <col min="20" max="20" width="13.44140625" style="11" customWidth="1"/>
    <col min="21" max="21" width="14.6640625" style="9" customWidth="1"/>
    <col min="22" max="23" width="9.6640625" style="16" customWidth="1"/>
    <col min="24" max="24" width="14.44140625" style="16" customWidth="1"/>
    <col min="25" max="25" width="12" style="16" customWidth="1"/>
    <col min="26" max="26" width="16.6640625" style="28" customWidth="1"/>
    <col min="27" max="27" width="14.6640625" style="16" customWidth="1"/>
    <col min="28" max="28" width="12.5546875" style="16" customWidth="1"/>
    <col min="29" max="29" width="12.6640625" style="16" customWidth="1"/>
    <col min="30" max="30" width="16.6640625" style="28" customWidth="1"/>
    <col min="31" max="31" width="13.33203125" style="16" customWidth="1"/>
    <col min="32" max="32" width="21.44140625" style="16" customWidth="1"/>
    <col min="33" max="33" width="19.44140625" style="16" customWidth="1"/>
    <col min="34" max="34" width="16.6640625" style="28" customWidth="1"/>
    <col min="35" max="37" width="14.88671875" style="16" customWidth="1"/>
    <col min="38" max="38" width="16.44140625" style="11" customWidth="1"/>
    <col min="39" max="16384" width="8.88671875" style="3"/>
  </cols>
  <sheetData>
    <row r="1" spans="1:38" s="1" customFormat="1" ht="36" customHeight="1" x14ac:dyDescent="0.3">
      <c r="A1" s="1" t="s">
        <v>22</v>
      </c>
      <c r="B1" s="10" t="s">
        <v>23</v>
      </c>
      <c r="C1" s="1" t="s">
        <v>36</v>
      </c>
      <c r="D1" s="1" t="s">
        <v>0</v>
      </c>
      <c r="E1" s="1" t="s">
        <v>25</v>
      </c>
      <c r="F1" s="1" t="s">
        <v>24</v>
      </c>
      <c r="G1" s="20" t="s">
        <v>1</v>
      </c>
      <c r="H1" s="1" t="s">
        <v>37</v>
      </c>
      <c r="I1" s="1" t="s">
        <v>20</v>
      </c>
      <c r="J1" s="23" t="s">
        <v>38</v>
      </c>
      <c r="K1" s="23" t="s">
        <v>61</v>
      </c>
      <c r="L1" s="23" t="s">
        <v>62</v>
      </c>
      <c r="M1" s="23" t="s">
        <v>63</v>
      </c>
      <c r="N1" s="15" t="s">
        <v>47</v>
      </c>
      <c r="O1" s="1" t="s">
        <v>19</v>
      </c>
      <c r="P1" s="23" t="s">
        <v>39</v>
      </c>
      <c r="Q1" s="23" t="s">
        <v>64</v>
      </c>
      <c r="R1" s="23" t="s">
        <v>65</v>
      </c>
      <c r="S1" s="23" t="s">
        <v>66</v>
      </c>
      <c r="T1" s="15" t="s">
        <v>48</v>
      </c>
      <c r="U1" s="1" t="s">
        <v>59</v>
      </c>
      <c r="V1" s="15" t="s">
        <v>45</v>
      </c>
      <c r="W1" s="15" t="s">
        <v>46</v>
      </c>
      <c r="X1" s="15" t="s">
        <v>70</v>
      </c>
      <c r="Y1" s="15" t="s">
        <v>43</v>
      </c>
      <c r="Z1" s="27" t="s">
        <v>77</v>
      </c>
      <c r="AA1" s="15" t="s">
        <v>71</v>
      </c>
      <c r="AB1" s="15" t="s">
        <v>40</v>
      </c>
      <c r="AC1" s="15" t="s">
        <v>41</v>
      </c>
      <c r="AD1" s="27" t="s">
        <v>78</v>
      </c>
      <c r="AE1" s="15" t="s">
        <v>76</v>
      </c>
      <c r="AF1" s="15" t="s">
        <v>42</v>
      </c>
      <c r="AG1" s="15" t="s">
        <v>75</v>
      </c>
      <c r="AH1" s="27" t="s">
        <v>79</v>
      </c>
      <c r="AI1" s="15" t="s">
        <v>72</v>
      </c>
      <c r="AJ1" s="15" t="s">
        <v>73</v>
      </c>
      <c r="AK1" s="15" t="s">
        <v>74</v>
      </c>
      <c r="AL1" s="15" t="s">
        <v>44</v>
      </c>
    </row>
    <row r="2" spans="1:38" x14ac:dyDescent="0.3">
      <c r="A2" s="11">
        <f t="shared" ref="A2:A8" si="0">IFERROR(YEAR(C2),"-")</f>
        <v>2026</v>
      </c>
      <c r="B2" s="12">
        <f t="shared" ref="B2:B8" si="1">IFERROR(DATE(YEAR(C2),MONTH(C2),MONTH(C2)),"-")</f>
        <v>46023</v>
      </c>
      <c r="C2" s="19">
        <v>46023</v>
      </c>
      <c r="D2" s="3" t="s">
        <v>120</v>
      </c>
      <c r="E2" s="11" t="s">
        <v>80</v>
      </c>
      <c r="F2" s="11" t="str" cm="1">
        <f t="array" ref="F2">IFERROR(INDEX('Motivos De Parada'!C:C,MATCH(1,('Motivos De Parada'!E:E=Disponibilidade!C2)*('Motivos De Parada'!G:G=Disponibilidade!G2)*('Motivos De Parada'!D:D=Disponibilidade!E2),0)),"-")</f>
        <v>OPERADOR 1</v>
      </c>
      <c r="G2" s="11" t="str">
        <f>IFERROR(VLOOKUP(D2,Cadastros!A:B,2,FALSE),"-")</f>
        <v>FELLER BUNCHER 1</v>
      </c>
      <c r="H2" s="11" t="str">
        <f>IFERROR(VLOOKUP(G2,Cadastros!B:D,3,FALSE),"-")</f>
        <v>CORTE</v>
      </c>
      <c r="I2" s="9" t="s">
        <v>20</v>
      </c>
      <c r="J2" s="26">
        <f>IFERROR(MAX(0,1 - (SUMIFS('Motivos De Parada'!K:K,'Motivos De Parada'!G:G,Disponibilidade!G2,'Motivos De Parada'!H:H,Disponibilidade!H2,'Motivos De Parada'!O:O,Disponibilidade!I2,'Motivos De Parada'!E:E,Disponibilidade!C2,'Motivos De Parada'!D:D,Disponibilidade!E2) / 24)),"-")</f>
        <v>0.83333333333333337</v>
      </c>
      <c r="K2" s="24" cm="1">
        <f t="array" ref="K2">IFERROR(INDEX('Metas DM &amp; DO'!$A:$AAD,MATCH(Disponibilidade!$G2,'Metas DM &amp; DO'!$A:$A,0),MATCH(Disponibilidade!$I2,'Metas DM &amp; DO'!$1:$1,0)+1),"-")</f>
        <v>0.45882352941176474</v>
      </c>
      <c r="L2" s="24" cm="1">
        <f t="array" ref="L2">IFERROR(INDEX('Metas DM &amp; DO'!$A:$AAD,MATCH(Disponibilidade!$G2,'Metas DM &amp; DO'!$A:$A,0),MATCH(Disponibilidade!$I2,'Metas DM &amp; DO'!$1:$1,0)+2),"-")</f>
        <v>0.66341463414634161</v>
      </c>
      <c r="M2" s="24" cm="1">
        <f t="array" ref="M2">IFERROR(INDEX('Metas DM &amp; DO'!$A:$AAD,MATCH(Disponibilidade!$G2,'Metas DM &amp; DO'!$A:$A,0),MATCH(Disponibilidade!$I2,'Metas DM &amp; DO'!$1:$1,0)+3),"-")</f>
        <v>0.83333333333333337</v>
      </c>
      <c r="N2" s="11" t="str">
        <f t="shared" ref="N2:N8" si="2">IFERROR(IF(J2&lt;K2,"RUIM",IF(AND(J2&gt;=K2,J2&lt;L2),"MEDIA",IF(AND(J2&gt;=L2,J2&lt;M2),"BOA","-"))),"-")</f>
        <v>-</v>
      </c>
      <c r="O2" s="9" t="s">
        <v>19</v>
      </c>
      <c r="P2" s="26">
        <f>IFERROR(MAX(0,1 - (SUMIFS('Motivos De Parada'!K:K,'Motivos De Parada'!G:G,Disponibilidade!G2,'Motivos De Parada'!H:H,Disponibilidade!H2,'Motivos De Parada'!O:O,Disponibilidade!O2,'Motivos De Parada'!E:E,Disponibilidade!C2,'Motivos De Parada'!D:D,Disponibilidade!E2) / 24)),"-")</f>
        <v>0.75</v>
      </c>
      <c r="Q2" s="24" cm="1">
        <f t="array" ref="Q2">IFERROR(INDEX('Metas DM &amp; DO'!$A:$AAD,MATCH(Disponibilidade!$G2,'Metas DM &amp; DO'!$A:$A,0),MATCH(Disponibilidade!$O2,'Metas DM &amp; DO'!$1:$1,0)+1),"-")</f>
        <v>0.74117647058823533</v>
      </c>
      <c r="R2" s="24" cm="1">
        <f t="array" ref="R2">IFERROR(INDEX('Metas DM &amp; DO'!$A:$AAD,MATCH(Disponibilidade!$G2,'Metas DM &amp; DO'!$A:$A,0),MATCH(Disponibilidade!$O2,'Metas DM &amp; DO'!$1:$1,0)+2),"-")</f>
        <v>0.83902439024390252</v>
      </c>
      <c r="S2" s="24" cm="1">
        <f t="array" ref="S2">IFERROR(INDEX('Metas DM &amp; DO'!$A:$AAD,MATCH(Disponibilidade!$G2,'Metas DM &amp; DO'!$A:$A,0),MATCH(Disponibilidade!$O2,'Metas DM &amp; DO'!$1:$1,0)+3),"-")</f>
        <v>0.79166666666666674</v>
      </c>
      <c r="T2" s="11" t="str">
        <f t="shared" ref="T2:T8" si="3">IFERROR(IF(P2&lt;Q2,"RUIM",IF(AND(P2&gt;=Q2,P2&lt;R2),"MEDIA",IF(AND(P2&gt;=R2,P2&lt;S2),"BOA","-"))),"-")</f>
        <v>MEDIA</v>
      </c>
      <c r="U2" s="9" t="s">
        <v>59</v>
      </c>
      <c r="V2" s="16">
        <f>IFERROR(SUMIFS('Motivos De Parada'!K:K,'Motivos De Parada'!G:G,Disponibilidade!G2,'Motivos De Parada'!H:H,Disponibilidade!H2,'Motivos De Parada'!O:O,Disponibilidade!I2,'Motivos De Parada'!E:E,Disponibilidade!C2,'Motivos De Parada'!D:D,Disponibilidade!E2),"-")</f>
        <v>4</v>
      </c>
      <c r="W2" s="16">
        <f>IFERROR(SUMIFS('Motivos De Parada'!K:K,'Motivos De Parada'!G:G,Disponibilidade!G2,'Motivos De Parada'!H:H,Disponibilidade!H2,'Motivos De Parada'!O:O,Disponibilidade!O2,'Motivos De Parada'!E:E,Disponibilidade!C2,'Motivos De Parada'!D:D,Disponibilidade!E2),"-")</f>
        <v>6</v>
      </c>
      <c r="X2" s="16">
        <f t="shared" ref="X2:X8" si="4">IFERROR(AVERAGE(V2,W2),"-")</f>
        <v>5</v>
      </c>
      <c r="Y2" s="16">
        <f>IFERROR(SUMIFS('Motivos De Parada'!K:K,'Motivos De Parada'!G:G,Disponibilidade!G2,'Motivos De Parada'!H:H,Disponibilidade!H2,'Motivos De Parada'!E:E,Disponibilidade!C2,'Motivos De Parada'!D:D,Disponibilidade!E2),"-")</f>
        <v>12</v>
      </c>
      <c r="Z2" s="28" t="str">
        <f>IFERROR(IF(Y2=0,"OK",IF(OR(Y2&gt;12,Y2&lt;12),"VERIFICAR","OK")),"-")</f>
        <v>OK</v>
      </c>
      <c r="AA2" s="16">
        <f t="shared" ref="AA2:AA8" si="5">IFERROR(W2+V2,"-")</f>
        <v>10</v>
      </c>
      <c r="AB2" s="16">
        <f>IFERROR(SUMIFS('Motivos De Parada'!K:K,'Motivos De Parada'!G:G,Disponibilidade!G2,'Motivos De Parada'!H:H,Disponibilidade!H2,'Motivos De Parada'!E:E,Disponibilidade!C2,'Motivos De Parada'!D:D,Disponibilidade!E2,'Motivos De Parada'!M:M,"REFEIÇÃO"),"-")</f>
        <v>0</v>
      </c>
      <c r="AC2" s="16">
        <f t="shared" ref="AC2:AC8" si="6">IFERROR(Y2-AA2-AB2,"-")</f>
        <v>2</v>
      </c>
      <c r="AD2" s="28" t="str">
        <f>IFERROR(IF(AC2&lt;0,"VERIFICAR","OK"),"-")</f>
        <v>OK</v>
      </c>
      <c r="AE2" s="16" cm="1">
        <f t="array" ref="AE2">IFERROR(SUM(SUMIFS('Motivos De Parada'!K:K,'Motivos De Parada'!G:G,Disponibilidade!G2,'Motivos De Parada'!H:H,Disponibilidade!H2,'Motivos De Parada'!E:E,Disponibilidade!C2,'Motivos De Parada'!D:D,Disponibilidade!E2,'Motivos De Parada'!O:O,{"DISPONIBILIDADE MECÂNICA";"DISPONIBILIDADE OPERACIONAL"},'Motivos De Parada'!P:P,"NÃO")),"-")</f>
        <v>10</v>
      </c>
      <c r="AF2" s="16" cm="1">
        <f t="array" ref="AF2">IFERROR(SUM(SUMIFS('Motivos De Parada'!K:K,'Motivos De Parada'!G:G,Disponibilidade!G2,'Motivos De Parada'!H:H,Disponibilidade!H2,'Motivos De Parada'!E:E,Disponibilidade!C2,'Motivos De Parada'!D:D,Disponibilidade!E2,'Motivos De Parada'!O:O,{"DISPONIBILIDADE MECÂNICA";"DISPONIBILIDADE OPERACIONAL"},'Motivos De Parada'!P:P,"SIM")),"-")</f>
        <v>0</v>
      </c>
      <c r="AG2" s="16">
        <f t="shared" ref="AG2:AG8" si="7">IFERROR(IF((AC2-AF2)&lt;0,0,(AC2-AF2)),"-")</f>
        <v>2</v>
      </c>
      <c r="AH2" s="28" t="str">
        <f>IFERROR(IF(AND(AG2=0,AC2=0),"OK",IF(AG2=AC2,"VERIFICAR","OK")),"-")</f>
        <v>VERIFICAR</v>
      </c>
      <c r="AI2" s="16" cm="1">
        <f t="array" ref="AI2">IFERROR(INDEX('Metas DM &amp; DO'!$A:$AAD,MATCH(Disponibilidade!$G2,'Metas DM &amp; DO'!$A:$A,0),MATCH(Disponibilidade!$U2,'Metas DM &amp; DO'!$1:$1,0)+2),"-")</f>
        <v>4.8</v>
      </c>
      <c r="AJ2" s="16" cm="1">
        <f t="array" ref="AJ2">IFERROR(INDEX('Metas DM &amp; DO'!$A:$AAD,MATCH(Disponibilidade!$G2,'Metas DM &amp; DO'!$A:$A,0),MATCH(Disponibilidade!$U2,'Metas DM &amp; DO'!$1:$1,0)+3),"-")</f>
        <v>2.9853658536585361</v>
      </c>
      <c r="AK2" s="16" cm="1">
        <f t="array" ref="AK2">IFERROR(INDEX('Metas DM &amp; DO'!$A:$AAD,MATCH(Disponibilidade!$G2,'Metas DM &amp; DO'!$A:$A,0),MATCH(Disponibilidade!$U2,'Metas DM &amp; DO'!$1:$1,0)+4),"-")</f>
        <v>12</v>
      </c>
      <c r="AL2" s="11" t="str">
        <f t="shared" ref="AL2:AL8" si="8">IFERROR(IF(X2&lt;=AJ2,"EXCELENTE",
 IF(X2&lt;=AI2,"BOM",
 IF(X2&lt;=AK2,"ATENÇÃO",IF(X2&gt;AK2,"CRÍTICO","-")))),"-")</f>
        <v>ATENÇÃO</v>
      </c>
    </row>
    <row r="3" spans="1:38" x14ac:dyDescent="0.3">
      <c r="A3" s="11">
        <f t="shared" ref="A3" si="9">IFERROR(YEAR(C3),"-")</f>
        <v>2026</v>
      </c>
      <c r="B3" s="12">
        <f t="shared" ref="B3" si="10">IFERROR(DATE(YEAR(C3),MONTH(C3),MONTH(C3)),"-")</f>
        <v>46023</v>
      </c>
      <c r="C3" s="19">
        <v>46023</v>
      </c>
      <c r="D3" s="3" t="s">
        <v>120</v>
      </c>
      <c r="E3" s="11" t="s">
        <v>81</v>
      </c>
      <c r="F3" s="11" t="str" cm="1">
        <f t="array" ref="F3">IFERROR(INDEX('Motivos De Parada'!C:C,MATCH(1,('Motivos De Parada'!E:E=Disponibilidade!C3)*('Motivos De Parada'!G:G=Disponibilidade!G3)*('Motivos De Parada'!D:D=Disponibilidade!E3),0)),"-")</f>
        <v>OPERADOR 2</v>
      </c>
      <c r="G3" s="11" t="str">
        <f>IFERROR(VLOOKUP(D3,Cadastros!A:B,2,FALSE),"-")</f>
        <v>FELLER BUNCHER 1</v>
      </c>
      <c r="H3" s="11" t="str">
        <f>IFERROR(VLOOKUP(G3,Cadastros!B:D,3,FALSE),"-")</f>
        <v>CORTE</v>
      </c>
      <c r="I3" s="9" t="s">
        <v>20</v>
      </c>
      <c r="J3" s="26">
        <f>IFERROR(MAX(0,1 - (SUMIFS('Motivos De Parada'!K:K,'Motivos De Parada'!G:G,Disponibilidade!G3,'Motivos De Parada'!H:H,Disponibilidade!H3,'Motivos De Parada'!O:O,Disponibilidade!I3,'Motivos De Parada'!E:E,Disponibilidade!C3,'Motivos De Parada'!D:D,Disponibilidade!E3) / 24)),"-")</f>
        <v>0.70833333333333326</v>
      </c>
      <c r="K3" s="24" cm="1">
        <f t="array" ref="K3">IFERROR(INDEX('Metas DM &amp; DO'!$A:$AAD,MATCH(Disponibilidade!$G3,'Metas DM &amp; DO'!$A:$A,0),MATCH(Disponibilidade!$I3,'Metas DM &amp; DO'!$1:$1,0)+1),"-")</f>
        <v>0.45882352941176474</v>
      </c>
      <c r="L3" s="24" cm="1">
        <f t="array" ref="L3">IFERROR(INDEX('Metas DM &amp; DO'!$A:$AAD,MATCH(Disponibilidade!$G3,'Metas DM &amp; DO'!$A:$A,0),MATCH(Disponibilidade!$I3,'Metas DM &amp; DO'!$1:$1,0)+2),"-")</f>
        <v>0.66341463414634161</v>
      </c>
      <c r="M3" s="24" cm="1">
        <f t="array" ref="M3">IFERROR(INDEX('Metas DM &amp; DO'!$A:$AAD,MATCH(Disponibilidade!$G3,'Metas DM &amp; DO'!$A:$A,0),MATCH(Disponibilidade!$I3,'Metas DM &amp; DO'!$1:$1,0)+3),"-")</f>
        <v>0.83333333333333337</v>
      </c>
      <c r="N3" s="11" t="str">
        <f t="shared" ref="N3" si="11">IFERROR(IF(J3&lt;K3,"RUIM",IF(AND(J3&gt;=K3,J3&lt;L3),"MEDIA",IF(AND(J3&gt;=L3,J3&lt;M3),"BOA","-"))),"-")</f>
        <v>BOA</v>
      </c>
      <c r="O3" s="9" t="s">
        <v>19</v>
      </c>
      <c r="P3" s="26">
        <f>IFERROR(MAX(0,1 - (SUMIFS('Motivos De Parada'!K:K,'Motivos De Parada'!G:G,Disponibilidade!G3,'Motivos De Parada'!H:H,Disponibilidade!H3,'Motivos De Parada'!O:O,Disponibilidade!O3,'Motivos De Parada'!E:E,Disponibilidade!C3,'Motivos De Parada'!D:D,Disponibilidade!E3) / 24)),"-")</f>
        <v>0.79166666666666674</v>
      </c>
      <c r="Q3" s="24" cm="1">
        <f t="array" ref="Q3">IFERROR(INDEX('Metas DM &amp; DO'!$A:$AAD,MATCH(Disponibilidade!$G3,'Metas DM &amp; DO'!$A:$A,0),MATCH(Disponibilidade!$O3,'Metas DM &amp; DO'!$1:$1,0)+1),"-")</f>
        <v>0.74117647058823533</v>
      </c>
      <c r="R3" s="24" cm="1">
        <f t="array" ref="R3">IFERROR(INDEX('Metas DM &amp; DO'!$A:$AAD,MATCH(Disponibilidade!$G3,'Metas DM &amp; DO'!$A:$A,0),MATCH(Disponibilidade!$O3,'Metas DM &amp; DO'!$1:$1,0)+2),"-")</f>
        <v>0.83902439024390252</v>
      </c>
      <c r="S3" s="24" cm="1">
        <f t="array" ref="S3">IFERROR(INDEX('Metas DM &amp; DO'!$A:$AAD,MATCH(Disponibilidade!$G3,'Metas DM &amp; DO'!$A:$A,0),MATCH(Disponibilidade!$O3,'Metas DM &amp; DO'!$1:$1,0)+3),"-")</f>
        <v>0.79166666666666674</v>
      </c>
      <c r="T3" s="11" t="str">
        <f t="shared" ref="T3" si="12">IFERROR(IF(P3&lt;Q3,"RUIM",IF(AND(P3&gt;=Q3,P3&lt;R3),"MEDIA",IF(AND(P3&gt;=R3,P3&lt;S3),"BOA","-"))),"-")</f>
        <v>MEDIA</v>
      </c>
      <c r="U3" s="9" t="s">
        <v>59</v>
      </c>
      <c r="V3" s="16">
        <f>IFERROR(SUMIFS('Motivos De Parada'!K:K,'Motivos De Parada'!G:G,Disponibilidade!G3,'Motivos De Parada'!H:H,Disponibilidade!H3,'Motivos De Parada'!O:O,Disponibilidade!I3,'Motivos De Parada'!E:E,Disponibilidade!C3,'Motivos De Parada'!D:D,Disponibilidade!E3),"-")</f>
        <v>7.0000000000000009</v>
      </c>
      <c r="W3" s="16">
        <f>IFERROR(SUMIFS('Motivos De Parada'!K:K,'Motivos De Parada'!G:G,Disponibilidade!G3,'Motivos De Parada'!H:H,Disponibilidade!H3,'Motivos De Parada'!O:O,Disponibilidade!O3,'Motivos De Parada'!E:E,Disponibilidade!C3,'Motivos De Parada'!D:D,Disponibilidade!E3),"-")</f>
        <v>4.9999999999999982</v>
      </c>
      <c r="X3" s="16">
        <f t="shared" ref="X3" si="13">IFERROR(AVERAGE(V3,W3),"-")</f>
        <v>6</v>
      </c>
      <c r="Y3" s="16">
        <f>IFERROR(SUMIFS('Motivos De Parada'!K:K,'Motivos De Parada'!G:G,Disponibilidade!G3,'Motivos De Parada'!H:H,Disponibilidade!H3,'Motivos De Parada'!E:E,Disponibilidade!C3,'Motivos De Parada'!D:D,Disponibilidade!E3),"-")</f>
        <v>12</v>
      </c>
      <c r="Z3" s="28" t="str">
        <f t="shared" ref="Z3:Z9" si="14">IFERROR(IF(Y3=0,"OK",IF(OR(Y3&gt;12,Y3&lt;12),"VERIFICAR","OK")),"-")</f>
        <v>OK</v>
      </c>
      <c r="AA3" s="16">
        <f t="shared" ref="AA3" si="15">IFERROR(W3+V3,"-")</f>
        <v>12</v>
      </c>
      <c r="AB3" s="16">
        <f>IFERROR(SUMIFS('Motivos De Parada'!K:K,'Motivos De Parada'!G:G,Disponibilidade!G3,'Motivos De Parada'!H:H,Disponibilidade!H3,'Motivos De Parada'!E:E,Disponibilidade!C3,'Motivos De Parada'!D:D,Disponibilidade!E3,'Motivos De Parada'!M:M,"REFEIÇÃO"),"-")</f>
        <v>0</v>
      </c>
      <c r="AC3" s="16">
        <f t="shared" ref="AC3" si="16">IFERROR(Y3-AA3-AB3,"-")</f>
        <v>0</v>
      </c>
      <c r="AD3" s="28" t="str">
        <f t="shared" ref="AD3:AD9" si="17">IFERROR(IF(AC3&lt;0,"VERIFICAR","OK"),"-")</f>
        <v>OK</v>
      </c>
      <c r="AE3" s="16" cm="1">
        <f t="array" ref="AE3">IFERROR(SUM(SUMIFS('Motivos De Parada'!K:K,'Motivos De Parada'!G:G,Disponibilidade!G3,'Motivos De Parada'!H:H,Disponibilidade!H3,'Motivos De Parada'!E:E,Disponibilidade!C3,'Motivos De Parada'!D:D,Disponibilidade!E3,'Motivos De Parada'!O:O,{"DISPONIBILIDADE MECÂNICA";"DISPONIBILIDADE OPERACIONAL"},'Motivos De Parada'!P:P,"NÃO")),"-")</f>
        <v>12</v>
      </c>
      <c r="AF3" s="16" cm="1">
        <f t="array" ref="AF3">IFERROR(SUM(SUMIFS('Motivos De Parada'!K:K,'Motivos De Parada'!G:G,Disponibilidade!G3,'Motivos De Parada'!H:H,Disponibilidade!H3,'Motivos De Parada'!E:E,Disponibilidade!C3,'Motivos De Parada'!D:D,Disponibilidade!E3,'Motivos De Parada'!O:O,{"DISPONIBILIDADE MECÂNICA";"DISPONIBILIDADE OPERACIONAL"},'Motivos De Parada'!P:P,"SIM")),"-")</f>
        <v>0</v>
      </c>
      <c r="AG3" s="16">
        <f t="shared" ref="AG3" si="18">IFERROR(IF((AC3-AF3)&lt;0,0,(AC3-AF3)),"-")</f>
        <v>0</v>
      </c>
      <c r="AH3" s="28" t="str">
        <f t="shared" ref="AH3:AH9" si="19">IFERROR(IF(AND(AG3=0,AC3=0),"OK",IF(AG3=AC3,"VERIFICAR","OK")),"-")</f>
        <v>OK</v>
      </c>
      <c r="AI3" s="16" cm="1">
        <f t="array" ref="AI3">IFERROR(INDEX('Metas DM &amp; DO'!$A:$AAD,MATCH(Disponibilidade!$G3,'Metas DM &amp; DO'!$A:$A,0),MATCH(Disponibilidade!$U3,'Metas DM &amp; DO'!$1:$1,0)+2),"-")</f>
        <v>4.8</v>
      </c>
      <c r="AJ3" s="16" cm="1">
        <f t="array" ref="AJ3">IFERROR(INDEX('Metas DM &amp; DO'!$A:$AAD,MATCH(Disponibilidade!$G3,'Metas DM &amp; DO'!$A:$A,0),MATCH(Disponibilidade!$U3,'Metas DM &amp; DO'!$1:$1,0)+3),"-")</f>
        <v>2.9853658536585361</v>
      </c>
      <c r="AK3" s="16" cm="1">
        <f t="array" ref="AK3">IFERROR(INDEX('Metas DM &amp; DO'!$A:$AAD,MATCH(Disponibilidade!$G3,'Metas DM &amp; DO'!$A:$A,0),MATCH(Disponibilidade!$U3,'Metas DM &amp; DO'!$1:$1,0)+4),"-")</f>
        <v>12</v>
      </c>
      <c r="AL3" s="11" t="str">
        <f t="shared" ref="AL3" si="20">IFERROR(IF(X3&lt;=AJ3,"EXCELENTE",
 IF(X3&lt;=AI3,"BOM",
 IF(X3&lt;=AK3,"ATENÇÃO",IF(X3&gt;AK3,"CRÍTICO","-")))),"-")</f>
        <v>ATENÇÃO</v>
      </c>
    </row>
    <row r="4" spans="1:38" x14ac:dyDescent="0.3">
      <c r="A4" s="11">
        <f t="shared" si="0"/>
        <v>2026</v>
      </c>
      <c r="B4" s="12">
        <f t="shared" si="1"/>
        <v>46023</v>
      </c>
      <c r="C4" s="19">
        <v>46023</v>
      </c>
      <c r="D4" s="3" t="s">
        <v>122</v>
      </c>
      <c r="E4" s="11" t="s">
        <v>80</v>
      </c>
      <c r="F4" s="11" t="str" cm="1">
        <f t="array" ref="F4">IFERROR(INDEX('Motivos De Parada'!C:C,MATCH(1,('Motivos De Parada'!E:E=Disponibilidade!C4)*('Motivos De Parada'!G:G=Disponibilidade!G4)*('Motivos De Parada'!D:D=Disponibilidade!E4),0)),"-")</f>
        <v>-</v>
      </c>
      <c r="G4" s="11" t="str">
        <f>IFERROR(VLOOKUP(D4,Cadastros!A:B,2,FALSE),"-")</f>
        <v>FELLER BUNCHER 2</v>
      </c>
      <c r="H4" s="11" t="str">
        <f>IFERROR(VLOOKUP(G4,Cadastros!B:D,3,FALSE),"-")</f>
        <v>CORTE</v>
      </c>
      <c r="I4" s="9" t="s">
        <v>20</v>
      </c>
      <c r="J4" s="26">
        <f>IFERROR(MAX(0,1 - (SUMIFS('Motivos De Parada'!K:K,'Motivos De Parada'!G:G,Disponibilidade!G4,'Motivos De Parada'!H:H,Disponibilidade!H4,'Motivos De Parada'!O:O,Disponibilidade!I4,'Motivos De Parada'!E:E,Disponibilidade!C4,'Motivos De Parada'!D:D,Disponibilidade!E4) / 24)),"-")</f>
        <v>1</v>
      </c>
      <c r="K4" s="24" cm="1">
        <f t="array" ref="K4">IFERROR(INDEX('Metas DM &amp; DO'!$A:$AAD,MATCH(Disponibilidade!$G4,'Metas DM &amp; DO'!$A:$A,0),MATCH(Disponibilidade!$I4,'Metas DM &amp; DO'!$1:$1,0)+1),"-")</f>
        <v>1</v>
      </c>
      <c r="L4" s="24" cm="1">
        <f t="array" ref="L4">IFERROR(INDEX('Metas DM &amp; DO'!$A:$AAD,MATCH(Disponibilidade!$G4,'Metas DM &amp; DO'!$A:$A,0),MATCH(Disponibilidade!$I4,'Metas DM &amp; DO'!$1:$1,0)+2),"-")</f>
        <v>1</v>
      </c>
      <c r="M4" s="24" t="str" cm="1">
        <f t="array" ref="M4">IFERROR(INDEX('Metas DM &amp; DO'!$A:$AAD,MATCH(Disponibilidade!$G4,'Metas DM &amp; DO'!$A:$A,0),MATCH(Disponibilidade!$I4,'Metas DM &amp; DO'!$1:$1,0)+3),"-")</f>
        <v>-</v>
      </c>
      <c r="N4" s="11" t="str">
        <f>IFERROR(IF(J4&lt;K4,"RUIM",IF(AND(J4&gt;=K4,J4&lt;L4),"MEDIA",IF(AND(J4&gt;=L4,J4&lt;M4),"BOA","-"))),"-")</f>
        <v>BOA</v>
      </c>
      <c r="O4" s="9" t="s">
        <v>19</v>
      </c>
      <c r="P4" s="26">
        <f>IFERROR(MAX(0,1 - (SUMIFS('Motivos De Parada'!K:K,'Motivos De Parada'!G:G,Disponibilidade!G4,'Motivos De Parada'!H:H,Disponibilidade!H4,'Motivos De Parada'!O:O,Disponibilidade!O4,'Motivos De Parada'!E:E,Disponibilidade!C4,'Motivos De Parada'!D:D,Disponibilidade!E4) / 24)),"-")</f>
        <v>1</v>
      </c>
      <c r="Q4" s="24" cm="1">
        <f t="array" ref="Q4">IFERROR(INDEX('Metas DM &amp; DO'!$A:$AAD,MATCH(Disponibilidade!$G4,'Metas DM &amp; DO'!$A:$A,0),MATCH(Disponibilidade!$O4,'Metas DM &amp; DO'!$1:$1,0)+1),"-")</f>
        <v>0.11999999999999977</v>
      </c>
      <c r="R4" s="24" cm="1">
        <f t="array" ref="R4">IFERROR(INDEX('Metas DM &amp; DO'!$A:$AAD,MATCH(Disponibilidade!$G4,'Metas DM &amp; DO'!$A:$A,0),MATCH(Disponibilidade!$O4,'Metas DM &amp; DO'!$1:$1,0)+2),"-")</f>
        <v>0.2584269662921348</v>
      </c>
      <c r="S4" s="24" cm="1">
        <f t="array" ref="S4">IFERROR(INDEX('Metas DM &amp; DO'!$A:$AAD,MATCH(Disponibilidade!$G4,'Metas DM &amp; DO'!$A:$A,0),MATCH(Disponibilidade!$O4,'Metas DM &amp; DO'!$1:$1,0)+3),"-")</f>
        <v>0.58333333333333348</v>
      </c>
      <c r="T4" s="11" t="str">
        <f t="shared" si="3"/>
        <v>-</v>
      </c>
      <c r="U4" s="9" t="s">
        <v>59</v>
      </c>
      <c r="V4" s="16">
        <f>IFERROR(SUMIFS('Motivos De Parada'!K:K,'Motivos De Parada'!G:G,Disponibilidade!G4,'Motivos De Parada'!H:H,Disponibilidade!H4,'Motivos De Parada'!O:O,Disponibilidade!I4,'Motivos De Parada'!E:E,Disponibilidade!C4,'Motivos De Parada'!D:D,Disponibilidade!E4),"-")</f>
        <v>0</v>
      </c>
      <c r="W4" s="16">
        <f>IFERROR(SUMIFS('Motivos De Parada'!K:K,'Motivos De Parada'!G:G,Disponibilidade!G4,'Motivos De Parada'!H:H,Disponibilidade!H4,'Motivos De Parada'!O:O,Disponibilidade!O4,'Motivos De Parada'!E:E,Disponibilidade!C4,'Motivos De Parada'!D:D,Disponibilidade!E4),"-")</f>
        <v>0</v>
      </c>
      <c r="X4" s="16">
        <f t="shared" si="4"/>
        <v>0</v>
      </c>
      <c r="Y4" s="16">
        <f>IFERROR(SUMIFS('Motivos De Parada'!K:K,'Motivos De Parada'!G:G,Disponibilidade!G4,'Motivos De Parada'!H:H,Disponibilidade!H4,'Motivos De Parada'!E:E,Disponibilidade!C4,'Motivos De Parada'!D:D,Disponibilidade!E4),"-")</f>
        <v>0</v>
      </c>
      <c r="Z4" s="28" t="str">
        <f t="shared" si="14"/>
        <v>OK</v>
      </c>
      <c r="AA4" s="16">
        <f t="shared" si="5"/>
        <v>0</v>
      </c>
      <c r="AB4" s="16">
        <f>IFERROR(SUMIFS('Motivos De Parada'!K:K,'Motivos De Parada'!G:G,Disponibilidade!G4,'Motivos De Parada'!H:H,Disponibilidade!H4,'Motivos De Parada'!E:E,Disponibilidade!C4,'Motivos De Parada'!D:D,Disponibilidade!E4,'Motivos De Parada'!M:M,"REFEIÇÃO"),"-")</f>
        <v>0</v>
      </c>
      <c r="AC4" s="16">
        <f t="shared" si="6"/>
        <v>0</v>
      </c>
      <c r="AD4" s="28" t="str">
        <f t="shared" si="17"/>
        <v>OK</v>
      </c>
      <c r="AE4" s="16" cm="1">
        <f t="array" ref="AE4">IFERROR(SUM(SUMIFS('Motivos De Parada'!K:K,'Motivos De Parada'!G:G,Disponibilidade!G4,'Motivos De Parada'!H:H,Disponibilidade!H4,'Motivos De Parada'!E:E,Disponibilidade!C4,'Motivos De Parada'!D:D,Disponibilidade!E4,'Motivos De Parada'!O:O,{"DISPONIBILIDADE MECÂNICA";"DISPONIBILIDADE OPERACIONAL"},'Motivos De Parada'!P:P,"NÃO")),"-")</f>
        <v>0</v>
      </c>
      <c r="AF4" s="16" cm="1">
        <f t="array" ref="AF4">IFERROR(SUM(SUMIFS('Motivos De Parada'!K:K,'Motivos De Parada'!G:G,Disponibilidade!G4,'Motivos De Parada'!H:H,Disponibilidade!H4,'Motivos De Parada'!E:E,Disponibilidade!C4,'Motivos De Parada'!D:D,Disponibilidade!E4,'Motivos De Parada'!O:O,{"DISPONIBILIDADE MECÂNICA";"DISPONIBILIDADE OPERACIONAL"},'Motivos De Parada'!P:P,"SIM")),"-")</f>
        <v>0</v>
      </c>
      <c r="AG4" s="16">
        <f t="shared" si="7"/>
        <v>0</v>
      </c>
      <c r="AH4" s="28" t="str">
        <f t="shared" si="19"/>
        <v>OK</v>
      </c>
      <c r="AI4" s="16" cm="1">
        <f t="array" ref="AI4">IFERROR(INDEX('Metas DM &amp; DO'!$A:$AAD,MATCH(Disponibilidade!$G4,'Metas DM &amp; DO'!$A:$A,0),MATCH(Disponibilidade!$U4,'Metas DM &amp; DO'!$1:$1,0)+2),"-")</f>
        <v>5.2800000000000011</v>
      </c>
      <c r="AJ4" s="16" cm="1">
        <f t="array" ref="AJ4">IFERROR(INDEX('Metas DM &amp; DO'!$A:$AAD,MATCH(Disponibilidade!$G4,'Metas DM &amp; DO'!$A:$A,0),MATCH(Disponibilidade!$U4,'Metas DM &amp; DO'!$1:$1,0)+3),"-")</f>
        <v>4.4494382022471912</v>
      </c>
      <c r="AK4" s="16" cm="1">
        <f t="array" ref="AK4">IFERROR(INDEX('Metas DM &amp; DO'!$A:$AAD,MATCH(Disponibilidade!$G4,'Metas DM &amp; DO'!$A:$A,0),MATCH(Disponibilidade!$U4,'Metas DM &amp; DO'!$1:$1,0)+4),"-")</f>
        <v>9</v>
      </c>
      <c r="AL4" s="11" t="str">
        <f t="shared" si="8"/>
        <v>EXCELENTE</v>
      </c>
    </row>
    <row r="5" spans="1:38" x14ac:dyDescent="0.3">
      <c r="A5" s="11">
        <f t="shared" ref="A5" si="21">IFERROR(YEAR(C5),"-")</f>
        <v>2026</v>
      </c>
      <c r="B5" s="12">
        <f t="shared" ref="B5" si="22">IFERROR(DATE(YEAR(C5),MONTH(C5),MONTH(C5)),"-")</f>
        <v>46023</v>
      </c>
      <c r="C5" s="19">
        <v>46023</v>
      </c>
      <c r="D5" s="3" t="s">
        <v>122</v>
      </c>
      <c r="E5" s="11" t="s">
        <v>81</v>
      </c>
      <c r="F5" s="11" t="str" cm="1">
        <f t="array" ref="F5">IFERROR(INDEX('Motivos De Parada'!C:C,MATCH(1,('Motivos De Parada'!E:E=Disponibilidade!C5)*('Motivos De Parada'!G:G=Disponibilidade!G5)*('Motivos De Parada'!D:D=Disponibilidade!E5),0)),"-")</f>
        <v>-</v>
      </c>
      <c r="G5" s="11" t="str">
        <f>IFERROR(VLOOKUP(D5,Cadastros!A:B,2,FALSE),"-")</f>
        <v>FELLER BUNCHER 2</v>
      </c>
      <c r="H5" s="11" t="str">
        <f>IFERROR(VLOOKUP(G5,Cadastros!B:D,3,FALSE),"-")</f>
        <v>CORTE</v>
      </c>
      <c r="I5" s="9" t="s">
        <v>20</v>
      </c>
      <c r="J5" s="26">
        <f>IFERROR(MAX(0,1 - (SUMIFS('Motivos De Parada'!K:K,'Motivos De Parada'!G:G,Disponibilidade!G5,'Motivos De Parada'!H:H,Disponibilidade!H5,'Motivos De Parada'!O:O,Disponibilidade!I5,'Motivos De Parada'!E:E,Disponibilidade!C5,'Motivos De Parada'!D:D,Disponibilidade!E5) / 24)),"-")</f>
        <v>1</v>
      </c>
      <c r="K5" s="24" cm="1">
        <f t="array" ref="K5">IFERROR(INDEX('Metas DM &amp; DO'!$A:$AAD,MATCH(Disponibilidade!$G5,'Metas DM &amp; DO'!$A:$A,0),MATCH(Disponibilidade!$I5,'Metas DM &amp; DO'!$1:$1,0)+1),"-")</f>
        <v>1</v>
      </c>
      <c r="L5" s="24" cm="1">
        <f t="array" ref="L5">IFERROR(INDEX('Metas DM &amp; DO'!$A:$AAD,MATCH(Disponibilidade!$G5,'Metas DM &amp; DO'!$A:$A,0),MATCH(Disponibilidade!$I5,'Metas DM &amp; DO'!$1:$1,0)+2),"-")</f>
        <v>1</v>
      </c>
      <c r="M5" s="24" t="str" cm="1">
        <f t="array" ref="M5">IFERROR(INDEX('Metas DM &amp; DO'!$A:$AAD,MATCH(Disponibilidade!$G5,'Metas DM &amp; DO'!$A:$A,0),MATCH(Disponibilidade!$I5,'Metas DM &amp; DO'!$1:$1,0)+3),"-")</f>
        <v>-</v>
      </c>
      <c r="N5" s="11" t="str">
        <f>IFERROR(IF(J5&lt;K5,"RUIM",IF(AND(J5&gt;=K5,J5&lt;L5),"MEDIA",IF(AND(J5&gt;=L5,J5&lt;M5),"BOA","-"))),"-")</f>
        <v>BOA</v>
      </c>
      <c r="O5" s="9" t="s">
        <v>19</v>
      </c>
      <c r="P5" s="26">
        <f>IFERROR(MAX(0,1 - (SUMIFS('Motivos De Parada'!K:K,'Motivos De Parada'!G:G,Disponibilidade!G5,'Motivos De Parada'!H:H,Disponibilidade!H5,'Motivos De Parada'!O:O,Disponibilidade!O5,'Motivos De Parada'!E:E,Disponibilidade!C5,'Motivos De Parada'!D:D,Disponibilidade!E5) / 24)),"-")</f>
        <v>1</v>
      </c>
      <c r="Q5" s="24" cm="1">
        <f t="array" ref="Q5">IFERROR(INDEX('Metas DM &amp; DO'!$A:$AAD,MATCH(Disponibilidade!$G5,'Metas DM &amp; DO'!$A:$A,0),MATCH(Disponibilidade!$O5,'Metas DM &amp; DO'!$1:$1,0)+1),"-")</f>
        <v>0.11999999999999977</v>
      </c>
      <c r="R5" s="24" cm="1">
        <f t="array" ref="R5">IFERROR(INDEX('Metas DM &amp; DO'!$A:$AAD,MATCH(Disponibilidade!$G5,'Metas DM &amp; DO'!$A:$A,0),MATCH(Disponibilidade!$O5,'Metas DM &amp; DO'!$1:$1,0)+2),"-")</f>
        <v>0.2584269662921348</v>
      </c>
      <c r="S5" s="24" cm="1">
        <f t="array" ref="S5">IFERROR(INDEX('Metas DM &amp; DO'!$A:$AAD,MATCH(Disponibilidade!$G5,'Metas DM &amp; DO'!$A:$A,0),MATCH(Disponibilidade!$O5,'Metas DM &amp; DO'!$1:$1,0)+3),"-")</f>
        <v>0.58333333333333348</v>
      </c>
      <c r="T5" s="11" t="str">
        <f t="shared" ref="T5" si="23">IFERROR(IF(P5&lt;Q5,"RUIM",IF(AND(P5&gt;=Q5,P5&lt;R5),"MEDIA",IF(AND(P5&gt;=R5,P5&lt;S5),"BOA","-"))),"-")</f>
        <v>-</v>
      </c>
      <c r="U5" s="9" t="s">
        <v>59</v>
      </c>
      <c r="V5" s="16">
        <f>IFERROR(SUMIFS('Motivos De Parada'!K:K,'Motivos De Parada'!G:G,Disponibilidade!G5,'Motivos De Parada'!H:H,Disponibilidade!H5,'Motivos De Parada'!O:O,Disponibilidade!I5,'Motivos De Parada'!E:E,Disponibilidade!C5,'Motivos De Parada'!D:D,Disponibilidade!E5),"-")</f>
        <v>0</v>
      </c>
      <c r="W5" s="16">
        <f>IFERROR(SUMIFS('Motivos De Parada'!K:K,'Motivos De Parada'!G:G,Disponibilidade!G5,'Motivos De Parada'!H:H,Disponibilidade!H5,'Motivos De Parada'!O:O,Disponibilidade!O5,'Motivos De Parada'!E:E,Disponibilidade!C5,'Motivos De Parada'!D:D,Disponibilidade!E5),"-")</f>
        <v>0</v>
      </c>
      <c r="X5" s="16">
        <f t="shared" ref="X5" si="24">IFERROR(AVERAGE(V5,W5),"-")</f>
        <v>0</v>
      </c>
      <c r="Y5" s="16">
        <f>IFERROR(SUMIFS('Motivos De Parada'!K:K,'Motivos De Parada'!G:G,Disponibilidade!G5,'Motivos De Parada'!H:H,Disponibilidade!H5,'Motivos De Parada'!E:E,Disponibilidade!C5,'Motivos De Parada'!D:D,Disponibilidade!E5),"-")</f>
        <v>0</v>
      </c>
      <c r="Z5" s="28" t="str">
        <f t="shared" si="14"/>
        <v>OK</v>
      </c>
      <c r="AA5" s="16">
        <f t="shared" ref="AA5" si="25">IFERROR(W5+V5,"-")</f>
        <v>0</v>
      </c>
      <c r="AB5" s="16">
        <f>IFERROR(SUMIFS('Motivos De Parada'!K:K,'Motivos De Parada'!G:G,Disponibilidade!G5,'Motivos De Parada'!H:H,Disponibilidade!H5,'Motivos De Parada'!E:E,Disponibilidade!C5,'Motivos De Parada'!D:D,Disponibilidade!E5,'Motivos De Parada'!M:M,"REFEIÇÃO"),"-")</f>
        <v>0</v>
      </c>
      <c r="AC5" s="16">
        <f t="shared" ref="AC5" si="26">IFERROR(Y5-AA5-AB5,"-")</f>
        <v>0</v>
      </c>
      <c r="AD5" s="28" t="str">
        <f t="shared" si="17"/>
        <v>OK</v>
      </c>
      <c r="AE5" s="16" cm="1">
        <f t="array" ref="AE5">IFERROR(SUM(SUMIFS('Motivos De Parada'!K:K,'Motivos De Parada'!G:G,Disponibilidade!G5,'Motivos De Parada'!H:H,Disponibilidade!H5,'Motivos De Parada'!E:E,Disponibilidade!C5,'Motivos De Parada'!D:D,Disponibilidade!E5,'Motivos De Parada'!O:O,{"DISPONIBILIDADE MECÂNICA";"DISPONIBILIDADE OPERACIONAL"},'Motivos De Parada'!P:P,"NÃO")),"-")</f>
        <v>0</v>
      </c>
      <c r="AF5" s="16" cm="1">
        <f t="array" ref="AF5">IFERROR(SUM(SUMIFS('Motivos De Parada'!K:K,'Motivos De Parada'!G:G,Disponibilidade!G5,'Motivos De Parada'!H:H,Disponibilidade!H5,'Motivos De Parada'!E:E,Disponibilidade!C5,'Motivos De Parada'!D:D,Disponibilidade!E5,'Motivos De Parada'!O:O,{"DISPONIBILIDADE MECÂNICA";"DISPONIBILIDADE OPERACIONAL"},'Motivos De Parada'!P:P,"SIM")),"-")</f>
        <v>0</v>
      </c>
      <c r="AG5" s="16">
        <f t="shared" ref="AG5" si="27">IFERROR(IF((AC5-AF5)&lt;0,0,(AC5-AF5)),"-")</f>
        <v>0</v>
      </c>
      <c r="AH5" s="28" t="str">
        <f t="shared" si="19"/>
        <v>OK</v>
      </c>
      <c r="AI5" s="16" cm="1">
        <f t="array" ref="AI5">IFERROR(INDEX('Metas DM &amp; DO'!$A:$AAD,MATCH(Disponibilidade!$G5,'Metas DM &amp; DO'!$A:$A,0),MATCH(Disponibilidade!$U5,'Metas DM &amp; DO'!$1:$1,0)+2),"-")</f>
        <v>5.2800000000000011</v>
      </c>
      <c r="AJ5" s="16" cm="1">
        <f t="array" ref="AJ5">IFERROR(INDEX('Metas DM &amp; DO'!$A:$AAD,MATCH(Disponibilidade!$G5,'Metas DM &amp; DO'!$A:$A,0),MATCH(Disponibilidade!$U5,'Metas DM &amp; DO'!$1:$1,0)+3),"-")</f>
        <v>4.4494382022471912</v>
      </c>
      <c r="AK5" s="16" cm="1">
        <f t="array" ref="AK5">IFERROR(INDEX('Metas DM &amp; DO'!$A:$AAD,MATCH(Disponibilidade!$G5,'Metas DM &amp; DO'!$A:$A,0),MATCH(Disponibilidade!$U5,'Metas DM &amp; DO'!$1:$1,0)+4),"-")</f>
        <v>9</v>
      </c>
      <c r="AL5" s="11" t="str">
        <f t="shared" ref="AL5" si="28">IFERROR(IF(X5&lt;=AJ5,"EXCELENTE",
 IF(X5&lt;=AI5,"BOM",
 IF(X5&lt;=AK5,"ATENÇÃO",IF(X5&gt;AK5,"CRÍTICO","-")))),"-")</f>
        <v>EXCELENTE</v>
      </c>
    </row>
    <row r="6" spans="1:38" x14ac:dyDescent="0.3">
      <c r="A6" s="11">
        <f t="shared" si="0"/>
        <v>2026</v>
      </c>
      <c r="B6" s="12">
        <f t="shared" si="1"/>
        <v>46023</v>
      </c>
      <c r="C6" s="19">
        <v>46023</v>
      </c>
      <c r="D6" s="3" t="s">
        <v>124</v>
      </c>
      <c r="E6" s="11" t="s">
        <v>80</v>
      </c>
      <c r="F6" s="11" t="str" cm="1">
        <f t="array" ref="F6">IFERROR(INDEX('Motivos De Parada'!C:C,MATCH(1,('Motivos De Parada'!E:E=Disponibilidade!C6)*('Motivos De Parada'!G:G=Disponibilidade!G6)*('Motivos De Parada'!D:D=Disponibilidade!E6),0)),"-")</f>
        <v>-</v>
      </c>
      <c r="G6" s="11" t="str">
        <f>IFERROR(VLOOKUP(D6,Cadastros!A:B,2,FALSE),"-")</f>
        <v>SKIDDER 1</v>
      </c>
      <c r="H6" s="11" t="str">
        <f>IFERROR(VLOOKUP(G6,Cadastros!B:D,3,FALSE),"-")</f>
        <v>ARRASTE</v>
      </c>
      <c r="I6" s="9" t="s">
        <v>20</v>
      </c>
      <c r="J6" s="26">
        <f>IFERROR(MAX(0,1 - (SUMIFS('Motivos De Parada'!K:K,'Motivos De Parada'!G:G,Disponibilidade!G6,'Motivos De Parada'!H:H,Disponibilidade!H6,'Motivos De Parada'!O:O,Disponibilidade!I6,'Motivos De Parada'!E:E,Disponibilidade!C6,'Motivos De Parada'!D:D,Disponibilidade!E6) / 24)),"-")</f>
        <v>1</v>
      </c>
      <c r="K6" s="24" t="str" cm="1">
        <f t="array" ref="K6">IFERROR(INDEX('Metas DM &amp; DO'!$A:$AAD,MATCH(Disponibilidade!$G6,'Metas DM &amp; DO'!$A:$A,0),MATCH(Disponibilidade!$I6,'Metas DM &amp; DO'!$1:$1,0)+1),"-")</f>
        <v>-</v>
      </c>
      <c r="L6" s="24" t="str" cm="1">
        <f t="array" ref="L6">IFERROR(INDEX('Metas DM &amp; DO'!$A:$AAD,MATCH(Disponibilidade!$G6,'Metas DM &amp; DO'!$A:$A,0),MATCH(Disponibilidade!$I6,'Metas DM &amp; DO'!$1:$1,0)+2),"-")</f>
        <v>-</v>
      </c>
      <c r="M6" s="24" t="str" cm="1">
        <f t="array" ref="M6">IFERROR(INDEX('Metas DM &amp; DO'!$A:$AAD,MATCH(Disponibilidade!$G6,'Metas DM &amp; DO'!$A:$A,0),MATCH(Disponibilidade!$I6,'Metas DM &amp; DO'!$1:$1,0)+3),"-")</f>
        <v>-</v>
      </c>
      <c r="N6" s="11" t="str">
        <f t="shared" si="2"/>
        <v>RUIM</v>
      </c>
      <c r="O6" s="9" t="s">
        <v>19</v>
      </c>
      <c r="P6" s="26">
        <f>IFERROR(MAX(0,1 - (SUMIFS('Motivos De Parada'!K:K,'Motivos De Parada'!G:G,Disponibilidade!G6,'Motivos De Parada'!H:H,Disponibilidade!H6,'Motivos De Parada'!O:O,Disponibilidade!O6,'Motivos De Parada'!E:E,Disponibilidade!C6,'Motivos De Parada'!D:D,Disponibilidade!E6) / 24)),"-")</f>
        <v>1</v>
      </c>
      <c r="Q6" s="24" t="str" cm="1">
        <f t="array" ref="Q6">IFERROR(INDEX('Metas DM &amp; DO'!$A:$AAD,MATCH(Disponibilidade!$G6,'Metas DM &amp; DO'!$A:$A,0),MATCH(Disponibilidade!$O6,'Metas DM &amp; DO'!$1:$1,0)+1),"-")</f>
        <v>-</v>
      </c>
      <c r="R6" s="24" t="str" cm="1">
        <f t="array" ref="R6">IFERROR(INDEX('Metas DM &amp; DO'!$A:$AAD,MATCH(Disponibilidade!$G6,'Metas DM &amp; DO'!$A:$A,0),MATCH(Disponibilidade!$O6,'Metas DM &amp; DO'!$1:$1,0)+2),"-")</f>
        <v>-</v>
      </c>
      <c r="S6" s="24" t="str" cm="1">
        <f t="array" ref="S6">IFERROR(INDEX('Metas DM &amp; DO'!$A:$AAD,MATCH(Disponibilidade!$G6,'Metas DM &amp; DO'!$A:$A,0),MATCH(Disponibilidade!$O6,'Metas DM &amp; DO'!$1:$1,0)+3),"-")</f>
        <v>-</v>
      </c>
      <c r="T6" s="11" t="str">
        <f t="shared" si="3"/>
        <v>RUIM</v>
      </c>
      <c r="U6" s="9" t="s">
        <v>59</v>
      </c>
      <c r="V6" s="16">
        <f>IFERROR(SUMIFS('Motivos De Parada'!K:K,'Motivos De Parada'!G:G,Disponibilidade!G6,'Motivos De Parada'!H:H,Disponibilidade!H6,'Motivos De Parada'!O:O,Disponibilidade!I6,'Motivos De Parada'!E:E,Disponibilidade!C6,'Motivos De Parada'!D:D,Disponibilidade!E6),"-")</f>
        <v>0</v>
      </c>
      <c r="W6" s="16">
        <f>IFERROR(SUMIFS('Motivos De Parada'!K:K,'Motivos De Parada'!G:G,Disponibilidade!G6,'Motivos De Parada'!H:H,Disponibilidade!H6,'Motivos De Parada'!O:O,Disponibilidade!O6,'Motivos De Parada'!E:E,Disponibilidade!C6,'Motivos De Parada'!D:D,Disponibilidade!E6),"-")</f>
        <v>0</v>
      </c>
      <c r="X6" s="16">
        <f t="shared" si="4"/>
        <v>0</v>
      </c>
      <c r="Y6" s="16">
        <f>IFERROR(SUMIFS('Motivos De Parada'!K:K,'Motivos De Parada'!G:G,Disponibilidade!G6,'Motivos De Parada'!H:H,Disponibilidade!H6,'Motivos De Parada'!E:E,Disponibilidade!C6,'Motivos De Parada'!D:D,Disponibilidade!E6),"-")</f>
        <v>0</v>
      </c>
      <c r="Z6" s="28" t="str">
        <f t="shared" si="14"/>
        <v>OK</v>
      </c>
      <c r="AA6" s="16">
        <f t="shared" si="5"/>
        <v>0</v>
      </c>
      <c r="AB6" s="16">
        <f>IFERROR(SUMIFS('Motivos De Parada'!K:K,'Motivos De Parada'!G:G,Disponibilidade!G6,'Motivos De Parada'!H:H,Disponibilidade!H6,'Motivos De Parada'!E:E,Disponibilidade!C6,'Motivos De Parada'!D:D,Disponibilidade!E6,'Motivos De Parada'!M:M,"REFEIÇÃO"),"-")</f>
        <v>0</v>
      </c>
      <c r="AC6" s="16">
        <f t="shared" si="6"/>
        <v>0</v>
      </c>
      <c r="AD6" s="28" t="str">
        <f t="shared" si="17"/>
        <v>OK</v>
      </c>
      <c r="AE6" s="16" cm="1">
        <f t="array" ref="AE6">IFERROR(SUM(SUMIFS('Motivos De Parada'!K:K,'Motivos De Parada'!G:G,Disponibilidade!G6,'Motivos De Parada'!H:H,Disponibilidade!H6,'Motivos De Parada'!E:E,Disponibilidade!C6,'Motivos De Parada'!D:D,Disponibilidade!E6,'Motivos De Parada'!O:O,{"DISPONIBILIDADE MECÂNICA";"DISPONIBILIDADE OPERACIONAL"},'Motivos De Parada'!P:P,"NÃO")),"-")</f>
        <v>0</v>
      </c>
      <c r="AF6" s="16" cm="1">
        <f t="array" ref="AF6">IFERROR(SUM(SUMIFS('Motivos De Parada'!K:K,'Motivos De Parada'!G:G,Disponibilidade!G6,'Motivos De Parada'!H:H,Disponibilidade!H6,'Motivos De Parada'!E:E,Disponibilidade!C6,'Motivos De Parada'!D:D,Disponibilidade!E6,'Motivos De Parada'!O:O,{"DISPONIBILIDADE MECÂNICA";"DISPONIBILIDADE OPERACIONAL"},'Motivos De Parada'!P:P,"SIM")),"-")</f>
        <v>0</v>
      </c>
      <c r="AG6" s="16">
        <f t="shared" si="7"/>
        <v>0</v>
      </c>
      <c r="AH6" s="28" t="str">
        <f t="shared" si="19"/>
        <v>OK</v>
      </c>
      <c r="AI6" s="16" t="str" cm="1">
        <f t="array" ref="AI6">IFERROR(INDEX('Metas DM &amp; DO'!$A:$AAD,MATCH(Disponibilidade!$G6,'Metas DM &amp; DO'!$A:$A,0),MATCH(Disponibilidade!$U6,'Metas DM &amp; DO'!$1:$1,0)+2),"-")</f>
        <v>-</v>
      </c>
      <c r="AJ6" s="16" t="str" cm="1">
        <f t="array" ref="AJ6">IFERROR(INDEX('Metas DM &amp; DO'!$A:$AAD,MATCH(Disponibilidade!$G6,'Metas DM &amp; DO'!$A:$A,0),MATCH(Disponibilidade!$U6,'Metas DM &amp; DO'!$1:$1,0)+3),"-")</f>
        <v>-</v>
      </c>
      <c r="AK6" s="16" t="str" cm="1">
        <f t="array" ref="AK6">IFERROR(INDEX('Metas DM &amp; DO'!$A:$AAD,MATCH(Disponibilidade!$G6,'Metas DM &amp; DO'!$A:$A,0),MATCH(Disponibilidade!$U6,'Metas DM &amp; DO'!$1:$1,0)+4),"-")</f>
        <v>-</v>
      </c>
      <c r="AL6" s="11" t="str">
        <f t="shared" si="8"/>
        <v>EXCELENTE</v>
      </c>
    </row>
    <row r="7" spans="1:38" x14ac:dyDescent="0.3">
      <c r="A7" s="11">
        <f t="shared" ref="A7" si="29">IFERROR(YEAR(C7),"-")</f>
        <v>2026</v>
      </c>
      <c r="B7" s="12">
        <f t="shared" ref="B7" si="30">IFERROR(DATE(YEAR(C7),MONTH(C7),MONTH(C7)),"-")</f>
        <v>46023</v>
      </c>
      <c r="C7" s="19">
        <v>46023</v>
      </c>
      <c r="D7" s="3" t="s">
        <v>124</v>
      </c>
      <c r="E7" s="11" t="s">
        <v>81</v>
      </c>
      <c r="F7" s="11" t="str" cm="1">
        <f t="array" ref="F7">IFERROR(INDEX('Motivos De Parada'!C:C,MATCH(1,('Motivos De Parada'!E:E=Disponibilidade!C7)*('Motivos De Parada'!G:G=Disponibilidade!G7)*('Motivos De Parada'!D:D=Disponibilidade!E7),0)),"-")</f>
        <v>-</v>
      </c>
      <c r="G7" s="11" t="str">
        <f>IFERROR(VLOOKUP(D7,Cadastros!A:B,2,FALSE),"-")</f>
        <v>SKIDDER 1</v>
      </c>
      <c r="H7" s="11" t="str">
        <f>IFERROR(VLOOKUP(G7,Cadastros!B:D,3,FALSE),"-")</f>
        <v>ARRASTE</v>
      </c>
      <c r="I7" s="9" t="s">
        <v>20</v>
      </c>
      <c r="J7" s="26">
        <f>IFERROR(MAX(0,1 - (SUMIFS('Motivos De Parada'!K:K,'Motivos De Parada'!G:G,Disponibilidade!G7,'Motivos De Parada'!H:H,Disponibilidade!H7,'Motivos De Parada'!O:O,Disponibilidade!I7,'Motivos De Parada'!E:E,Disponibilidade!C7,'Motivos De Parada'!D:D,Disponibilidade!E7) / 24)),"-")</f>
        <v>1</v>
      </c>
      <c r="K7" s="24" t="str" cm="1">
        <f t="array" ref="K7">IFERROR(INDEX('Metas DM &amp; DO'!$A:$AAD,MATCH(Disponibilidade!$G7,'Metas DM &amp; DO'!$A:$A,0),MATCH(Disponibilidade!$I7,'Metas DM &amp; DO'!$1:$1,0)+1),"-")</f>
        <v>-</v>
      </c>
      <c r="L7" s="24" t="str" cm="1">
        <f t="array" ref="L7">IFERROR(INDEX('Metas DM &amp; DO'!$A:$AAD,MATCH(Disponibilidade!$G7,'Metas DM &amp; DO'!$A:$A,0),MATCH(Disponibilidade!$I7,'Metas DM &amp; DO'!$1:$1,0)+2),"-")</f>
        <v>-</v>
      </c>
      <c r="M7" s="24" t="str" cm="1">
        <f t="array" ref="M7">IFERROR(INDEX('Metas DM &amp; DO'!$A:$AAD,MATCH(Disponibilidade!$G7,'Metas DM &amp; DO'!$A:$A,0),MATCH(Disponibilidade!$I7,'Metas DM &amp; DO'!$1:$1,0)+3),"-")</f>
        <v>-</v>
      </c>
      <c r="N7" s="11" t="str">
        <f t="shared" ref="N7" si="31">IFERROR(IF(J7&lt;K7,"RUIM",IF(AND(J7&gt;=K7,J7&lt;L7),"MEDIA",IF(AND(J7&gt;=L7,J7&lt;M7),"BOA","-"))),"-")</f>
        <v>RUIM</v>
      </c>
      <c r="O7" s="9" t="s">
        <v>19</v>
      </c>
      <c r="P7" s="26">
        <f>IFERROR(MAX(0,1 - (SUMIFS('Motivos De Parada'!K:K,'Motivos De Parada'!G:G,Disponibilidade!G7,'Motivos De Parada'!H:H,Disponibilidade!H7,'Motivos De Parada'!O:O,Disponibilidade!O7,'Motivos De Parada'!E:E,Disponibilidade!C7,'Motivos De Parada'!D:D,Disponibilidade!E7) / 24)),"-")</f>
        <v>1</v>
      </c>
      <c r="Q7" s="24" t="str" cm="1">
        <f t="array" ref="Q7">IFERROR(INDEX('Metas DM &amp; DO'!$A:$AAD,MATCH(Disponibilidade!$G7,'Metas DM &amp; DO'!$A:$A,0),MATCH(Disponibilidade!$O7,'Metas DM &amp; DO'!$1:$1,0)+1),"-")</f>
        <v>-</v>
      </c>
      <c r="R7" s="24" t="str" cm="1">
        <f t="array" ref="R7">IFERROR(INDEX('Metas DM &amp; DO'!$A:$AAD,MATCH(Disponibilidade!$G7,'Metas DM &amp; DO'!$A:$A,0),MATCH(Disponibilidade!$O7,'Metas DM &amp; DO'!$1:$1,0)+2),"-")</f>
        <v>-</v>
      </c>
      <c r="S7" s="24" t="str" cm="1">
        <f t="array" ref="S7">IFERROR(INDEX('Metas DM &amp; DO'!$A:$AAD,MATCH(Disponibilidade!$G7,'Metas DM &amp; DO'!$A:$A,0),MATCH(Disponibilidade!$O7,'Metas DM &amp; DO'!$1:$1,0)+3),"-")</f>
        <v>-</v>
      </c>
      <c r="T7" s="11" t="str">
        <f t="shared" ref="T7" si="32">IFERROR(IF(P7&lt;Q7,"RUIM",IF(AND(P7&gt;=Q7,P7&lt;R7),"MEDIA",IF(AND(P7&gt;=R7,P7&lt;S7),"BOA","-"))),"-")</f>
        <v>RUIM</v>
      </c>
      <c r="U7" s="9" t="s">
        <v>59</v>
      </c>
      <c r="V7" s="16">
        <f>IFERROR(SUMIFS('Motivos De Parada'!K:K,'Motivos De Parada'!G:G,Disponibilidade!G7,'Motivos De Parada'!H:H,Disponibilidade!H7,'Motivos De Parada'!O:O,Disponibilidade!I7,'Motivos De Parada'!E:E,Disponibilidade!C7,'Motivos De Parada'!D:D,Disponibilidade!E7),"-")</f>
        <v>0</v>
      </c>
      <c r="W7" s="16">
        <f>IFERROR(SUMIFS('Motivos De Parada'!K:K,'Motivos De Parada'!G:G,Disponibilidade!G7,'Motivos De Parada'!H:H,Disponibilidade!H7,'Motivos De Parada'!O:O,Disponibilidade!O7,'Motivos De Parada'!E:E,Disponibilidade!C7,'Motivos De Parada'!D:D,Disponibilidade!E7),"-")</f>
        <v>0</v>
      </c>
      <c r="X7" s="16">
        <f t="shared" ref="X7" si="33">IFERROR(AVERAGE(V7,W7),"-")</f>
        <v>0</v>
      </c>
      <c r="Y7" s="16">
        <f>IFERROR(SUMIFS('Motivos De Parada'!K:K,'Motivos De Parada'!G:G,Disponibilidade!G7,'Motivos De Parada'!H:H,Disponibilidade!H7,'Motivos De Parada'!E:E,Disponibilidade!C7,'Motivos De Parada'!D:D,Disponibilidade!E7),"-")</f>
        <v>0</v>
      </c>
      <c r="Z7" s="28" t="str">
        <f t="shared" si="14"/>
        <v>OK</v>
      </c>
      <c r="AA7" s="16">
        <f t="shared" ref="AA7" si="34">IFERROR(W7+V7,"-")</f>
        <v>0</v>
      </c>
      <c r="AB7" s="16">
        <f>IFERROR(SUMIFS('Motivos De Parada'!K:K,'Motivos De Parada'!G:G,Disponibilidade!G7,'Motivos De Parada'!H:H,Disponibilidade!H7,'Motivos De Parada'!E:E,Disponibilidade!C7,'Motivos De Parada'!D:D,Disponibilidade!E7,'Motivos De Parada'!M:M,"REFEIÇÃO"),"-")</f>
        <v>0</v>
      </c>
      <c r="AC7" s="16">
        <f t="shared" ref="AC7" si="35">IFERROR(Y7-AA7-AB7,"-")</f>
        <v>0</v>
      </c>
      <c r="AD7" s="28" t="str">
        <f t="shared" si="17"/>
        <v>OK</v>
      </c>
      <c r="AE7" s="16" cm="1">
        <f t="array" ref="AE7">IFERROR(SUM(SUMIFS('Motivos De Parada'!K:K,'Motivos De Parada'!G:G,Disponibilidade!G7,'Motivos De Parada'!H:H,Disponibilidade!H7,'Motivos De Parada'!E:E,Disponibilidade!C7,'Motivos De Parada'!D:D,Disponibilidade!E7,'Motivos De Parada'!O:O,{"DISPONIBILIDADE MECÂNICA";"DISPONIBILIDADE OPERACIONAL"},'Motivos De Parada'!P:P,"NÃO")),"-")</f>
        <v>0</v>
      </c>
      <c r="AF7" s="16" cm="1">
        <f t="array" ref="AF7">IFERROR(SUM(SUMIFS('Motivos De Parada'!K:K,'Motivos De Parada'!G:G,Disponibilidade!G7,'Motivos De Parada'!H:H,Disponibilidade!H7,'Motivos De Parada'!E:E,Disponibilidade!C7,'Motivos De Parada'!D:D,Disponibilidade!E7,'Motivos De Parada'!O:O,{"DISPONIBILIDADE MECÂNICA";"DISPONIBILIDADE OPERACIONAL"},'Motivos De Parada'!P:P,"SIM")),"-")</f>
        <v>0</v>
      </c>
      <c r="AG7" s="16">
        <f t="shared" ref="AG7" si="36">IFERROR(IF((AC7-AF7)&lt;0,0,(AC7-AF7)),"-")</f>
        <v>0</v>
      </c>
      <c r="AH7" s="28" t="str">
        <f t="shared" si="19"/>
        <v>OK</v>
      </c>
      <c r="AI7" s="16" t="str" cm="1">
        <f t="array" ref="AI7">IFERROR(INDEX('Metas DM &amp; DO'!$A:$AAD,MATCH(Disponibilidade!$G7,'Metas DM &amp; DO'!$A:$A,0),MATCH(Disponibilidade!$U7,'Metas DM &amp; DO'!$1:$1,0)+2),"-")</f>
        <v>-</v>
      </c>
      <c r="AJ7" s="16" t="str" cm="1">
        <f t="array" ref="AJ7">IFERROR(INDEX('Metas DM &amp; DO'!$A:$AAD,MATCH(Disponibilidade!$G7,'Metas DM &amp; DO'!$A:$A,0),MATCH(Disponibilidade!$U7,'Metas DM &amp; DO'!$1:$1,0)+3),"-")</f>
        <v>-</v>
      </c>
      <c r="AK7" s="16" t="str" cm="1">
        <f t="array" ref="AK7">IFERROR(INDEX('Metas DM &amp; DO'!$A:$AAD,MATCH(Disponibilidade!$G7,'Metas DM &amp; DO'!$A:$A,0),MATCH(Disponibilidade!$U7,'Metas DM &amp; DO'!$1:$1,0)+4),"-")</f>
        <v>-</v>
      </c>
      <c r="AL7" s="11" t="str">
        <f t="shared" ref="AL7" si="37">IFERROR(IF(X7&lt;=AJ7,"EXCELENTE",
 IF(X7&lt;=AI7,"BOM",
 IF(X7&lt;=AK7,"ATENÇÃO",IF(X7&gt;AK7,"CRÍTICO","-")))),"-")</f>
        <v>EXCELENTE</v>
      </c>
    </row>
    <row r="8" spans="1:38" x14ac:dyDescent="0.3">
      <c r="A8" s="11">
        <f t="shared" si="0"/>
        <v>2026</v>
      </c>
      <c r="B8" s="12">
        <f t="shared" si="1"/>
        <v>46023</v>
      </c>
      <c r="C8" s="19">
        <v>46023</v>
      </c>
      <c r="D8" s="3" t="s">
        <v>126</v>
      </c>
      <c r="E8" s="11" t="s">
        <v>80</v>
      </c>
      <c r="F8" s="11" t="str" cm="1">
        <f t="array" ref="F8">IFERROR(INDEX('Motivos De Parada'!C:C,MATCH(1,('Motivos De Parada'!E:E=Disponibilidade!C8)*('Motivos De Parada'!G:G=Disponibilidade!G8)*('Motivos De Parada'!D:D=Disponibilidade!E8),0)),"-")</f>
        <v>-</v>
      </c>
      <c r="G8" s="11" t="str">
        <f>IFERROR(VLOOKUP(D8,Cadastros!A:B,2,FALSE),"-")</f>
        <v>SKIDDER 2</v>
      </c>
      <c r="H8" s="11" t="str">
        <f>IFERROR(VLOOKUP(G8,Cadastros!B:D,3,FALSE),"-")</f>
        <v>ARRASTE</v>
      </c>
      <c r="I8" s="9" t="s">
        <v>20</v>
      </c>
      <c r="J8" s="26">
        <f>IFERROR(MAX(0,1 - (SUMIFS('Motivos De Parada'!K:K,'Motivos De Parada'!G:G,Disponibilidade!G8,'Motivos De Parada'!H:H,Disponibilidade!H8,'Motivos De Parada'!O:O,Disponibilidade!I8,'Motivos De Parada'!E:E,Disponibilidade!C8,'Motivos De Parada'!D:D,Disponibilidade!E8) / 24)),"-")</f>
        <v>1</v>
      </c>
      <c r="K8" s="24" cm="1">
        <f t="array" ref="K8">IFERROR(INDEX('Metas DM &amp; DO'!$A:$AAD,MATCH(Disponibilidade!$G8,'Metas DM &amp; DO'!$A:$A,0),MATCH(Disponibilidade!$I8,'Metas DM &amp; DO'!$1:$1,0)+1),"-")</f>
        <v>0.5</v>
      </c>
      <c r="L8" s="24" cm="1">
        <f t="array" ref="L8">IFERROR(INDEX('Metas DM &amp; DO'!$A:$AAD,MATCH(Disponibilidade!$G8,'Metas DM &amp; DO'!$A:$A,0),MATCH(Disponibilidade!$I8,'Metas DM &amp; DO'!$1:$1,0)+2),"-")</f>
        <v>0.5</v>
      </c>
      <c r="M8" s="24" cm="1">
        <f t="array" ref="M8">IFERROR(INDEX('Metas DM &amp; DO'!$A:$AAD,MATCH(Disponibilidade!$G8,'Metas DM &amp; DO'!$A:$A,0),MATCH(Disponibilidade!$I8,'Metas DM &amp; DO'!$1:$1,0)+3),"-")</f>
        <v>0.5</v>
      </c>
      <c r="N8" s="11" t="str">
        <f t="shared" si="2"/>
        <v>-</v>
      </c>
      <c r="O8" s="9" t="s">
        <v>19</v>
      </c>
      <c r="P8" s="26">
        <f>IFERROR(MAX(0,1 - (SUMIFS('Motivos De Parada'!K:K,'Motivos De Parada'!G:G,Disponibilidade!G8,'Motivos De Parada'!H:H,Disponibilidade!H8,'Motivos De Parada'!O:O,Disponibilidade!O8,'Motivos De Parada'!E:E,Disponibilidade!C8,'Motivos De Parada'!D:D,Disponibilidade!E8) / 24)),"-")</f>
        <v>1</v>
      </c>
      <c r="Q8" s="24" cm="1">
        <f t="array" ref="Q8">IFERROR(INDEX('Metas DM &amp; DO'!$A:$AAD,MATCH(Disponibilidade!$G8,'Metas DM &amp; DO'!$A:$A,0),MATCH(Disponibilidade!$O8,'Metas DM &amp; DO'!$1:$1,0)+1),"-")</f>
        <v>0.5</v>
      </c>
      <c r="R8" s="24" cm="1">
        <f t="array" ref="R8">IFERROR(INDEX('Metas DM &amp; DO'!$A:$AAD,MATCH(Disponibilidade!$G8,'Metas DM &amp; DO'!$A:$A,0),MATCH(Disponibilidade!$O8,'Metas DM &amp; DO'!$1:$1,0)+2),"-")</f>
        <v>0.5</v>
      </c>
      <c r="S8" s="24" cm="1">
        <f t="array" ref="S8">IFERROR(INDEX('Metas DM &amp; DO'!$A:$AAD,MATCH(Disponibilidade!$G8,'Metas DM &amp; DO'!$A:$A,0),MATCH(Disponibilidade!$O8,'Metas DM &amp; DO'!$1:$1,0)+3),"-")</f>
        <v>0.5</v>
      </c>
      <c r="T8" s="11" t="str">
        <f t="shared" si="3"/>
        <v>-</v>
      </c>
      <c r="U8" s="9" t="s">
        <v>59</v>
      </c>
      <c r="V8" s="16">
        <f>IFERROR(SUMIFS('Motivos De Parada'!K:K,'Motivos De Parada'!G:G,Disponibilidade!G8,'Motivos De Parada'!H:H,Disponibilidade!H8,'Motivos De Parada'!O:O,Disponibilidade!I8,'Motivos De Parada'!E:E,Disponibilidade!C8,'Motivos De Parada'!D:D,Disponibilidade!E8),"-")</f>
        <v>0</v>
      </c>
      <c r="W8" s="16">
        <f>IFERROR(SUMIFS('Motivos De Parada'!K:K,'Motivos De Parada'!G:G,Disponibilidade!G8,'Motivos De Parada'!H:H,Disponibilidade!H8,'Motivos De Parada'!O:O,Disponibilidade!O8,'Motivos De Parada'!E:E,Disponibilidade!C8,'Motivos De Parada'!D:D,Disponibilidade!E8),"-")</f>
        <v>0</v>
      </c>
      <c r="X8" s="16">
        <f t="shared" si="4"/>
        <v>0</v>
      </c>
      <c r="Y8" s="16">
        <f>IFERROR(SUMIFS('Motivos De Parada'!K:K,'Motivos De Parada'!G:G,Disponibilidade!G8,'Motivos De Parada'!H:H,Disponibilidade!H8,'Motivos De Parada'!E:E,Disponibilidade!C8,'Motivos De Parada'!D:D,Disponibilidade!E8),"-")</f>
        <v>0</v>
      </c>
      <c r="Z8" s="28" t="str">
        <f t="shared" si="14"/>
        <v>OK</v>
      </c>
      <c r="AA8" s="16">
        <f t="shared" si="5"/>
        <v>0</v>
      </c>
      <c r="AB8" s="16">
        <f>IFERROR(SUMIFS('Motivos De Parada'!K:K,'Motivos De Parada'!G:G,Disponibilidade!G8,'Motivos De Parada'!H:H,Disponibilidade!H8,'Motivos De Parada'!E:E,Disponibilidade!C8,'Motivos De Parada'!D:D,Disponibilidade!E8,'Motivos De Parada'!M:M,"REFEIÇÃO"),"-")</f>
        <v>0</v>
      </c>
      <c r="AC8" s="16">
        <f t="shared" si="6"/>
        <v>0</v>
      </c>
      <c r="AD8" s="28" t="str">
        <f t="shared" si="17"/>
        <v>OK</v>
      </c>
      <c r="AE8" s="16" cm="1">
        <f t="array" ref="AE8">IFERROR(SUM(SUMIFS('Motivos De Parada'!K:K,'Motivos De Parada'!G:G,Disponibilidade!G8,'Motivos De Parada'!H:H,Disponibilidade!H8,'Motivos De Parada'!E:E,Disponibilidade!C8,'Motivos De Parada'!D:D,Disponibilidade!E8,'Motivos De Parada'!O:O,{"DISPONIBILIDADE MECÂNICA";"DISPONIBILIDADE OPERACIONAL"},'Motivos De Parada'!P:P,"NÃO")),"-")</f>
        <v>0</v>
      </c>
      <c r="AF8" s="16" cm="1">
        <f t="array" ref="AF8">IFERROR(SUM(SUMIFS('Motivos De Parada'!K:K,'Motivos De Parada'!G:G,Disponibilidade!G8,'Motivos De Parada'!H:H,Disponibilidade!H8,'Motivos De Parada'!E:E,Disponibilidade!C8,'Motivos De Parada'!D:D,Disponibilidade!E8,'Motivos De Parada'!O:O,{"DISPONIBILIDADE MECÂNICA";"DISPONIBILIDADE OPERACIONAL"},'Motivos De Parada'!P:P,"SIM")),"-")</f>
        <v>0</v>
      </c>
      <c r="AG8" s="16">
        <f t="shared" si="7"/>
        <v>0</v>
      </c>
      <c r="AH8" s="28" t="str">
        <f t="shared" si="19"/>
        <v>OK</v>
      </c>
      <c r="AI8" s="16" cm="1">
        <f t="array" ref="AI8">IFERROR(INDEX('Metas DM &amp; DO'!$A:$AAD,MATCH(Disponibilidade!$G8,'Metas DM &amp; DO'!$A:$A,0),MATCH(Disponibilidade!$U8,'Metas DM &amp; DO'!$1:$1,0)+2),"-")</f>
        <v>12</v>
      </c>
      <c r="AJ8" s="16" cm="1">
        <f t="array" ref="AJ8">IFERROR(INDEX('Metas DM &amp; DO'!$A:$AAD,MATCH(Disponibilidade!$G8,'Metas DM &amp; DO'!$A:$A,0),MATCH(Disponibilidade!$U8,'Metas DM &amp; DO'!$1:$1,0)+3),"-")</f>
        <v>12</v>
      </c>
      <c r="AK8" s="16" cm="1">
        <f t="array" ref="AK8">IFERROR(INDEX('Metas DM &amp; DO'!$A:$AAD,MATCH(Disponibilidade!$G8,'Metas DM &amp; DO'!$A:$A,0),MATCH(Disponibilidade!$U8,'Metas DM &amp; DO'!$1:$1,0)+4),"-")</f>
        <v>12</v>
      </c>
      <c r="AL8" s="11" t="str">
        <f t="shared" si="8"/>
        <v>EXCELENTE</v>
      </c>
    </row>
    <row r="9" spans="1:38" x14ac:dyDescent="0.3">
      <c r="A9" s="11">
        <f t="shared" ref="A9:A10" si="38">IFERROR(YEAR(C9),"-")</f>
        <v>2026</v>
      </c>
      <c r="B9" s="12">
        <f t="shared" ref="B9:B10" si="39">IFERROR(DATE(YEAR(C9),MONTH(C9),MONTH(C9)),"-")</f>
        <v>46023</v>
      </c>
      <c r="C9" s="19">
        <v>46023</v>
      </c>
      <c r="D9" s="3" t="s">
        <v>126</v>
      </c>
      <c r="E9" s="11" t="s">
        <v>81</v>
      </c>
      <c r="F9" s="11" t="str" cm="1">
        <f t="array" ref="F9">IFERROR(INDEX('Motivos De Parada'!C:C,MATCH(1,('Motivos De Parada'!E:E=Disponibilidade!C9)*('Motivos De Parada'!G:G=Disponibilidade!G9)*('Motivos De Parada'!D:D=Disponibilidade!E9),0)),"-")</f>
        <v>-</v>
      </c>
      <c r="G9" s="11" t="str">
        <f>IFERROR(VLOOKUP(D9,Cadastros!A:B,2,FALSE),"-")</f>
        <v>SKIDDER 2</v>
      </c>
      <c r="H9" s="11" t="str">
        <f>IFERROR(VLOOKUP(G9,Cadastros!B:D,3,FALSE),"-")</f>
        <v>ARRASTE</v>
      </c>
      <c r="I9" s="9" t="s">
        <v>20</v>
      </c>
      <c r="J9" s="26">
        <f>IFERROR(MAX(0,1 - (SUMIFS('Motivos De Parada'!K:K,'Motivos De Parada'!G:G,Disponibilidade!G9,'Motivos De Parada'!H:H,Disponibilidade!H9,'Motivos De Parada'!O:O,Disponibilidade!I9,'Motivos De Parada'!E:E,Disponibilidade!C9,'Motivos De Parada'!D:D,Disponibilidade!E9) / 24)),"-")</f>
        <v>1</v>
      </c>
      <c r="K9" s="24" cm="1">
        <f t="array" ref="K9">IFERROR(INDEX('Metas DM &amp; DO'!$A:$AAD,MATCH(Disponibilidade!$G9,'Metas DM &amp; DO'!$A:$A,0),MATCH(Disponibilidade!$I9,'Metas DM &amp; DO'!$1:$1,0)+1),"-")</f>
        <v>0.5</v>
      </c>
      <c r="L9" s="24" cm="1">
        <f t="array" ref="L9">IFERROR(INDEX('Metas DM &amp; DO'!$A:$AAD,MATCH(Disponibilidade!$G9,'Metas DM &amp; DO'!$A:$A,0),MATCH(Disponibilidade!$I9,'Metas DM &amp; DO'!$1:$1,0)+2),"-")</f>
        <v>0.5</v>
      </c>
      <c r="M9" s="24" cm="1">
        <f t="array" ref="M9">IFERROR(INDEX('Metas DM &amp; DO'!$A:$AAD,MATCH(Disponibilidade!$G9,'Metas DM &amp; DO'!$A:$A,0),MATCH(Disponibilidade!$I9,'Metas DM &amp; DO'!$1:$1,0)+3),"-")</f>
        <v>0.5</v>
      </c>
      <c r="N9" s="11" t="str">
        <f t="shared" ref="N9:N11" si="40">IFERROR(IF(J9&lt;K9,"RUIM",IF(AND(J9&gt;=K9,J9&lt;L9),"MEDIA",IF(AND(J9&gt;=L9,J9&lt;M9),"BOA","-"))),"-")</f>
        <v>-</v>
      </c>
      <c r="O9" s="9" t="s">
        <v>19</v>
      </c>
      <c r="P9" s="26">
        <f>IFERROR(MAX(0,1 - (SUMIFS('Motivos De Parada'!K:K,'Motivos De Parada'!G:G,Disponibilidade!G9,'Motivos De Parada'!H:H,Disponibilidade!H9,'Motivos De Parada'!O:O,Disponibilidade!O9,'Motivos De Parada'!E:E,Disponibilidade!C9,'Motivos De Parada'!D:D,Disponibilidade!E9) / 24)),"-")</f>
        <v>1</v>
      </c>
      <c r="Q9" s="24" cm="1">
        <f t="array" ref="Q9">IFERROR(INDEX('Metas DM &amp; DO'!$A:$AAD,MATCH(Disponibilidade!$G9,'Metas DM &amp; DO'!$A:$A,0),MATCH(Disponibilidade!$O9,'Metas DM &amp; DO'!$1:$1,0)+1),"-")</f>
        <v>0.5</v>
      </c>
      <c r="R9" s="24" cm="1">
        <f t="array" ref="R9">IFERROR(INDEX('Metas DM &amp; DO'!$A:$AAD,MATCH(Disponibilidade!$G9,'Metas DM &amp; DO'!$A:$A,0),MATCH(Disponibilidade!$O9,'Metas DM &amp; DO'!$1:$1,0)+2),"-")</f>
        <v>0.5</v>
      </c>
      <c r="S9" s="24" cm="1">
        <f t="array" ref="S9">IFERROR(INDEX('Metas DM &amp; DO'!$A:$AAD,MATCH(Disponibilidade!$G9,'Metas DM &amp; DO'!$A:$A,0),MATCH(Disponibilidade!$O9,'Metas DM &amp; DO'!$1:$1,0)+3),"-")</f>
        <v>0.5</v>
      </c>
      <c r="T9" s="11" t="str">
        <f t="shared" ref="T9:T20" si="41">IFERROR(IF(P9&lt;Q9,"RUIM",IF(AND(P9&gt;=Q9,P9&lt;R9),"MEDIA",IF(AND(P9&gt;=R9,P9&lt;S9),"BOA","-"))),"-")</f>
        <v>-</v>
      </c>
      <c r="U9" s="9" t="s">
        <v>59</v>
      </c>
      <c r="V9" s="16">
        <f>IFERROR(SUMIFS('Motivos De Parada'!K:K,'Motivos De Parada'!G:G,Disponibilidade!G9,'Motivos De Parada'!H:H,Disponibilidade!H9,'Motivos De Parada'!O:O,Disponibilidade!I9,'Motivos De Parada'!E:E,Disponibilidade!C9,'Motivos De Parada'!D:D,Disponibilidade!E9),"-")</f>
        <v>0</v>
      </c>
      <c r="W9" s="16">
        <f>IFERROR(SUMIFS('Motivos De Parada'!K:K,'Motivos De Parada'!G:G,Disponibilidade!G9,'Motivos De Parada'!H:H,Disponibilidade!H9,'Motivos De Parada'!O:O,Disponibilidade!O9,'Motivos De Parada'!E:E,Disponibilidade!C9,'Motivos De Parada'!D:D,Disponibilidade!E9),"-")</f>
        <v>0</v>
      </c>
      <c r="X9" s="16">
        <f t="shared" ref="X9:X20" si="42">IFERROR(AVERAGE(V9,W9),"-")</f>
        <v>0</v>
      </c>
      <c r="Y9" s="16">
        <f>IFERROR(SUMIFS('Motivos De Parada'!K:K,'Motivos De Parada'!G:G,Disponibilidade!G9,'Motivos De Parada'!H:H,Disponibilidade!H9,'Motivos De Parada'!E:E,Disponibilidade!C9,'Motivos De Parada'!D:D,Disponibilidade!E9),"-")</f>
        <v>0</v>
      </c>
      <c r="Z9" s="28" t="str">
        <f t="shared" si="14"/>
        <v>OK</v>
      </c>
      <c r="AA9" s="16">
        <f t="shared" ref="AA9:AA20" si="43">IFERROR(W9+V9,"-")</f>
        <v>0</v>
      </c>
      <c r="AB9" s="16">
        <f>IFERROR(SUMIFS('Motivos De Parada'!K:K,'Motivos De Parada'!G:G,Disponibilidade!G9,'Motivos De Parada'!H:H,Disponibilidade!H9,'Motivos De Parada'!E:E,Disponibilidade!C9,'Motivos De Parada'!D:D,Disponibilidade!E9,'Motivos De Parada'!M:M,"REFEIÇÃO"),"-")</f>
        <v>0</v>
      </c>
      <c r="AC9" s="16">
        <f t="shared" ref="AC9:AC20" si="44">IFERROR(Y9-AA9-AB9,"-")</f>
        <v>0</v>
      </c>
      <c r="AD9" s="28" t="str">
        <f t="shared" si="17"/>
        <v>OK</v>
      </c>
      <c r="AE9" s="16" cm="1">
        <f t="array" ref="AE9">IFERROR(SUM(SUMIFS('Motivos De Parada'!K:K,'Motivos De Parada'!G:G,Disponibilidade!G9,'Motivos De Parada'!H:H,Disponibilidade!H9,'Motivos De Parada'!E:E,Disponibilidade!C9,'Motivos De Parada'!D:D,Disponibilidade!E9,'Motivos De Parada'!O:O,{"DISPONIBILIDADE MECÂNICA";"DISPONIBILIDADE OPERACIONAL"},'Motivos De Parada'!P:P,"NÃO")),"-")</f>
        <v>0</v>
      </c>
      <c r="AF9" s="16" cm="1">
        <f t="array" ref="AF9">IFERROR(SUM(SUMIFS('Motivos De Parada'!K:K,'Motivos De Parada'!G:G,Disponibilidade!G9,'Motivos De Parada'!H:H,Disponibilidade!H9,'Motivos De Parada'!E:E,Disponibilidade!C9,'Motivos De Parada'!D:D,Disponibilidade!E9,'Motivos De Parada'!O:O,{"DISPONIBILIDADE MECÂNICA";"DISPONIBILIDADE OPERACIONAL"},'Motivos De Parada'!P:P,"SIM")),"-")</f>
        <v>0</v>
      </c>
      <c r="AG9" s="16">
        <f t="shared" ref="AG9:AG20" si="45">IFERROR(IF((AC9-AF9)&lt;0,0,(AC9-AF9)),"-")</f>
        <v>0</v>
      </c>
      <c r="AH9" s="28" t="str">
        <f t="shared" si="19"/>
        <v>OK</v>
      </c>
      <c r="AI9" s="16" cm="1">
        <f t="array" ref="AI9">IFERROR(INDEX('Metas DM &amp; DO'!$A:$AAD,MATCH(Disponibilidade!$G9,'Metas DM &amp; DO'!$A:$A,0),MATCH(Disponibilidade!$U9,'Metas DM &amp; DO'!$1:$1,0)+2),"-")</f>
        <v>12</v>
      </c>
      <c r="AJ9" s="16" cm="1">
        <f t="array" ref="AJ9">IFERROR(INDEX('Metas DM &amp; DO'!$A:$AAD,MATCH(Disponibilidade!$G9,'Metas DM &amp; DO'!$A:$A,0),MATCH(Disponibilidade!$U9,'Metas DM &amp; DO'!$1:$1,0)+3),"-")</f>
        <v>12</v>
      </c>
      <c r="AK9" s="16" cm="1">
        <f t="array" ref="AK9">IFERROR(INDEX('Metas DM &amp; DO'!$A:$AAD,MATCH(Disponibilidade!$G9,'Metas DM &amp; DO'!$A:$A,0),MATCH(Disponibilidade!$U9,'Metas DM &amp; DO'!$1:$1,0)+4),"-")</f>
        <v>12</v>
      </c>
      <c r="AL9" s="11" t="str">
        <f t="shared" ref="AL9:AL20" si="46">IFERROR(IF(X9&lt;=AJ9,"EXCELENTE",
 IF(X9&lt;=AI9,"BOM",
 IF(X9&lt;=AK9,"ATENÇÃO",IF(X9&gt;AK9,"CRÍTICO","-")))),"-")</f>
        <v>EXCELENTE</v>
      </c>
    </row>
    <row r="10" spans="1:38" x14ac:dyDescent="0.3">
      <c r="A10" s="11">
        <f t="shared" si="38"/>
        <v>2026</v>
      </c>
      <c r="B10" s="12">
        <f t="shared" si="39"/>
        <v>46023</v>
      </c>
      <c r="C10" s="19">
        <v>46023</v>
      </c>
      <c r="D10" s="3" t="s">
        <v>128</v>
      </c>
      <c r="E10" s="11" t="s">
        <v>80</v>
      </c>
      <c r="F10" s="11" t="str" cm="1">
        <f t="array" ref="F10">IFERROR(INDEX('Motivos De Parada'!C:C,MATCH(1,('Motivos De Parada'!E:E=Disponibilidade!C10)*('Motivos De Parada'!G:G=Disponibilidade!G10)*('Motivos De Parada'!D:D=Disponibilidade!E10),0)),"-")</f>
        <v>-</v>
      </c>
      <c r="G10" s="11" t="str">
        <f>IFERROR(VLOOKUP(D10,Cadastros!A:B,2,FALSE),"-")</f>
        <v>GARRA TRAÇADORA 1</v>
      </c>
      <c r="H10" s="11" t="str">
        <f>IFERROR(VLOOKUP(G10,Cadastros!B:D,3,FALSE),"-")</f>
        <v>TRAÇAMENTO</v>
      </c>
      <c r="I10" s="9" t="s">
        <v>20</v>
      </c>
      <c r="J10" s="26">
        <f>IFERROR(MAX(0,1 - (SUMIFS('Motivos De Parada'!K:K,'Motivos De Parada'!G:G,Disponibilidade!G10,'Motivos De Parada'!H:H,Disponibilidade!H10,'Motivos De Parada'!O:O,Disponibilidade!I10,'Motivos De Parada'!E:E,Disponibilidade!C10,'Motivos De Parada'!D:D,Disponibilidade!E10) / 24)),"-")</f>
        <v>1</v>
      </c>
      <c r="K10" s="24" cm="1">
        <f t="array" ref="K10">IFERROR(INDEX('Metas DM &amp; DO'!$A:$AAD,MATCH(Disponibilidade!$G10,'Metas DM &amp; DO'!$A:$A,0),MATCH(Disponibilidade!$I10,'Metas DM &amp; DO'!$1:$1,0)+1),"-")</f>
        <v>0.91724137931034488</v>
      </c>
      <c r="L10" s="24" cm="1">
        <f t="array" ref="L10">IFERROR(INDEX('Metas DM &amp; DO'!$A:$AAD,MATCH(Disponibilidade!$G10,'Metas DM &amp; DO'!$A:$A,0),MATCH(Disponibilidade!$I10,'Metas DM &amp; DO'!$1:$1,0)+2),"-")</f>
        <v>0.92489568845618919</v>
      </c>
      <c r="M10" s="24" cm="1">
        <f t="array" ref="M10">IFERROR(INDEX('Metas DM &amp; DO'!$A:$AAD,MATCH(Disponibilidade!$G10,'Metas DM &amp; DO'!$A:$A,0),MATCH(Disponibilidade!$I10,'Metas DM &amp; DO'!$1:$1,0)+3),"-")</f>
        <v>0.90625</v>
      </c>
      <c r="N10" s="11" t="str">
        <f t="shared" si="40"/>
        <v>-</v>
      </c>
      <c r="O10" s="9" t="s">
        <v>19</v>
      </c>
      <c r="P10" s="26">
        <f>IFERROR(MAX(0,1 - (SUMIFS('Motivos De Parada'!K:K,'Motivos De Parada'!G:G,Disponibilidade!G10,'Motivos De Parada'!H:H,Disponibilidade!H10,'Motivos De Parada'!O:O,Disponibilidade!O10,'Motivos De Parada'!E:E,Disponibilidade!C10,'Motivos De Parada'!D:D,Disponibilidade!E10) / 24)),"-")</f>
        <v>1</v>
      </c>
      <c r="Q10" s="24" cm="1">
        <f t="array" ref="Q10">IFERROR(INDEX('Metas DM &amp; DO'!$A:$AAD,MATCH(Disponibilidade!$G10,'Metas DM &amp; DO'!$A:$A,0),MATCH(Disponibilidade!$O10,'Metas DM &amp; DO'!$1:$1,0)+1),"-")</f>
        <v>0.43601532567049806</v>
      </c>
      <c r="R10" s="24" cm="1">
        <f t="array" ref="R10">IFERROR(INDEX('Metas DM &amp; DO'!$A:$AAD,MATCH(Disponibilidade!$G10,'Metas DM &amp; DO'!$A:$A,0),MATCH(Disponibilidade!$O10,'Metas DM &amp; DO'!$1:$1,0)+2),"-")</f>
        <v>0.48817802503477059</v>
      </c>
      <c r="S10" s="24" cm="1">
        <f t="array" ref="S10">IFERROR(INDEX('Metas DM &amp; DO'!$A:$AAD,MATCH(Disponibilidade!$G10,'Metas DM &amp; DO'!$A:$A,0),MATCH(Disponibilidade!$O10,'Metas DM &amp; DO'!$1:$1,0)+3),"-")</f>
        <v>0.71875</v>
      </c>
      <c r="T10" s="11" t="str">
        <f t="shared" si="41"/>
        <v>-</v>
      </c>
      <c r="U10" s="9" t="s">
        <v>59</v>
      </c>
      <c r="V10" s="16">
        <f>IFERROR(SUMIFS('Motivos De Parada'!K:K,'Motivos De Parada'!G:G,Disponibilidade!G10,'Motivos De Parada'!H:H,Disponibilidade!H10,'Motivos De Parada'!O:O,Disponibilidade!I10,'Motivos De Parada'!E:E,Disponibilidade!C10,'Motivos De Parada'!D:D,Disponibilidade!E10),"-")</f>
        <v>0</v>
      </c>
      <c r="W10" s="16">
        <f>IFERROR(SUMIFS('Motivos De Parada'!K:K,'Motivos De Parada'!G:G,Disponibilidade!G10,'Motivos De Parada'!H:H,Disponibilidade!H10,'Motivos De Parada'!O:O,Disponibilidade!O10,'Motivos De Parada'!E:E,Disponibilidade!C10,'Motivos De Parada'!D:D,Disponibilidade!E10),"-")</f>
        <v>0</v>
      </c>
      <c r="X10" s="16">
        <f t="shared" si="42"/>
        <v>0</v>
      </c>
      <c r="Y10" s="16">
        <f>IFERROR(SUMIFS('Motivos De Parada'!K:K,'Motivos De Parada'!G:G,Disponibilidade!G10,'Motivos De Parada'!H:H,Disponibilidade!H10,'Motivos De Parada'!E:E,Disponibilidade!C10,'Motivos De Parada'!D:D,Disponibilidade!E10),"-")</f>
        <v>0</v>
      </c>
      <c r="Z10" s="28" t="str">
        <f>IFERROR(IF(Y10=0,"OK",IF(OR(Y10&gt;12,Y10&lt;12),"VERIFICAR","OK")),"-")</f>
        <v>OK</v>
      </c>
      <c r="AA10" s="16">
        <f t="shared" si="43"/>
        <v>0</v>
      </c>
      <c r="AB10" s="16">
        <f>IFERROR(SUMIFS('Motivos De Parada'!K:K,'Motivos De Parada'!G:G,Disponibilidade!G10,'Motivos De Parada'!H:H,Disponibilidade!H10,'Motivos De Parada'!E:E,Disponibilidade!C10,'Motivos De Parada'!D:D,Disponibilidade!E10,'Motivos De Parada'!M:M,"REFEIÇÃO"),"-")</f>
        <v>0</v>
      </c>
      <c r="AC10" s="16">
        <f t="shared" si="44"/>
        <v>0</v>
      </c>
      <c r="AD10" s="28" t="str">
        <f>IFERROR(IF(AC10&lt;0,"VERIFICAR","OK"),"-")</f>
        <v>OK</v>
      </c>
      <c r="AE10" s="16" cm="1">
        <f t="array" ref="AE10">IFERROR(SUM(SUMIFS('Motivos De Parada'!K:K,'Motivos De Parada'!G:G,Disponibilidade!G10,'Motivos De Parada'!H:H,Disponibilidade!H10,'Motivos De Parada'!E:E,Disponibilidade!C10,'Motivos De Parada'!D:D,Disponibilidade!E10,'Motivos De Parada'!O:O,{"DISPONIBILIDADE MECÂNICA";"DISPONIBILIDADE OPERACIONAL"},'Motivos De Parada'!P:P,"NÃO")),"-")</f>
        <v>0</v>
      </c>
      <c r="AF10" s="16" cm="1">
        <f t="array" ref="AF10">IFERROR(SUM(SUMIFS('Motivos De Parada'!K:K,'Motivos De Parada'!G:G,Disponibilidade!G10,'Motivos De Parada'!H:H,Disponibilidade!H10,'Motivos De Parada'!E:E,Disponibilidade!C10,'Motivos De Parada'!D:D,Disponibilidade!E10,'Motivos De Parada'!O:O,{"DISPONIBILIDADE MECÂNICA";"DISPONIBILIDADE OPERACIONAL"},'Motivos De Parada'!P:P,"SIM")),"-")</f>
        <v>0</v>
      </c>
      <c r="AG10" s="16">
        <f t="shared" si="45"/>
        <v>0</v>
      </c>
      <c r="AH10" s="28" t="str">
        <f>IFERROR(IF(AND(AG10=0,AC10=0),"OK",IF(AG10=AC10,"VERIFICAR","OK")),"-")</f>
        <v>OK</v>
      </c>
      <c r="AI10" s="16" cm="1">
        <f t="array" ref="AI10">IFERROR(INDEX('Metas DM &amp; DO'!$A:$AAD,MATCH(Disponibilidade!$G10,'Metas DM &amp; DO'!$A:$A,0),MATCH(Disponibilidade!$U10,'Metas DM &amp; DO'!$1:$1,0)+2),"-")</f>
        <v>2.2174055829228245</v>
      </c>
      <c r="AJ10" s="16" cm="1">
        <f t="array" ref="AJ10">IFERROR(INDEX('Metas DM &amp; DO'!$A:$AAD,MATCH(Disponibilidade!$G10,'Metas DM &amp; DO'!$A:$A,0),MATCH(Disponibilidade!$U10,'Metas DM &amp; DO'!$1:$1,0)+3),"-")</f>
        <v>2.0123186966024238</v>
      </c>
      <c r="AK10" s="16" cm="1">
        <f t="array" ref="AK10">IFERROR(INDEX('Metas DM &amp; DO'!$A:$AAD,MATCH(Disponibilidade!$G10,'Metas DM &amp; DO'!$A:$A,0),MATCH(Disponibilidade!$U10,'Metas DM &amp; DO'!$1:$1,0)+4),"-")</f>
        <v>3.9999999999999991</v>
      </c>
      <c r="AL10" s="11" t="str">
        <f t="shared" si="46"/>
        <v>EXCELENTE</v>
      </c>
    </row>
    <row r="11" spans="1:38" x14ac:dyDescent="0.3">
      <c r="A11" s="11">
        <f t="shared" ref="A11:A22" si="47">IFERROR(YEAR(C11),"-")</f>
        <v>2026</v>
      </c>
      <c r="B11" s="12">
        <f t="shared" ref="B11:B22" si="48">IFERROR(DATE(YEAR(C11),MONTH(C11),MONTH(C11)),"-")</f>
        <v>46023</v>
      </c>
      <c r="C11" s="19">
        <v>46023</v>
      </c>
      <c r="D11" s="3" t="s">
        <v>128</v>
      </c>
      <c r="E11" s="11" t="s">
        <v>81</v>
      </c>
      <c r="F11" s="11" t="str" cm="1">
        <f t="array" ref="F11">IFERROR(INDEX('Motivos De Parada'!C:C,MATCH(1,('Motivos De Parada'!E:E=Disponibilidade!C11)*('Motivos De Parada'!G:G=Disponibilidade!G11)*('Motivos De Parada'!D:D=Disponibilidade!E11),0)),"-")</f>
        <v>-</v>
      </c>
      <c r="G11" s="11" t="str">
        <f>IFERROR(VLOOKUP(D11,Cadastros!A:B,2,FALSE),"-")</f>
        <v>GARRA TRAÇADORA 1</v>
      </c>
      <c r="H11" s="11" t="str">
        <f>IFERROR(VLOOKUP(G11,Cadastros!B:D,3,FALSE),"-")</f>
        <v>TRAÇAMENTO</v>
      </c>
      <c r="I11" s="9" t="s">
        <v>20</v>
      </c>
      <c r="J11" s="26">
        <f>IFERROR(MAX(0,1 - (SUMIFS('Motivos De Parada'!K:K,'Motivos De Parada'!G:G,Disponibilidade!G11,'Motivos De Parada'!H:H,Disponibilidade!H11,'Motivos De Parada'!O:O,Disponibilidade!I11,'Motivos De Parada'!E:E,Disponibilidade!C11,'Motivos De Parada'!D:D,Disponibilidade!E11) / 24)),"-")</f>
        <v>1</v>
      </c>
      <c r="K11" s="24" cm="1">
        <f t="array" ref="K11">IFERROR(INDEX('Metas DM &amp; DO'!$A:$AAD,MATCH(Disponibilidade!$G11,'Metas DM &amp; DO'!$A:$A,0),MATCH(Disponibilidade!$I11,'Metas DM &amp; DO'!$1:$1,0)+1),"-")</f>
        <v>0.91724137931034488</v>
      </c>
      <c r="L11" s="24" cm="1">
        <f t="array" ref="L11">IFERROR(INDEX('Metas DM &amp; DO'!$A:$AAD,MATCH(Disponibilidade!$G11,'Metas DM &amp; DO'!$A:$A,0),MATCH(Disponibilidade!$I11,'Metas DM &amp; DO'!$1:$1,0)+2),"-")</f>
        <v>0.92489568845618919</v>
      </c>
      <c r="M11" s="24" cm="1">
        <f t="array" ref="M11">IFERROR(INDEX('Metas DM &amp; DO'!$A:$AAD,MATCH(Disponibilidade!$G11,'Metas DM &amp; DO'!$A:$A,0),MATCH(Disponibilidade!$I11,'Metas DM &amp; DO'!$1:$1,0)+3),"-")</f>
        <v>0.90625</v>
      </c>
      <c r="N11" s="11" t="str">
        <f t="shared" si="40"/>
        <v>-</v>
      </c>
      <c r="O11" s="9" t="s">
        <v>19</v>
      </c>
      <c r="P11" s="26">
        <f>IFERROR(MAX(0,1 - (SUMIFS('Motivos De Parada'!K:K,'Motivos De Parada'!G:G,Disponibilidade!G11,'Motivos De Parada'!H:H,Disponibilidade!H11,'Motivos De Parada'!O:O,Disponibilidade!O11,'Motivos De Parada'!E:E,Disponibilidade!C11,'Motivos De Parada'!D:D,Disponibilidade!E11) / 24)),"-")</f>
        <v>1</v>
      </c>
      <c r="Q11" s="24" cm="1">
        <f t="array" ref="Q11">IFERROR(INDEX('Metas DM &amp; DO'!$A:$AAD,MATCH(Disponibilidade!$G11,'Metas DM &amp; DO'!$A:$A,0),MATCH(Disponibilidade!$O11,'Metas DM &amp; DO'!$1:$1,0)+1),"-")</f>
        <v>0.43601532567049806</v>
      </c>
      <c r="R11" s="24" cm="1">
        <f t="array" ref="R11">IFERROR(INDEX('Metas DM &amp; DO'!$A:$AAD,MATCH(Disponibilidade!$G11,'Metas DM &amp; DO'!$A:$A,0),MATCH(Disponibilidade!$O11,'Metas DM &amp; DO'!$1:$1,0)+2),"-")</f>
        <v>0.48817802503477059</v>
      </c>
      <c r="S11" s="24" cm="1">
        <f t="array" ref="S11">IFERROR(INDEX('Metas DM &amp; DO'!$A:$AAD,MATCH(Disponibilidade!$G11,'Metas DM &amp; DO'!$A:$A,0),MATCH(Disponibilidade!$O11,'Metas DM &amp; DO'!$1:$1,0)+3),"-")</f>
        <v>0.71875</v>
      </c>
      <c r="T11" s="11" t="str">
        <f t="shared" si="41"/>
        <v>-</v>
      </c>
      <c r="U11" s="9" t="s">
        <v>59</v>
      </c>
      <c r="V11" s="16">
        <f>IFERROR(SUMIFS('Motivos De Parada'!K:K,'Motivos De Parada'!G:G,Disponibilidade!G11,'Motivos De Parada'!H:H,Disponibilidade!H11,'Motivos De Parada'!O:O,Disponibilidade!I11,'Motivos De Parada'!E:E,Disponibilidade!C11,'Motivos De Parada'!D:D,Disponibilidade!E11),"-")</f>
        <v>0</v>
      </c>
      <c r="W11" s="16">
        <f>IFERROR(SUMIFS('Motivos De Parada'!K:K,'Motivos De Parada'!G:G,Disponibilidade!G11,'Motivos De Parada'!H:H,Disponibilidade!H11,'Motivos De Parada'!O:O,Disponibilidade!O11,'Motivos De Parada'!E:E,Disponibilidade!C11,'Motivos De Parada'!D:D,Disponibilidade!E11),"-")</f>
        <v>0</v>
      </c>
      <c r="X11" s="16">
        <f t="shared" si="42"/>
        <v>0</v>
      </c>
      <c r="Y11" s="16">
        <f>IFERROR(SUMIFS('Motivos De Parada'!K:K,'Motivos De Parada'!G:G,Disponibilidade!G11,'Motivos De Parada'!H:H,Disponibilidade!H11,'Motivos De Parada'!E:E,Disponibilidade!C11,'Motivos De Parada'!D:D,Disponibilidade!E11),"-")</f>
        <v>0</v>
      </c>
      <c r="Z11" s="28" t="str">
        <f t="shared" ref="Z11:Z13" si="49">IFERROR(IF(Y11=0,"OK",IF(OR(Y11&gt;12,Y11&lt;12),"VERIFICAR","OK")),"-")</f>
        <v>OK</v>
      </c>
      <c r="AA11" s="16">
        <f t="shared" si="43"/>
        <v>0</v>
      </c>
      <c r="AB11" s="16">
        <f>IFERROR(SUMIFS('Motivos De Parada'!K:K,'Motivos De Parada'!G:G,Disponibilidade!G11,'Motivos De Parada'!H:H,Disponibilidade!H11,'Motivos De Parada'!E:E,Disponibilidade!C11,'Motivos De Parada'!D:D,Disponibilidade!E11,'Motivos De Parada'!M:M,"REFEIÇÃO"),"-")</f>
        <v>0</v>
      </c>
      <c r="AC11" s="16">
        <f t="shared" si="44"/>
        <v>0</v>
      </c>
      <c r="AD11" s="28" t="str">
        <f t="shared" ref="AD11:AD13" si="50">IFERROR(IF(AC11&lt;0,"VERIFICAR","OK"),"-")</f>
        <v>OK</v>
      </c>
      <c r="AE11" s="16" cm="1">
        <f t="array" ref="AE11">IFERROR(SUM(SUMIFS('Motivos De Parada'!K:K,'Motivos De Parada'!G:G,Disponibilidade!G11,'Motivos De Parada'!H:H,Disponibilidade!H11,'Motivos De Parada'!E:E,Disponibilidade!C11,'Motivos De Parada'!D:D,Disponibilidade!E11,'Motivos De Parada'!O:O,{"DISPONIBILIDADE MECÂNICA";"DISPONIBILIDADE OPERACIONAL"},'Motivos De Parada'!P:P,"NÃO")),"-")</f>
        <v>0</v>
      </c>
      <c r="AF11" s="16" cm="1">
        <f t="array" ref="AF11">IFERROR(SUM(SUMIFS('Motivos De Parada'!K:K,'Motivos De Parada'!G:G,Disponibilidade!G11,'Motivos De Parada'!H:H,Disponibilidade!H11,'Motivos De Parada'!E:E,Disponibilidade!C11,'Motivos De Parada'!D:D,Disponibilidade!E11,'Motivos De Parada'!O:O,{"DISPONIBILIDADE MECÂNICA";"DISPONIBILIDADE OPERACIONAL"},'Motivos De Parada'!P:P,"SIM")),"-")</f>
        <v>0</v>
      </c>
      <c r="AG11" s="16">
        <f t="shared" si="45"/>
        <v>0</v>
      </c>
      <c r="AH11" s="28" t="str">
        <f t="shared" ref="AH11:AH13" si="51">IFERROR(IF(AND(AG11=0,AC11=0),"OK",IF(AG11=AC11,"VERIFICAR","OK")),"-")</f>
        <v>OK</v>
      </c>
      <c r="AI11" s="16" cm="1">
        <f t="array" ref="AI11">IFERROR(INDEX('Metas DM &amp; DO'!$A:$AAD,MATCH(Disponibilidade!$G11,'Metas DM &amp; DO'!$A:$A,0),MATCH(Disponibilidade!$U11,'Metas DM &amp; DO'!$1:$1,0)+2),"-")</f>
        <v>2.2174055829228245</v>
      </c>
      <c r="AJ11" s="16" cm="1">
        <f t="array" ref="AJ11">IFERROR(INDEX('Metas DM &amp; DO'!$A:$AAD,MATCH(Disponibilidade!$G11,'Metas DM &amp; DO'!$A:$A,0),MATCH(Disponibilidade!$U11,'Metas DM &amp; DO'!$1:$1,0)+3),"-")</f>
        <v>2.0123186966024238</v>
      </c>
      <c r="AK11" s="16" cm="1">
        <f t="array" ref="AK11">IFERROR(INDEX('Metas DM &amp; DO'!$A:$AAD,MATCH(Disponibilidade!$G11,'Metas DM &amp; DO'!$A:$A,0),MATCH(Disponibilidade!$U11,'Metas DM &amp; DO'!$1:$1,0)+4),"-")</f>
        <v>3.9999999999999991</v>
      </c>
      <c r="AL11" s="11" t="str">
        <f t="shared" si="46"/>
        <v>EXCELENTE</v>
      </c>
    </row>
    <row r="12" spans="1:38" x14ac:dyDescent="0.3">
      <c r="A12" s="11">
        <f t="shared" si="47"/>
        <v>2026</v>
      </c>
      <c r="B12" s="12">
        <f t="shared" si="48"/>
        <v>46023</v>
      </c>
      <c r="C12" s="19">
        <v>46023</v>
      </c>
      <c r="D12" s="3" t="s">
        <v>130</v>
      </c>
      <c r="E12" s="11" t="s">
        <v>80</v>
      </c>
      <c r="F12" s="11" t="str" cm="1">
        <f t="array" ref="F12">IFERROR(INDEX('Motivos De Parada'!C:C,MATCH(1,('Motivos De Parada'!E:E=Disponibilidade!C12)*('Motivos De Parada'!G:G=Disponibilidade!G12)*('Motivos De Parada'!D:D=Disponibilidade!E12),0)),"-")</f>
        <v>-</v>
      </c>
      <c r="G12" s="11" t="str">
        <f>IFERROR(VLOOKUP(D12,Cadastros!A:B,2,FALSE),"-")</f>
        <v>GARRA TRAÇADORA 2</v>
      </c>
      <c r="H12" s="11" t="str">
        <f>IFERROR(VLOOKUP(G12,Cadastros!B:D,3,FALSE),"-")</f>
        <v>TRAÇAMENTO</v>
      </c>
      <c r="I12" s="9" t="s">
        <v>20</v>
      </c>
      <c r="J12" s="26">
        <f>IFERROR(MAX(0,1 - (SUMIFS('Motivos De Parada'!K:K,'Motivos De Parada'!G:G,Disponibilidade!G12,'Motivos De Parada'!H:H,Disponibilidade!H12,'Motivos De Parada'!O:O,Disponibilidade!I12,'Motivos De Parada'!E:E,Disponibilidade!C12,'Motivos De Parada'!D:D,Disponibilidade!E12) / 24)),"-")</f>
        <v>1</v>
      </c>
      <c r="K12" s="24" t="str" cm="1">
        <f t="array" ref="K12">IFERROR(INDEX('Metas DM &amp; DO'!$A:$AAD,MATCH(Disponibilidade!$G12,'Metas DM &amp; DO'!$A:$A,0),MATCH(Disponibilidade!$I12,'Metas DM &amp; DO'!$1:$1,0)+1),"-")</f>
        <v>-</v>
      </c>
      <c r="L12" s="24" t="str" cm="1">
        <f t="array" ref="L12">IFERROR(INDEX('Metas DM &amp; DO'!$A:$AAD,MATCH(Disponibilidade!$G12,'Metas DM &amp; DO'!$A:$A,0),MATCH(Disponibilidade!$I12,'Metas DM &amp; DO'!$1:$1,0)+2),"-")</f>
        <v>-</v>
      </c>
      <c r="M12" s="24" t="str" cm="1">
        <f t="array" ref="M12">IFERROR(INDEX('Metas DM &amp; DO'!$A:$AAD,MATCH(Disponibilidade!$G12,'Metas DM &amp; DO'!$A:$A,0),MATCH(Disponibilidade!$I12,'Metas DM &amp; DO'!$1:$1,0)+3),"-")</f>
        <v>-</v>
      </c>
      <c r="N12" s="11" t="str">
        <f>IFERROR(IF(J12&lt;K12,"RUIM",IF(AND(J12&gt;=K12,J12&lt;L12),"MEDIA",IF(AND(J12&gt;=L12,J12&lt;M12),"BOA","-"))),"-")</f>
        <v>RUIM</v>
      </c>
      <c r="O12" s="9" t="s">
        <v>19</v>
      </c>
      <c r="P12" s="26">
        <f>IFERROR(MAX(0,1 - (SUMIFS('Motivos De Parada'!K:K,'Motivos De Parada'!G:G,Disponibilidade!G12,'Motivos De Parada'!H:H,Disponibilidade!H12,'Motivos De Parada'!O:O,Disponibilidade!O12,'Motivos De Parada'!E:E,Disponibilidade!C12,'Motivos De Parada'!D:D,Disponibilidade!E12) / 24)),"-")</f>
        <v>1</v>
      </c>
      <c r="Q12" s="24" t="str" cm="1">
        <f t="array" ref="Q12">IFERROR(INDEX('Metas DM &amp; DO'!$A:$AAD,MATCH(Disponibilidade!$G12,'Metas DM &amp; DO'!$A:$A,0),MATCH(Disponibilidade!$O12,'Metas DM &amp; DO'!$1:$1,0)+1),"-")</f>
        <v>-</v>
      </c>
      <c r="R12" s="24" t="str" cm="1">
        <f t="array" ref="R12">IFERROR(INDEX('Metas DM &amp; DO'!$A:$AAD,MATCH(Disponibilidade!$G12,'Metas DM &amp; DO'!$A:$A,0),MATCH(Disponibilidade!$O12,'Metas DM &amp; DO'!$1:$1,0)+2),"-")</f>
        <v>-</v>
      </c>
      <c r="S12" s="24" t="str" cm="1">
        <f t="array" ref="S12">IFERROR(INDEX('Metas DM &amp; DO'!$A:$AAD,MATCH(Disponibilidade!$G12,'Metas DM &amp; DO'!$A:$A,0),MATCH(Disponibilidade!$O12,'Metas DM &amp; DO'!$1:$1,0)+3),"-")</f>
        <v>-</v>
      </c>
      <c r="T12" s="11" t="str">
        <f t="shared" si="41"/>
        <v>RUIM</v>
      </c>
      <c r="U12" s="9" t="s">
        <v>59</v>
      </c>
      <c r="V12" s="16">
        <f>IFERROR(SUMIFS('Motivos De Parada'!K:K,'Motivos De Parada'!G:G,Disponibilidade!G12,'Motivos De Parada'!H:H,Disponibilidade!H12,'Motivos De Parada'!O:O,Disponibilidade!I12,'Motivos De Parada'!E:E,Disponibilidade!C12,'Motivos De Parada'!D:D,Disponibilidade!E12),"-")</f>
        <v>0</v>
      </c>
      <c r="W12" s="16">
        <f>IFERROR(SUMIFS('Motivos De Parada'!K:K,'Motivos De Parada'!G:G,Disponibilidade!G12,'Motivos De Parada'!H:H,Disponibilidade!H12,'Motivos De Parada'!O:O,Disponibilidade!O12,'Motivos De Parada'!E:E,Disponibilidade!C12,'Motivos De Parada'!D:D,Disponibilidade!E12),"-")</f>
        <v>0</v>
      </c>
      <c r="X12" s="16">
        <f t="shared" si="42"/>
        <v>0</v>
      </c>
      <c r="Y12" s="16">
        <f>IFERROR(SUMIFS('Motivos De Parada'!K:K,'Motivos De Parada'!G:G,Disponibilidade!G12,'Motivos De Parada'!H:H,Disponibilidade!H12,'Motivos De Parada'!E:E,Disponibilidade!C12,'Motivos De Parada'!D:D,Disponibilidade!E12),"-")</f>
        <v>0</v>
      </c>
      <c r="Z12" s="28" t="str">
        <f t="shared" si="49"/>
        <v>OK</v>
      </c>
      <c r="AA12" s="16">
        <f t="shared" si="43"/>
        <v>0</v>
      </c>
      <c r="AB12" s="16">
        <f>IFERROR(SUMIFS('Motivos De Parada'!K:K,'Motivos De Parada'!G:G,Disponibilidade!G12,'Motivos De Parada'!H:H,Disponibilidade!H12,'Motivos De Parada'!E:E,Disponibilidade!C12,'Motivos De Parada'!D:D,Disponibilidade!E12,'Motivos De Parada'!M:M,"REFEIÇÃO"),"-")</f>
        <v>0</v>
      </c>
      <c r="AC12" s="16">
        <f t="shared" si="44"/>
        <v>0</v>
      </c>
      <c r="AD12" s="28" t="str">
        <f t="shared" si="50"/>
        <v>OK</v>
      </c>
      <c r="AE12" s="16" cm="1">
        <f t="array" ref="AE12">IFERROR(SUM(SUMIFS('Motivos De Parada'!K:K,'Motivos De Parada'!G:G,Disponibilidade!G12,'Motivos De Parada'!H:H,Disponibilidade!H12,'Motivos De Parada'!E:E,Disponibilidade!C12,'Motivos De Parada'!D:D,Disponibilidade!E12,'Motivos De Parada'!O:O,{"DISPONIBILIDADE MECÂNICA";"DISPONIBILIDADE OPERACIONAL"},'Motivos De Parada'!P:P,"NÃO")),"-")</f>
        <v>0</v>
      </c>
      <c r="AF12" s="16" cm="1">
        <f t="array" ref="AF12">IFERROR(SUM(SUMIFS('Motivos De Parada'!K:K,'Motivos De Parada'!G:G,Disponibilidade!G12,'Motivos De Parada'!H:H,Disponibilidade!H12,'Motivos De Parada'!E:E,Disponibilidade!C12,'Motivos De Parada'!D:D,Disponibilidade!E12,'Motivos De Parada'!O:O,{"DISPONIBILIDADE MECÂNICA";"DISPONIBILIDADE OPERACIONAL"},'Motivos De Parada'!P:P,"SIM")),"-")</f>
        <v>0</v>
      </c>
      <c r="AG12" s="16">
        <f t="shared" si="45"/>
        <v>0</v>
      </c>
      <c r="AH12" s="28" t="str">
        <f t="shared" si="51"/>
        <v>OK</v>
      </c>
      <c r="AI12" s="16" t="str" cm="1">
        <f t="array" ref="AI12">IFERROR(INDEX('Metas DM &amp; DO'!$A:$AAD,MATCH(Disponibilidade!$G12,'Metas DM &amp; DO'!$A:$A,0),MATCH(Disponibilidade!$U12,'Metas DM &amp; DO'!$1:$1,0)+2),"-")</f>
        <v>-</v>
      </c>
      <c r="AJ12" s="16" t="str" cm="1">
        <f t="array" ref="AJ12">IFERROR(INDEX('Metas DM &amp; DO'!$A:$AAD,MATCH(Disponibilidade!$G12,'Metas DM &amp; DO'!$A:$A,0),MATCH(Disponibilidade!$U12,'Metas DM &amp; DO'!$1:$1,0)+3),"-")</f>
        <v>-</v>
      </c>
      <c r="AK12" s="16" t="str" cm="1">
        <f t="array" ref="AK12">IFERROR(INDEX('Metas DM &amp; DO'!$A:$AAD,MATCH(Disponibilidade!$G12,'Metas DM &amp; DO'!$A:$A,0),MATCH(Disponibilidade!$U12,'Metas DM &amp; DO'!$1:$1,0)+4),"-")</f>
        <v>-</v>
      </c>
      <c r="AL12" s="11" t="str">
        <f t="shared" si="46"/>
        <v>EXCELENTE</v>
      </c>
    </row>
    <row r="13" spans="1:38" x14ac:dyDescent="0.3">
      <c r="A13" s="11">
        <f t="shared" si="47"/>
        <v>2026</v>
      </c>
      <c r="B13" s="12">
        <f t="shared" si="48"/>
        <v>46023</v>
      </c>
      <c r="C13" s="19">
        <v>46023</v>
      </c>
      <c r="D13" s="3" t="s">
        <v>130</v>
      </c>
      <c r="E13" s="11" t="s">
        <v>81</v>
      </c>
      <c r="F13" s="11" t="str" cm="1">
        <f t="array" ref="F13">IFERROR(INDEX('Motivos De Parada'!C:C,MATCH(1,('Motivos De Parada'!E:E=Disponibilidade!C13)*('Motivos De Parada'!G:G=Disponibilidade!G13)*('Motivos De Parada'!D:D=Disponibilidade!E13),0)),"-")</f>
        <v>-</v>
      </c>
      <c r="G13" s="11" t="str">
        <f>IFERROR(VLOOKUP(D13,Cadastros!A:B,2,FALSE),"-")</f>
        <v>GARRA TRAÇADORA 2</v>
      </c>
      <c r="H13" s="11" t="str">
        <f>IFERROR(VLOOKUP(G13,Cadastros!B:D,3,FALSE),"-")</f>
        <v>TRAÇAMENTO</v>
      </c>
      <c r="I13" s="9" t="s">
        <v>20</v>
      </c>
      <c r="J13" s="26">
        <f>IFERROR(MAX(0,1 - (SUMIFS('Motivos De Parada'!K:K,'Motivos De Parada'!G:G,Disponibilidade!G13,'Motivos De Parada'!H:H,Disponibilidade!H13,'Motivos De Parada'!O:O,Disponibilidade!I13,'Motivos De Parada'!E:E,Disponibilidade!C13,'Motivos De Parada'!D:D,Disponibilidade!E13) / 24)),"-")</f>
        <v>1</v>
      </c>
      <c r="K13" s="24" t="str" cm="1">
        <f t="array" ref="K13">IFERROR(INDEX('Metas DM &amp; DO'!$A:$AAD,MATCH(Disponibilidade!$G13,'Metas DM &amp; DO'!$A:$A,0),MATCH(Disponibilidade!$I13,'Metas DM &amp; DO'!$1:$1,0)+1),"-")</f>
        <v>-</v>
      </c>
      <c r="L13" s="24" t="str" cm="1">
        <f t="array" ref="L13">IFERROR(INDEX('Metas DM &amp; DO'!$A:$AAD,MATCH(Disponibilidade!$G13,'Metas DM &amp; DO'!$A:$A,0),MATCH(Disponibilidade!$I13,'Metas DM &amp; DO'!$1:$1,0)+2),"-")</f>
        <v>-</v>
      </c>
      <c r="M13" s="24" t="str" cm="1">
        <f t="array" ref="M13">IFERROR(INDEX('Metas DM &amp; DO'!$A:$AAD,MATCH(Disponibilidade!$G13,'Metas DM &amp; DO'!$A:$A,0),MATCH(Disponibilidade!$I13,'Metas DM &amp; DO'!$1:$1,0)+3),"-")</f>
        <v>-</v>
      </c>
      <c r="N13" s="11" t="str">
        <f>IFERROR(IF(J13&lt;K13,"RUIM",IF(AND(J13&gt;=K13,J13&lt;L13),"MEDIA",IF(AND(J13&gt;=L13,J13&lt;M13),"BOA","-"))),"-")</f>
        <v>RUIM</v>
      </c>
      <c r="O13" s="9" t="s">
        <v>19</v>
      </c>
      <c r="P13" s="26">
        <f>IFERROR(MAX(0,1 - (SUMIFS('Motivos De Parada'!K:K,'Motivos De Parada'!G:G,Disponibilidade!G13,'Motivos De Parada'!H:H,Disponibilidade!H13,'Motivos De Parada'!O:O,Disponibilidade!O13,'Motivos De Parada'!E:E,Disponibilidade!C13,'Motivos De Parada'!D:D,Disponibilidade!E13) / 24)),"-")</f>
        <v>1</v>
      </c>
      <c r="Q13" s="24" t="str" cm="1">
        <f t="array" ref="Q13">IFERROR(INDEX('Metas DM &amp; DO'!$A:$AAD,MATCH(Disponibilidade!$G13,'Metas DM &amp; DO'!$A:$A,0),MATCH(Disponibilidade!$O13,'Metas DM &amp; DO'!$1:$1,0)+1),"-")</f>
        <v>-</v>
      </c>
      <c r="R13" s="24" t="str" cm="1">
        <f t="array" ref="R13">IFERROR(INDEX('Metas DM &amp; DO'!$A:$AAD,MATCH(Disponibilidade!$G13,'Metas DM &amp; DO'!$A:$A,0),MATCH(Disponibilidade!$O13,'Metas DM &amp; DO'!$1:$1,0)+2),"-")</f>
        <v>-</v>
      </c>
      <c r="S13" s="24" t="str" cm="1">
        <f t="array" ref="S13">IFERROR(INDEX('Metas DM &amp; DO'!$A:$AAD,MATCH(Disponibilidade!$G13,'Metas DM &amp; DO'!$A:$A,0),MATCH(Disponibilidade!$O13,'Metas DM &amp; DO'!$1:$1,0)+3),"-")</f>
        <v>-</v>
      </c>
      <c r="T13" s="11" t="str">
        <f t="shared" si="41"/>
        <v>RUIM</v>
      </c>
      <c r="U13" s="9" t="s">
        <v>59</v>
      </c>
      <c r="V13" s="16">
        <f>IFERROR(SUMIFS('Motivos De Parada'!K:K,'Motivos De Parada'!G:G,Disponibilidade!G13,'Motivos De Parada'!H:H,Disponibilidade!H13,'Motivos De Parada'!O:O,Disponibilidade!I13,'Motivos De Parada'!E:E,Disponibilidade!C13,'Motivos De Parada'!D:D,Disponibilidade!E13),"-")</f>
        <v>0</v>
      </c>
      <c r="W13" s="16">
        <f>IFERROR(SUMIFS('Motivos De Parada'!K:K,'Motivos De Parada'!G:G,Disponibilidade!G13,'Motivos De Parada'!H:H,Disponibilidade!H13,'Motivos De Parada'!O:O,Disponibilidade!O13,'Motivos De Parada'!E:E,Disponibilidade!C13,'Motivos De Parada'!D:D,Disponibilidade!E13),"-")</f>
        <v>0</v>
      </c>
      <c r="X13" s="16">
        <f t="shared" si="42"/>
        <v>0</v>
      </c>
      <c r="Y13" s="16">
        <f>IFERROR(SUMIFS('Motivos De Parada'!K:K,'Motivos De Parada'!G:G,Disponibilidade!G13,'Motivos De Parada'!H:H,Disponibilidade!H13,'Motivos De Parada'!E:E,Disponibilidade!C13,'Motivos De Parada'!D:D,Disponibilidade!E13),"-")</f>
        <v>0</v>
      </c>
      <c r="Z13" s="28" t="str">
        <f t="shared" si="49"/>
        <v>OK</v>
      </c>
      <c r="AA13" s="16">
        <f t="shared" si="43"/>
        <v>0</v>
      </c>
      <c r="AB13" s="16">
        <f>IFERROR(SUMIFS('Motivos De Parada'!K:K,'Motivos De Parada'!G:G,Disponibilidade!G13,'Motivos De Parada'!H:H,Disponibilidade!H13,'Motivos De Parada'!E:E,Disponibilidade!C13,'Motivos De Parada'!D:D,Disponibilidade!E13,'Motivos De Parada'!M:M,"REFEIÇÃO"),"-")</f>
        <v>0</v>
      </c>
      <c r="AC13" s="16">
        <f t="shared" si="44"/>
        <v>0</v>
      </c>
      <c r="AD13" s="28" t="str">
        <f t="shared" si="50"/>
        <v>OK</v>
      </c>
      <c r="AE13" s="16" cm="1">
        <f t="array" ref="AE13">IFERROR(SUM(SUMIFS('Motivos De Parada'!K:K,'Motivos De Parada'!G:G,Disponibilidade!G13,'Motivos De Parada'!H:H,Disponibilidade!H13,'Motivos De Parada'!E:E,Disponibilidade!C13,'Motivos De Parada'!D:D,Disponibilidade!E13,'Motivos De Parada'!O:O,{"DISPONIBILIDADE MECÂNICA";"DISPONIBILIDADE OPERACIONAL"},'Motivos De Parada'!P:P,"NÃO")),"-")</f>
        <v>0</v>
      </c>
      <c r="AF13" s="16" cm="1">
        <f t="array" ref="AF13">IFERROR(SUM(SUMIFS('Motivos De Parada'!K:K,'Motivos De Parada'!G:G,Disponibilidade!G13,'Motivos De Parada'!H:H,Disponibilidade!H13,'Motivos De Parada'!E:E,Disponibilidade!C13,'Motivos De Parada'!D:D,Disponibilidade!E13,'Motivos De Parada'!O:O,{"DISPONIBILIDADE MECÂNICA";"DISPONIBILIDADE OPERACIONAL"},'Motivos De Parada'!P:P,"SIM")),"-")</f>
        <v>0</v>
      </c>
      <c r="AG13" s="16">
        <f t="shared" si="45"/>
        <v>0</v>
      </c>
      <c r="AH13" s="28" t="str">
        <f t="shared" si="51"/>
        <v>OK</v>
      </c>
      <c r="AI13" s="16" t="str" cm="1">
        <f t="array" ref="AI13">IFERROR(INDEX('Metas DM &amp; DO'!$A:$AAD,MATCH(Disponibilidade!$G13,'Metas DM &amp; DO'!$A:$A,0),MATCH(Disponibilidade!$U13,'Metas DM &amp; DO'!$1:$1,0)+2),"-")</f>
        <v>-</v>
      </c>
      <c r="AJ13" s="16" t="str" cm="1">
        <f t="array" ref="AJ13">IFERROR(INDEX('Metas DM &amp; DO'!$A:$AAD,MATCH(Disponibilidade!$G13,'Metas DM &amp; DO'!$A:$A,0),MATCH(Disponibilidade!$U13,'Metas DM &amp; DO'!$1:$1,0)+3),"-")</f>
        <v>-</v>
      </c>
      <c r="AK13" s="16" t="str" cm="1">
        <f t="array" ref="AK13">IFERROR(INDEX('Metas DM &amp; DO'!$A:$AAD,MATCH(Disponibilidade!$G13,'Metas DM &amp; DO'!$A:$A,0),MATCH(Disponibilidade!$U13,'Metas DM &amp; DO'!$1:$1,0)+4),"-")</f>
        <v>-</v>
      </c>
      <c r="AL13" s="11" t="str">
        <f t="shared" si="46"/>
        <v>EXCELENTE</v>
      </c>
    </row>
    <row r="14" spans="1:38" x14ac:dyDescent="0.3">
      <c r="A14" s="11">
        <f t="shared" si="47"/>
        <v>2026</v>
      </c>
      <c r="B14" s="12">
        <f t="shared" si="48"/>
        <v>46023</v>
      </c>
      <c r="C14" s="19">
        <v>46024</v>
      </c>
      <c r="D14" s="3" t="s">
        <v>120</v>
      </c>
      <c r="E14" s="11" t="s">
        <v>80</v>
      </c>
      <c r="F14" s="11" t="str" cm="1">
        <f t="array" ref="F14">IFERROR(INDEX('Motivos De Parada'!C:C,MATCH(1,('Motivos De Parada'!E:E=Disponibilidade!C14)*('Motivos De Parada'!G:G=Disponibilidade!G14)*('Motivos De Parada'!D:D=Disponibilidade!E14),0)),"-")</f>
        <v>-</v>
      </c>
      <c r="G14" s="11" t="str">
        <f>IFERROR(VLOOKUP(D14,Cadastros!A:B,2,FALSE),"-")</f>
        <v>FELLER BUNCHER 1</v>
      </c>
      <c r="H14" s="11" t="str">
        <f>IFERROR(VLOOKUP(G14,Cadastros!B:D,3,FALSE),"-")</f>
        <v>CORTE</v>
      </c>
      <c r="I14" s="9" t="s">
        <v>20</v>
      </c>
      <c r="J14" s="26">
        <f>IFERROR(MAX(0,1 - (SUMIFS('Motivos De Parada'!K:K,'Motivos De Parada'!G:G,Disponibilidade!G14,'Motivos De Parada'!H:H,Disponibilidade!H14,'Motivos De Parada'!O:O,Disponibilidade!I14,'Motivos De Parada'!E:E,Disponibilidade!C14,'Motivos De Parada'!D:D,Disponibilidade!E14) / 24)),"-")</f>
        <v>1</v>
      </c>
      <c r="K14" s="24" cm="1">
        <f t="array" ref="K14">IFERROR(INDEX('Metas DM &amp; DO'!$A:$AAD,MATCH(Disponibilidade!$G14,'Metas DM &amp; DO'!$A:$A,0),MATCH(Disponibilidade!$I14,'Metas DM &amp; DO'!$1:$1,0)+1),"-")</f>
        <v>0.45882352941176474</v>
      </c>
      <c r="L14" s="24" cm="1">
        <f t="array" ref="L14">IFERROR(INDEX('Metas DM &amp; DO'!$A:$AAD,MATCH(Disponibilidade!$G14,'Metas DM &amp; DO'!$A:$A,0),MATCH(Disponibilidade!$I14,'Metas DM &amp; DO'!$1:$1,0)+2),"-")</f>
        <v>0.66341463414634161</v>
      </c>
      <c r="M14" s="24" cm="1">
        <f t="array" ref="M14">IFERROR(INDEX('Metas DM &amp; DO'!$A:$AAD,MATCH(Disponibilidade!$G14,'Metas DM &amp; DO'!$A:$A,0),MATCH(Disponibilidade!$I14,'Metas DM &amp; DO'!$1:$1,0)+3),"-")</f>
        <v>0.83333333333333337</v>
      </c>
      <c r="N14" s="11" t="str">
        <f t="shared" ref="N14:N20" si="52">IFERROR(IF(J14&lt;K14,"RUIM",IF(AND(J14&gt;=K14,J14&lt;L14),"MEDIA",IF(AND(J14&gt;=L14,J14&lt;M14),"BOA","-"))),"-")</f>
        <v>-</v>
      </c>
      <c r="O14" s="9" t="s">
        <v>19</v>
      </c>
      <c r="P14" s="26">
        <f>IFERROR(MAX(0,1 - (SUMIFS('Motivos De Parada'!K:K,'Motivos De Parada'!G:G,Disponibilidade!G14,'Motivos De Parada'!H:H,Disponibilidade!H14,'Motivos De Parada'!O:O,Disponibilidade!O14,'Motivos De Parada'!E:E,Disponibilidade!C14,'Motivos De Parada'!D:D,Disponibilidade!E14) / 24)),"-")</f>
        <v>1</v>
      </c>
      <c r="Q14" s="24" cm="1">
        <f t="array" ref="Q14">IFERROR(INDEX('Metas DM &amp; DO'!$A:$AAD,MATCH(Disponibilidade!$G14,'Metas DM &amp; DO'!$A:$A,0),MATCH(Disponibilidade!$O14,'Metas DM &amp; DO'!$1:$1,0)+1),"-")</f>
        <v>0.74117647058823533</v>
      </c>
      <c r="R14" s="24" cm="1">
        <f t="array" ref="R14">IFERROR(INDEX('Metas DM &amp; DO'!$A:$AAD,MATCH(Disponibilidade!$G14,'Metas DM &amp; DO'!$A:$A,0),MATCH(Disponibilidade!$O14,'Metas DM &amp; DO'!$1:$1,0)+2),"-")</f>
        <v>0.83902439024390252</v>
      </c>
      <c r="S14" s="24" cm="1">
        <f t="array" ref="S14">IFERROR(INDEX('Metas DM &amp; DO'!$A:$AAD,MATCH(Disponibilidade!$G14,'Metas DM &amp; DO'!$A:$A,0),MATCH(Disponibilidade!$O14,'Metas DM &amp; DO'!$1:$1,0)+3),"-")</f>
        <v>0.79166666666666674</v>
      </c>
      <c r="T14" s="11" t="str">
        <f t="shared" si="41"/>
        <v>-</v>
      </c>
      <c r="U14" s="9" t="s">
        <v>59</v>
      </c>
      <c r="V14" s="16">
        <f>IFERROR(SUMIFS('Motivos De Parada'!K:K,'Motivos De Parada'!G:G,Disponibilidade!G14,'Motivos De Parada'!H:H,Disponibilidade!H14,'Motivos De Parada'!O:O,Disponibilidade!I14,'Motivos De Parada'!E:E,Disponibilidade!C14,'Motivos De Parada'!D:D,Disponibilidade!E14),"-")</f>
        <v>0</v>
      </c>
      <c r="W14" s="16">
        <f>IFERROR(SUMIFS('Motivos De Parada'!K:K,'Motivos De Parada'!G:G,Disponibilidade!G14,'Motivos De Parada'!H:H,Disponibilidade!H14,'Motivos De Parada'!O:O,Disponibilidade!O14,'Motivos De Parada'!E:E,Disponibilidade!C14,'Motivos De Parada'!D:D,Disponibilidade!E14),"-")</f>
        <v>0</v>
      </c>
      <c r="X14" s="16">
        <f t="shared" si="42"/>
        <v>0</v>
      </c>
      <c r="Y14" s="16">
        <f>IFERROR(SUMIFS('Motivos De Parada'!K:K,'Motivos De Parada'!G:G,Disponibilidade!G14,'Motivos De Parada'!H:H,Disponibilidade!H14,'Motivos De Parada'!E:E,Disponibilidade!C14,'Motivos De Parada'!D:D,Disponibilidade!E14),"-")</f>
        <v>0</v>
      </c>
      <c r="Z14" s="28" t="str">
        <f>IFERROR(IF(Y14=0,"OK",IF(OR(Y14&gt;12,Y14&lt;12),"VERIFICAR","OK")),"-")</f>
        <v>OK</v>
      </c>
      <c r="AA14" s="16">
        <f t="shared" si="43"/>
        <v>0</v>
      </c>
      <c r="AB14" s="16">
        <f>IFERROR(SUMIFS('Motivos De Parada'!K:K,'Motivos De Parada'!G:G,Disponibilidade!G14,'Motivos De Parada'!H:H,Disponibilidade!H14,'Motivos De Parada'!E:E,Disponibilidade!C14,'Motivos De Parada'!D:D,Disponibilidade!E14,'Motivos De Parada'!M:M,"REFEIÇÃO"),"-")</f>
        <v>0</v>
      </c>
      <c r="AC14" s="16">
        <f t="shared" si="44"/>
        <v>0</v>
      </c>
      <c r="AD14" s="28" t="str">
        <f>IFERROR(IF(AC14&lt;0,"VERIFICAR","OK"),"-")</f>
        <v>OK</v>
      </c>
      <c r="AE14" s="16" cm="1">
        <f t="array" ref="AE14">IFERROR(SUM(SUMIFS('Motivos De Parada'!K:K,'Motivos De Parada'!G:G,Disponibilidade!G14,'Motivos De Parada'!H:H,Disponibilidade!H14,'Motivos De Parada'!E:E,Disponibilidade!C14,'Motivos De Parada'!D:D,Disponibilidade!E14,'Motivos De Parada'!O:O,{"DISPONIBILIDADE MECÂNICA";"DISPONIBILIDADE OPERACIONAL"},'Motivos De Parada'!P:P,"NÃO")),"-")</f>
        <v>0</v>
      </c>
      <c r="AF14" s="16" cm="1">
        <f t="array" ref="AF14">IFERROR(SUM(SUMIFS('Motivos De Parada'!K:K,'Motivos De Parada'!G:G,Disponibilidade!G14,'Motivos De Parada'!H:H,Disponibilidade!H14,'Motivos De Parada'!E:E,Disponibilidade!C14,'Motivos De Parada'!D:D,Disponibilidade!E14,'Motivos De Parada'!O:O,{"DISPONIBILIDADE MECÂNICA";"DISPONIBILIDADE OPERACIONAL"},'Motivos De Parada'!P:P,"SIM")),"-")</f>
        <v>0</v>
      </c>
      <c r="AG14" s="16">
        <f t="shared" si="45"/>
        <v>0</v>
      </c>
      <c r="AH14" s="28" t="str">
        <f>IFERROR(IF(AND(AG14=0,AC14=0),"OK",IF(AG14=AC14,"VERIFICAR","OK")),"-")</f>
        <v>OK</v>
      </c>
      <c r="AI14" s="16" cm="1">
        <f t="array" ref="AI14">IFERROR(INDEX('Metas DM &amp; DO'!$A:$AAD,MATCH(Disponibilidade!$G14,'Metas DM &amp; DO'!$A:$A,0),MATCH(Disponibilidade!$U14,'Metas DM &amp; DO'!$1:$1,0)+2),"-")</f>
        <v>4.8</v>
      </c>
      <c r="AJ14" s="16" cm="1">
        <f t="array" ref="AJ14">IFERROR(INDEX('Metas DM &amp; DO'!$A:$AAD,MATCH(Disponibilidade!$G14,'Metas DM &amp; DO'!$A:$A,0),MATCH(Disponibilidade!$U14,'Metas DM &amp; DO'!$1:$1,0)+3),"-")</f>
        <v>2.9853658536585361</v>
      </c>
      <c r="AK14" s="16" cm="1">
        <f t="array" ref="AK14">IFERROR(INDEX('Metas DM &amp; DO'!$A:$AAD,MATCH(Disponibilidade!$G14,'Metas DM &amp; DO'!$A:$A,0),MATCH(Disponibilidade!$U14,'Metas DM &amp; DO'!$1:$1,0)+4),"-")</f>
        <v>12</v>
      </c>
      <c r="AL14" s="11" t="str">
        <f t="shared" si="46"/>
        <v>EXCELENTE</v>
      </c>
    </row>
    <row r="15" spans="1:38" x14ac:dyDescent="0.3">
      <c r="A15" s="11">
        <f t="shared" si="47"/>
        <v>2026</v>
      </c>
      <c r="B15" s="12">
        <f t="shared" si="48"/>
        <v>46023</v>
      </c>
      <c r="C15" s="19">
        <v>46024</v>
      </c>
      <c r="D15" s="3" t="s">
        <v>120</v>
      </c>
      <c r="E15" s="11" t="s">
        <v>81</v>
      </c>
      <c r="F15" s="11" t="str" cm="1">
        <f t="array" ref="F15">IFERROR(INDEX('Motivos De Parada'!C:C,MATCH(1,('Motivos De Parada'!E:E=Disponibilidade!C15)*('Motivos De Parada'!G:G=Disponibilidade!G15)*('Motivos De Parada'!D:D=Disponibilidade!E15),0)),"-")</f>
        <v>-</v>
      </c>
      <c r="G15" s="11" t="str">
        <f>IFERROR(VLOOKUP(D15,Cadastros!A:B,2,FALSE),"-")</f>
        <v>FELLER BUNCHER 1</v>
      </c>
      <c r="H15" s="11" t="str">
        <f>IFERROR(VLOOKUP(G15,Cadastros!B:D,3,FALSE),"-")</f>
        <v>CORTE</v>
      </c>
      <c r="I15" s="9" t="s">
        <v>20</v>
      </c>
      <c r="J15" s="26">
        <f>IFERROR(MAX(0,1 - (SUMIFS('Motivos De Parada'!K:K,'Motivos De Parada'!G:G,Disponibilidade!G15,'Motivos De Parada'!H:H,Disponibilidade!H15,'Motivos De Parada'!O:O,Disponibilidade!I15,'Motivos De Parada'!E:E,Disponibilidade!C15,'Motivos De Parada'!D:D,Disponibilidade!E15) / 24)),"-")</f>
        <v>1</v>
      </c>
      <c r="K15" s="24" cm="1">
        <f t="array" ref="K15">IFERROR(INDEX('Metas DM &amp; DO'!$A:$AAD,MATCH(Disponibilidade!$G15,'Metas DM &amp; DO'!$A:$A,0),MATCH(Disponibilidade!$I15,'Metas DM &amp; DO'!$1:$1,0)+1),"-")</f>
        <v>0.45882352941176474</v>
      </c>
      <c r="L15" s="24" cm="1">
        <f t="array" ref="L15">IFERROR(INDEX('Metas DM &amp; DO'!$A:$AAD,MATCH(Disponibilidade!$G15,'Metas DM &amp; DO'!$A:$A,0),MATCH(Disponibilidade!$I15,'Metas DM &amp; DO'!$1:$1,0)+2),"-")</f>
        <v>0.66341463414634161</v>
      </c>
      <c r="M15" s="24" cm="1">
        <f t="array" ref="M15">IFERROR(INDEX('Metas DM &amp; DO'!$A:$AAD,MATCH(Disponibilidade!$G15,'Metas DM &amp; DO'!$A:$A,0),MATCH(Disponibilidade!$I15,'Metas DM &amp; DO'!$1:$1,0)+3),"-")</f>
        <v>0.83333333333333337</v>
      </c>
      <c r="N15" s="11" t="str">
        <f t="shared" si="52"/>
        <v>-</v>
      </c>
      <c r="O15" s="9" t="s">
        <v>19</v>
      </c>
      <c r="P15" s="26">
        <f>IFERROR(MAX(0,1 - (SUMIFS('Motivos De Parada'!K:K,'Motivos De Parada'!G:G,Disponibilidade!G15,'Motivos De Parada'!H:H,Disponibilidade!H15,'Motivos De Parada'!O:O,Disponibilidade!O15,'Motivos De Parada'!E:E,Disponibilidade!C15,'Motivos De Parada'!D:D,Disponibilidade!E15) / 24)),"-")</f>
        <v>1</v>
      </c>
      <c r="Q15" s="24" cm="1">
        <f t="array" ref="Q15">IFERROR(INDEX('Metas DM &amp; DO'!$A:$AAD,MATCH(Disponibilidade!$G15,'Metas DM &amp; DO'!$A:$A,0),MATCH(Disponibilidade!$O15,'Metas DM &amp; DO'!$1:$1,0)+1),"-")</f>
        <v>0.74117647058823533</v>
      </c>
      <c r="R15" s="24" cm="1">
        <f t="array" ref="R15">IFERROR(INDEX('Metas DM &amp; DO'!$A:$AAD,MATCH(Disponibilidade!$G15,'Metas DM &amp; DO'!$A:$A,0),MATCH(Disponibilidade!$O15,'Metas DM &amp; DO'!$1:$1,0)+2),"-")</f>
        <v>0.83902439024390252</v>
      </c>
      <c r="S15" s="24" cm="1">
        <f t="array" ref="S15">IFERROR(INDEX('Metas DM &amp; DO'!$A:$AAD,MATCH(Disponibilidade!$G15,'Metas DM &amp; DO'!$A:$A,0),MATCH(Disponibilidade!$O15,'Metas DM &amp; DO'!$1:$1,0)+3),"-")</f>
        <v>0.79166666666666674</v>
      </c>
      <c r="T15" s="11" t="str">
        <f t="shared" si="41"/>
        <v>-</v>
      </c>
      <c r="U15" s="9" t="s">
        <v>59</v>
      </c>
      <c r="V15" s="16">
        <f>IFERROR(SUMIFS('Motivos De Parada'!K:K,'Motivos De Parada'!G:G,Disponibilidade!G15,'Motivos De Parada'!H:H,Disponibilidade!H15,'Motivos De Parada'!O:O,Disponibilidade!I15,'Motivos De Parada'!E:E,Disponibilidade!C15,'Motivos De Parada'!D:D,Disponibilidade!E15),"-")</f>
        <v>0</v>
      </c>
      <c r="W15" s="16">
        <f>IFERROR(SUMIFS('Motivos De Parada'!K:K,'Motivos De Parada'!G:G,Disponibilidade!G15,'Motivos De Parada'!H:H,Disponibilidade!H15,'Motivos De Parada'!O:O,Disponibilidade!O15,'Motivos De Parada'!E:E,Disponibilidade!C15,'Motivos De Parada'!D:D,Disponibilidade!E15),"-")</f>
        <v>0</v>
      </c>
      <c r="X15" s="16">
        <f t="shared" si="42"/>
        <v>0</v>
      </c>
      <c r="Y15" s="16">
        <f>IFERROR(SUMIFS('Motivos De Parada'!K:K,'Motivos De Parada'!G:G,Disponibilidade!G15,'Motivos De Parada'!H:H,Disponibilidade!H15,'Motivos De Parada'!E:E,Disponibilidade!C15,'Motivos De Parada'!D:D,Disponibilidade!E15),"-")</f>
        <v>0</v>
      </c>
      <c r="Z15" s="28" t="str">
        <f t="shared" ref="Z15:Z21" si="53">IFERROR(IF(Y15=0,"OK",IF(OR(Y15&gt;12,Y15&lt;12),"VERIFICAR","OK")),"-")</f>
        <v>OK</v>
      </c>
      <c r="AA15" s="16">
        <f t="shared" si="43"/>
        <v>0</v>
      </c>
      <c r="AB15" s="16">
        <f>IFERROR(SUMIFS('Motivos De Parada'!K:K,'Motivos De Parada'!G:G,Disponibilidade!G15,'Motivos De Parada'!H:H,Disponibilidade!H15,'Motivos De Parada'!E:E,Disponibilidade!C15,'Motivos De Parada'!D:D,Disponibilidade!E15,'Motivos De Parada'!M:M,"REFEIÇÃO"),"-")</f>
        <v>0</v>
      </c>
      <c r="AC15" s="16">
        <f t="shared" si="44"/>
        <v>0</v>
      </c>
      <c r="AD15" s="28" t="str">
        <f t="shared" ref="AD15:AD21" si="54">IFERROR(IF(AC15&lt;0,"VERIFICAR","OK"),"-")</f>
        <v>OK</v>
      </c>
      <c r="AE15" s="16" cm="1">
        <f t="array" ref="AE15">IFERROR(SUM(SUMIFS('Motivos De Parada'!K:K,'Motivos De Parada'!G:G,Disponibilidade!G15,'Motivos De Parada'!H:H,Disponibilidade!H15,'Motivos De Parada'!E:E,Disponibilidade!C15,'Motivos De Parada'!D:D,Disponibilidade!E15,'Motivos De Parada'!O:O,{"DISPONIBILIDADE MECÂNICA";"DISPONIBILIDADE OPERACIONAL"},'Motivos De Parada'!P:P,"NÃO")),"-")</f>
        <v>0</v>
      </c>
      <c r="AF15" s="16" cm="1">
        <f t="array" ref="AF15">IFERROR(SUM(SUMIFS('Motivos De Parada'!K:K,'Motivos De Parada'!G:G,Disponibilidade!G15,'Motivos De Parada'!H:H,Disponibilidade!H15,'Motivos De Parada'!E:E,Disponibilidade!C15,'Motivos De Parada'!D:D,Disponibilidade!E15,'Motivos De Parada'!O:O,{"DISPONIBILIDADE MECÂNICA";"DISPONIBILIDADE OPERACIONAL"},'Motivos De Parada'!P:P,"SIM")),"-")</f>
        <v>0</v>
      </c>
      <c r="AG15" s="16">
        <f t="shared" si="45"/>
        <v>0</v>
      </c>
      <c r="AH15" s="28" t="str">
        <f t="shared" ref="AH15:AH21" si="55">IFERROR(IF(AND(AG15=0,AC15=0),"OK",IF(AG15=AC15,"VERIFICAR","OK")),"-")</f>
        <v>OK</v>
      </c>
      <c r="AI15" s="16" cm="1">
        <f t="array" ref="AI15">IFERROR(INDEX('Metas DM &amp; DO'!$A:$AAD,MATCH(Disponibilidade!$G15,'Metas DM &amp; DO'!$A:$A,0),MATCH(Disponibilidade!$U15,'Metas DM &amp; DO'!$1:$1,0)+2),"-")</f>
        <v>4.8</v>
      </c>
      <c r="AJ15" s="16" cm="1">
        <f t="array" ref="AJ15">IFERROR(INDEX('Metas DM &amp; DO'!$A:$AAD,MATCH(Disponibilidade!$G15,'Metas DM &amp; DO'!$A:$A,0),MATCH(Disponibilidade!$U15,'Metas DM &amp; DO'!$1:$1,0)+3),"-")</f>
        <v>2.9853658536585361</v>
      </c>
      <c r="AK15" s="16" cm="1">
        <f t="array" ref="AK15">IFERROR(INDEX('Metas DM &amp; DO'!$A:$AAD,MATCH(Disponibilidade!$G15,'Metas DM &amp; DO'!$A:$A,0),MATCH(Disponibilidade!$U15,'Metas DM &amp; DO'!$1:$1,0)+4),"-")</f>
        <v>12</v>
      </c>
      <c r="AL15" s="11" t="str">
        <f t="shared" si="46"/>
        <v>EXCELENTE</v>
      </c>
    </row>
    <row r="16" spans="1:38" x14ac:dyDescent="0.3">
      <c r="A16" s="11">
        <f t="shared" si="47"/>
        <v>2026</v>
      </c>
      <c r="B16" s="12">
        <f t="shared" si="48"/>
        <v>46023</v>
      </c>
      <c r="C16" s="19">
        <v>46024</v>
      </c>
      <c r="D16" s="3" t="s">
        <v>122</v>
      </c>
      <c r="E16" s="11" t="s">
        <v>80</v>
      </c>
      <c r="F16" s="11" t="str" cm="1">
        <f t="array" ref="F16">IFERROR(INDEX('Motivos De Parada'!C:C,MATCH(1,('Motivos De Parada'!E:E=Disponibilidade!C16)*('Motivos De Parada'!G:G=Disponibilidade!G16)*('Motivos De Parada'!D:D=Disponibilidade!E16),0)),"-")</f>
        <v>-</v>
      </c>
      <c r="G16" s="11" t="str">
        <f>IFERROR(VLOOKUP(D16,Cadastros!A:B,2,FALSE),"-")</f>
        <v>FELLER BUNCHER 2</v>
      </c>
      <c r="H16" s="11" t="str">
        <f>IFERROR(VLOOKUP(G16,Cadastros!B:D,3,FALSE),"-")</f>
        <v>CORTE</v>
      </c>
      <c r="I16" s="9" t="s">
        <v>20</v>
      </c>
      <c r="J16" s="26">
        <f>IFERROR(MAX(0,1 - (SUMIFS('Motivos De Parada'!K:K,'Motivos De Parada'!G:G,Disponibilidade!G16,'Motivos De Parada'!H:H,Disponibilidade!H16,'Motivos De Parada'!O:O,Disponibilidade!I16,'Motivos De Parada'!E:E,Disponibilidade!C16,'Motivos De Parada'!D:D,Disponibilidade!E16) / 24)),"-")</f>
        <v>1</v>
      </c>
      <c r="K16" s="24" cm="1">
        <f t="array" ref="K16">IFERROR(INDEX('Metas DM &amp; DO'!$A:$AAD,MATCH(Disponibilidade!$G16,'Metas DM &amp; DO'!$A:$A,0),MATCH(Disponibilidade!$I16,'Metas DM &amp; DO'!$1:$1,0)+1),"-")</f>
        <v>1</v>
      </c>
      <c r="L16" s="24" cm="1">
        <f t="array" ref="L16">IFERROR(INDEX('Metas DM &amp; DO'!$A:$AAD,MATCH(Disponibilidade!$G16,'Metas DM &amp; DO'!$A:$A,0),MATCH(Disponibilidade!$I16,'Metas DM &amp; DO'!$1:$1,0)+2),"-")</f>
        <v>1</v>
      </c>
      <c r="M16" s="24" t="str" cm="1">
        <f t="array" ref="M16">IFERROR(INDEX('Metas DM &amp; DO'!$A:$AAD,MATCH(Disponibilidade!$G16,'Metas DM &amp; DO'!$A:$A,0),MATCH(Disponibilidade!$I16,'Metas DM &amp; DO'!$1:$1,0)+3),"-")</f>
        <v>-</v>
      </c>
      <c r="N16" s="11" t="str">
        <f>IFERROR(IF(J16&lt;K16,"RUIM",IF(AND(J16&gt;=K16,J16&lt;L16),"MEDIA",IF(AND(J16&gt;=L16,J16&lt;M16),"BOA","-"))),"-")</f>
        <v>BOA</v>
      </c>
      <c r="O16" s="9" t="s">
        <v>19</v>
      </c>
      <c r="P16" s="26">
        <f>IFERROR(MAX(0,1 - (SUMIFS('Motivos De Parada'!K:K,'Motivos De Parada'!G:G,Disponibilidade!G16,'Motivos De Parada'!H:H,Disponibilidade!H16,'Motivos De Parada'!O:O,Disponibilidade!O16,'Motivos De Parada'!E:E,Disponibilidade!C16,'Motivos De Parada'!D:D,Disponibilidade!E16) / 24)),"-")</f>
        <v>1</v>
      </c>
      <c r="Q16" s="24" cm="1">
        <f t="array" ref="Q16">IFERROR(INDEX('Metas DM &amp; DO'!$A:$AAD,MATCH(Disponibilidade!$G16,'Metas DM &amp; DO'!$A:$A,0),MATCH(Disponibilidade!$O16,'Metas DM &amp; DO'!$1:$1,0)+1),"-")</f>
        <v>0.11999999999999977</v>
      </c>
      <c r="R16" s="24" cm="1">
        <f t="array" ref="R16">IFERROR(INDEX('Metas DM &amp; DO'!$A:$AAD,MATCH(Disponibilidade!$G16,'Metas DM &amp; DO'!$A:$A,0),MATCH(Disponibilidade!$O16,'Metas DM &amp; DO'!$1:$1,0)+2),"-")</f>
        <v>0.2584269662921348</v>
      </c>
      <c r="S16" s="24" cm="1">
        <f t="array" ref="S16">IFERROR(INDEX('Metas DM &amp; DO'!$A:$AAD,MATCH(Disponibilidade!$G16,'Metas DM &amp; DO'!$A:$A,0),MATCH(Disponibilidade!$O16,'Metas DM &amp; DO'!$1:$1,0)+3),"-")</f>
        <v>0.58333333333333348</v>
      </c>
      <c r="T16" s="11" t="str">
        <f t="shared" si="41"/>
        <v>-</v>
      </c>
      <c r="U16" s="9" t="s">
        <v>59</v>
      </c>
      <c r="V16" s="16">
        <f>IFERROR(SUMIFS('Motivos De Parada'!K:K,'Motivos De Parada'!G:G,Disponibilidade!G16,'Motivos De Parada'!H:H,Disponibilidade!H16,'Motivos De Parada'!O:O,Disponibilidade!I16,'Motivos De Parada'!E:E,Disponibilidade!C16,'Motivos De Parada'!D:D,Disponibilidade!E16),"-")</f>
        <v>0</v>
      </c>
      <c r="W16" s="16">
        <f>IFERROR(SUMIFS('Motivos De Parada'!K:K,'Motivos De Parada'!G:G,Disponibilidade!G16,'Motivos De Parada'!H:H,Disponibilidade!H16,'Motivos De Parada'!O:O,Disponibilidade!O16,'Motivos De Parada'!E:E,Disponibilidade!C16,'Motivos De Parada'!D:D,Disponibilidade!E16),"-")</f>
        <v>0</v>
      </c>
      <c r="X16" s="16">
        <f t="shared" si="42"/>
        <v>0</v>
      </c>
      <c r="Y16" s="16">
        <f>IFERROR(SUMIFS('Motivos De Parada'!K:K,'Motivos De Parada'!G:G,Disponibilidade!G16,'Motivos De Parada'!H:H,Disponibilidade!H16,'Motivos De Parada'!E:E,Disponibilidade!C16,'Motivos De Parada'!D:D,Disponibilidade!E16),"-")</f>
        <v>0</v>
      </c>
      <c r="Z16" s="28" t="str">
        <f t="shared" si="53"/>
        <v>OK</v>
      </c>
      <c r="AA16" s="16">
        <f t="shared" si="43"/>
        <v>0</v>
      </c>
      <c r="AB16" s="16">
        <f>IFERROR(SUMIFS('Motivos De Parada'!K:K,'Motivos De Parada'!G:G,Disponibilidade!G16,'Motivos De Parada'!H:H,Disponibilidade!H16,'Motivos De Parada'!E:E,Disponibilidade!C16,'Motivos De Parada'!D:D,Disponibilidade!E16,'Motivos De Parada'!M:M,"REFEIÇÃO"),"-")</f>
        <v>0</v>
      </c>
      <c r="AC16" s="16">
        <f t="shared" si="44"/>
        <v>0</v>
      </c>
      <c r="AD16" s="28" t="str">
        <f t="shared" si="54"/>
        <v>OK</v>
      </c>
      <c r="AE16" s="16" cm="1">
        <f t="array" ref="AE16">IFERROR(SUM(SUMIFS('Motivos De Parada'!K:K,'Motivos De Parada'!G:G,Disponibilidade!G16,'Motivos De Parada'!H:H,Disponibilidade!H16,'Motivos De Parada'!E:E,Disponibilidade!C16,'Motivos De Parada'!D:D,Disponibilidade!E16,'Motivos De Parada'!O:O,{"DISPONIBILIDADE MECÂNICA";"DISPONIBILIDADE OPERACIONAL"},'Motivos De Parada'!P:P,"NÃO")),"-")</f>
        <v>0</v>
      </c>
      <c r="AF16" s="16" cm="1">
        <f t="array" ref="AF16">IFERROR(SUM(SUMIFS('Motivos De Parada'!K:K,'Motivos De Parada'!G:G,Disponibilidade!G16,'Motivos De Parada'!H:H,Disponibilidade!H16,'Motivos De Parada'!E:E,Disponibilidade!C16,'Motivos De Parada'!D:D,Disponibilidade!E16,'Motivos De Parada'!O:O,{"DISPONIBILIDADE MECÂNICA";"DISPONIBILIDADE OPERACIONAL"},'Motivos De Parada'!P:P,"SIM")),"-")</f>
        <v>0</v>
      </c>
      <c r="AG16" s="16">
        <f t="shared" si="45"/>
        <v>0</v>
      </c>
      <c r="AH16" s="28" t="str">
        <f t="shared" si="55"/>
        <v>OK</v>
      </c>
      <c r="AI16" s="16" cm="1">
        <f t="array" ref="AI16">IFERROR(INDEX('Metas DM &amp; DO'!$A:$AAD,MATCH(Disponibilidade!$G16,'Metas DM &amp; DO'!$A:$A,0),MATCH(Disponibilidade!$U16,'Metas DM &amp; DO'!$1:$1,0)+2),"-")</f>
        <v>5.2800000000000011</v>
      </c>
      <c r="AJ16" s="16" cm="1">
        <f t="array" ref="AJ16">IFERROR(INDEX('Metas DM &amp; DO'!$A:$AAD,MATCH(Disponibilidade!$G16,'Metas DM &amp; DO'!$A:$A,0),MATCH(Disponibilidade!$U16,'Metas DM &amp; DO'!$1:$1,0)+3),"-")</f>
        <v>4.4494382022471912</v>
      </c>
      <c r="AK16" s="16" cm="1">
        <f t="array" ref="AK16">IFERROR(INDEX('Metas DM &amp; DO'!$A:$AAD,MATCH(Disponibilidade!$G16,'Metas DM &amp; DO'!$A:$A,0),MATCH(Disponibilidade!$U16,'Metas DM &amp; DO'!$1:$1,0)+4),"-")</f>
        <v>9</v>
      </c>
      <c r="AL16" s="11" t="str">
        <f t="shared" si="46"/>
        <v>EXCELENTE</v>
      </c>
    </row>
    <row r="17" spans="1:38" x14ac:dyDescent="0.3">
      <c r="A17" s="11">
        <f t="shared" si="47"/>
        <v>2026</v>
      </c>
      <c r="B17" s="12">
        <f t="shared" si="48"/>
        <v>46023</v>
      </c>
      <c r="C17" s="19">
        <v>46024</v>
      </c>
      <c r="D17" s="3" t="s">
        <v>122</v>
      </c>
      <c r="E17" s="11" t="s">
        <v>81</v>
      </c>
      <c r="F17" s="11" t="str" cm="1">
        <f t="array" ref="F17">IFERROR(INDEX('Motivos De Parada'!C:C,MATCH(1,('Motivos De Parada'!E:E=Disponibilidade!C17)*('Motivos De Parada'!G:G=Disponibilidade!G17)*('Motivos De Parada'!D:D=Disponibilidade!E17),0)),"-")</f>
        <v>-</v>
      </c>
      <c r="G17" s="11" t="str">
        <f>IFERROR(VLOOKUP(D17,Cadastros!A:B,2,FALSE),"-")</f>
        <v>FELLER BUNCHER 2</v>
      </c>
      <c r="H17" s="11" t="str">
        <f>IFERROR(VLOOKUP(G17,Cadastros!B:D,3,FALSE),"-")</f>
        <v>CORTE</v>
      </c>
      <c r="I17" s="9" t="s">
        <v>20</v>
      </c>
      <c r="J17" s="26">
        <f>IFERROR(MAX(0,1 - (SUMIFS('Motivos De Parada'!K:K,'Motivos De Parada'!G:G,Disponibilidade!G17,'Motivos De Parada'!H:H,Disponibilidade!H17,'Motivos De Parada'!O:O,Disponibilidade!I17,'Motivos De Parada'!E:E,Disponibilidade!C17,'Motivos De Parada'!D:D,Disponibilidade!E17) / 24)),"-")</f>
        <v>1</v>
      </c>
      <c r="K17" s="24" cm="1">
        <f t="array" ref="K17">IFERROR(INDEX('Metas DM &amp; DO'!$A:$AAD,MATCH(Disponibilidade!$G17,'Metas DM &amp; DO'!$A:$A,0),MATCH(Disponibilidade!$I17,'Metas DM &amp; DO'!$1:$1,0)+1),"-")</f>
        <v>1</v>
      </c>
      <c r="L17" s="24" cm="1">
        <f t="array" ref="L17">IFERROR(INDEX('Metas DM &amp; DO'!$A:$AAD,MATCH(Disponibilidade!$G17,'Metas DM &amp; DO'!$A:$A,0),MATCH(Disponibilidade!$I17,'Metas DM &amp; DO'!$1:$1,0)+2),"-")</f>
        <v>1</v>
      </c>
      <c r="M17" s="24" t="str" cm="1">
        <f t="array" ref="M17">IFERROR(INDEX('Metas DM &amp; DO'!$A:$AAD,MATCH(Disponibilidade!$G17,'Metas DM &amp; DO'!$A:$A,0),MATCH(Disponibilidade!$I17,'Metas DM &amp; DO'!$1:$1,0)+3),"-")</f>
        <v>-</v>
      </c>
      <c r="N17" s="11" t="str">
        <f>IFERROR(IF(J17&lt;K17,"RUIM",IF(AND(J17&gt;=K17,J17&lt;L17),"MEDIA",IF(AND(J17&gt;=L17,J17&lt;M17),"BOA","-"))),"-")</f>
        <v>BOA</v>
      </c>
      <c r="O17" s="9" t="s">
        <v>19</v>
      </c>
      <c r="P17" s="26">
        <f>IFERROR(MAX(0,1 - (SUMIFS('Motivos De Parada'!K:K,'Motivos De Parada'!G:G,Disponibilidade!G17,'Motivos De Parada'!H:H,Disponibilidade!H17,'Motivos De Parada'!O:O,Disponibilidade!O17,'Motivos De Parada'!E:E,Disponibilidade!C17,'Motivos De Parada'!D:D,Disponibilidade!E17) / 24)),"-")</f>
        <v>1</v>
      </c>
      <c r="Q17" s="24" cm="1">
        <f t="array" ref="Q17">IFERROR(INDEX('Metas DM &amp; DO'!$A:$AAD,MATCH(Disponibilidade!$G17,'Metas DM &amp; DO'!$A:$A,0),MATCH(Disponibilidade!$O17,'Metas DM &amp; DO'!$1:$1,0)+1),"-")</f>
        <v>0.11999999999999977</v>
      </c>
      <c r="R17" s="24" cm="1">
        <f t="array" ref="R17">IFERROR(INDEX('Metas DM &amp; DO'!$A:$AAD,MATCH(Disponibilidade!$G17,'Metas DM &amp; DO'!$A:$A,0),MATCH(Disponibilidade!$O17,'Metas DM &amp; DO'!$1:$1,0)+2),"-")</f>
        <v>0.2584269662921348</v>
      </c>
      <c r="S17" s="24" cm="1">
        <f t="array" ref="S17">IFERROR(INDEX('Metas DM &amp; DO'!$A:$AAD,MATCH(Disponibilidade!$G17,'Metas DM &amp; DO'!$A:$A,0),MATCH(Disponibilidade!$O17,'Metas DM &amp; DO'!$1:$1,0)+3),"-")</f>
        <v>0.58333333333333348</v>
      </c>
      <c r="T17" s="11" t="str">
        <f t="shared" si="41"/>
        <v>-</v>
      </c>
      <c r="U17" s="9" t="s">
        <v>59</v>
      </c>
      <c r="V17" s="16">
        <f>IFERROR(SUMIFS('Motivos De Parada'!K:K,'Motivos De Parada'!G:G,Disponibilidade!G17,'Motivos De Parada'!H:H,Disponibilidade!H17,'Motivos De Parada'!O:O,Disponibilidade!I17,'Motivos De Parada'!E:E,Disponibilidade!C17,'Motivos De Parada'!D:D,Disponibilidade!E17),"-")</f>
        <v>0</v>
      </c>
      <c r="W17" s="16">
        <f>IFERROR(SUMIFS('Motivos De Parada'!K:K,'Motivos De Parada'!G:G,Disponibilidade!G17,'Motivos De Parada'!H:H,Disponibilidade!H17,'Motivos De Parada'!O:O,Disponibilidade!O17,'Motivos De Parada'!E:E,Disponibilidade!C17,'Motivos De Parada'!D:D,Disponibilidade!E17),"-")</f>
        <v>0</v>
      </c>
      <c r="X17" s="16">
        <f t="shared" si="42"/>
        <v>0</v>
      </c>
      <c r="Y17" s="16">
        <f>IFERROR(SUMIFS('Motivos De Parada'!K:K,'Motivos De Parada'!G:G,Disponibilidade!G17,'Motivos De Parada'!H:H,Disponibilidade!H17,'Motivos De Parada'!E:E,Disponibilidade!C17,'Motivos De Parada'!D:D,Disponibilidade!E17),"-")</f>
        <v>0</v>
      </c>
      <c r="Z17" s="28" t="str">
        <f t="shared" si="53"/>
        <v>OK</v>
      </c>
      <c r="AA17" s="16">
        <f t="shared" si="43"/>
        <v>0</v>
      </c>
      <c r="AB17" s="16">
        <f>IFERROR(SUMIFS('Motivos De Parada'!K:K,'Motivos De Parada'!G:G,Disponibilidade!G17,'Motivos De Parada'!H:H,Disponibilidade!H17,'Motivos De Parada'!E:E,Disponibilidade!C17,'Motivos De Parada'!D:D,Disponibilidade!E17,'Motivos De Parada'!M:M,"REFEIÇÃO"),"-")</f>
        <v>0</v>
      </c>
      <c r="AC17" s="16">
        <f t="shared" si="44"/>
        <v>0</v>
      </c>
      <c r="AD17" s="28" t="str">
        <f t="shared" si="54"/>
        <v>OK</v>
      </c>
      <c r="AE17" s="16" cm="1">
        <f t="array" ref="AE17">IFERROR(SUM(SUMIFS('Motivos De Parada'!K:K,'Motivos De Parada'!G:G,Disponibilidade!G17,'Motivos De Parada'!H:H,Disponibilidade!H17,'Motivos De Parada'!E:E,Disponibilidade!C17,'Motivos De Parada'!D:D,Disponibilidade!E17,'Motivos De Parada'!O:O,{"DISPONIBILIDADE MECÂNICA";"DISPONIBILIDADE OPERACIONAL"},'Motivos De Parada'!P:P,"NÃO")),"-")</f>
        <v>0</v>
      </c>
      <c r="AF17" s="16" cm="1">
        <f t="array" ref="AF17">IFERROR(SUM(SUMIFS('Motivos De Parada'!K:K,'Motivos De Parada'!G:G,Disponibilidade!G17,'Motivos De Parada'!H:H,Disponibilidade!H17,'Motivos De Parada'!E:E,Disponibilidade!C17,'Motivos De Parada'!D:D,Disponibilidade!E17,'Motivos De Parada'!O:O,{"DISPONIBILIDADE MECÂNICA";"DISPONIBILIDADE OPERACIONAL"},'Motivos De Parada'!P:P,"SIM")),"-")</f>
        <v>0</v>
      </c>
      <c r="AG17" s="16">
        <f t="shared" si="45"/>
        <v>0</v>
      </c>
      <c r="AH17" s="28" t="str">
        <f t="shared" si="55"/>
        <v>OK</v>
      </c>
      <c r="AI17" s="16" cm="1">
        <f t="array" ref="AI17">IFERROR(INDEX('Metas DM &amp; DO'!$A:$AAD,MATCH(Disponibilidade!$G17,'Metas DM &amp; DO'!$A:$A,0),MATCH(Disponibilidade!$U17,'Metas DM &amp; DO'!$1:$1,0)+2),"-")</f>
        <v>5.2800000000000011</v>
      </c>
      <c r="AJ17" s="16" cm="1">
        <f t="array" ref="AJ17">IFERROR(INDEX('Metas DM &amp; DO'!$A:$AAD,MATCH(Disponibilidade!$G17,'Metas DM &amp; DO'!$A:$A,0),MATCH(Disponibilidade!$U17,'Metas DM &amp; DO'!$1:$1,0)+3),"-")</f>
        <v>4.4494382022471912</v>
      </c>
      <c r="AK17" s="16" cm="1">
        <f t="array" ref="AK17">IFERROR(INDEX('Metas DM &amp; DO'!$A:$AAD,MATCH(Disponibilidade!$G17,'Metas DM &amp; DO'!$A:$A,0),MATCH(Disponibilidade!$U17,'Metas DM &amp; DO'!$1:$1,0)+4),"-")</f>
        <v>9</v>
      </c>
      <c r="AL17" s="11" t="str">
        <f t="shared" si="46"/>
        <v>EXCELENTE</v>
      </c>
    </row>
    <row r="18" spans="1:38" x14ac:dyDescent="0.3">
      <c r="A18" s="11">
        <f t="shared" si="47"/>
        <v>2026</v>
      </c>
      <c r="B18" s="12">
        <f t="shared" si="48"/>
        <v>46023</v>
      </c>
      <c r="C18" s="19">
        <v>46024</v>
      </c>
      <c r="D18" s="3" t="s">
        <v>124</v>
      </c>
      <c r="E18" s="11" t="s">
        <v>80</v>
      </c>
      <c r="F18" s="11" t="str" cm="1">
        <f t="array" ref="F18">IFERROR(INDEX('Motivos De Parada'!C:C,MATCH(1,('Motivos De Parada'!E:E=Disponibilidade!C18)*('Motivos De Parada'!G:G=Disponibilidade!G18)*('Motivos De Parada'!D:D=Disponibilidade!E18),0)),"-")</f>
        <v>-</v>
      </c>
      <c r="G18" s="11" t="str">
        <f>IFERROR(VLOOKUP(D18,Cadastros!A:B,2,FALSE),"-")</f>
        <v>SKIDDER 1</v>
      </c>
      <c r="H18" s="11" t="str">
        <f>IFERROR(VLOOKUP(G18,Cadastros!B:D,3,FALSE),"-")</f>
        <v>ARRASTE</v>
      </c>
      <c r="I18" s="9" t="s">
        <v>20</v>
      </c>
      <c r="J18" s="26">
        <f>IFERROR(MAX(0,1 - (SUMIFS('Motivos De Parada'!K:K,'Motivos De Parada'!G:G,Disponibilidade!G18,'Motivos De Parada'!H:H,Disponibilidade!H18,'Motivos De Parada'!O:O,Disponibilidade!I18,'Motivos De Parada'!E:E,Disponibilidade!C18,'Motivos De Parada'!D:D,Disponibilidade!E18) / 24)),"-")</f>
        <v>1</v>
      </c>
      <c r="K18" s="24" t="str" cm="1">
        <f t="array" ref="K18">IFERROR(INDEX('Metas DM &amp; DO'!$A:$AAD,MATCH(Disponibilidade!$G18,'Metas DM &amp; DO'!$A:$A,0),MATCH(Disponibilidade!$I18,'Metas DM &amp; DO'!$1:$1,0)+1),"-")</f>
        <v>-</v>
      </c>
      <c r="L18" s="24" t="str" cm="1">
        <f t="array" ref="L18">IFERROR(INDEX('Metas DM &amp; DO'!$A:$AAD,MATCH(Disponibilidade!$G18,'Metas DM &amp; DO'!$A:$A,0),MATCH(Disponibilidade!$I18,'Metas DM &amp; DO'!$1:$1,0)+2),"-")</f>
        <v>-</v>
      </c>
      <c r="M18" s="24" t="str" cm="1">
        <f t="array" ref="M18">IFERROR(INDEX('Metas DM &amp; DO'!$A:$AAD,MATCH(Disponibilidade!$G18,'Metas DM &amp; DO'!$A:$A,0),MATCH(Disponibilidade!$I18,'Metas DM &amp; DO'!$1:$1,0)+3),"-")</f>
        <v>-</v>
      </c>
      <c r="N18" s="11" t="str">
        <f t="shared" ref="N18:N24" si="56">IFERROR(IF(J18&lt;K18,"RUIM",IF(AND(J18&gt;=K18,J18&lt;L18),"MEDIA",IF(AND(J18&gt;=L18,J18&lt;M18),"BOA","-"))),"-")</f>
        <v>RUIM</v>
      </c>
      <c r="O18" s="9" t="s">
        <v>19</v>
      </c>
      <c r="P18" s="26">
        <f>IFERROR(MAX(0,1 - (SUMIFS('Motivos De Parada'!K:K,'Motivos De Parada'!G:G,Disponibilidade!G18,'Motivos De Parada'!H:H,Disponibilidade!H18,'Motivos De Parada'!O:O,Disponibilidade!O18,'Motivos De Parada'!E:E,Disponibilidade!C18,'Motivos De Parada'!D:D,Disponibilidade!E18) / 24)),"-")</f>
        <v>1</v>
      </c>
      <c r="Q18" s="24" t="str" cm="1">
        <f t="array" ref="Q18">IFERROR(INDEX('Metas DM &amp; DO'!$A:$AAD,MATCH(Disponibilidade!$G18,'Metas DM &amp; DO'!$A:$A,0),MATCH(Disponibilidade!$O18,'Metas DM &amp; DO'!$1:$1,0)+1),"-")</f>
        <v>-</v>
      </c>
      <c r="R18" s="24" t="str" cm="1">
        <f t="array" ref="R18">IFERROR(INDEX('Metas DM &amp; DO'!$A:$AAD,MATCH(Disponibilidade!$G18,'Metas DM &amp; DO'!$A:$A,0),MATCH(Disponibilidade!$O18,'Metas DM &amp; DO'!$1:$1,0)+2),"-")</f>
        <v>-</v>
      </c>
      <c r="S18" s="24" t="str" cm="1">
        <f t="array" ref="S18">IFERROR(INDEX('Metas DM &amp; DO'!$A:$AAD,MATCH(Disponibilidade!$G18,'Metas DM &amp; DO'!$A:$A,0),MATCH(Disponibilidade!$O18,'Metas DM &amp; DO'!$1:$1,0)+3),"-")</f>
        <v>-</v>
      </c>
      <c r="T18" s="11" t="str">
        <f t="shared" si="41"/>
        <v>RUIM</v>
      </c>
      <c r="U18" s="9" t="s">
        <v>59</v>
      </c>
      <c r="V18" s="16">
        <f>IFERROR(SUMIFS('Motivos De Parada'!K:K,'Motivos De Parada'!G:G,Disponibilidade!G18,'Motivos De Parada'!H:H,Disponibilidade!H18,'Motivos De Parada'!O:O,Disponibilidade!I18,'Motivos De Parada'!E:E,Disponibilidade!C18,'Motivos De Parada'!D:D,Disponibilidade!E18),"-")</f>
        <v>0</v>
      </c>
      <c r="W18" s="16">
        <f>IFERROR(SUMIFS('Motivos De Parada'!K:K,'Motivos De Parada'!G:G,Disponibilidade!G18,'Motivos De Parada'!H:H,Disponibilidade!H18,'Motivos De Parada'!O:O,Disponibilidade!O18,'Motivos De Parada'!E:E,Disponibilidade!C18,'Motivos De Parada'!D:D,Disponibilidade!E18),"-")</f>
        <v>0</v>
      </c>
      <c r="X18" s="16">
        <f t="shared" si="42"/>
        <v>0</v>
      </c>
      <c r="Y18" s="16">
        <f>IFERROR(SUMIFS('Motivos De Parada'!K:K,'Motivos De Parada'!G:G,Disponibilidade!G18,'Motivos De Parada'!H:H,Disponibilidade!H18,'Motivos De Parada'!E:E,Disponibilidade!C18,'Motivos De Parada'!D:D,Disponibilidade!E18),"-")</f>
        <v>0</v>
      </c>
      <c r="Z18" s="28" t="str">
        <f t="shared" si="53"/>
        <v>OK</v>
      </c>
      <c r="AA18" s="16">
        <f t="shared" si="43"/>
        <v>0</v>
      </c>
      <c r="AB18" s="16">
        <f>IFERROR(SUMIFS('Motivos De Parada'!K:K,'Motivos De Parada'!G:G,Disponibilidade!G18,'Motivos De Parada'!H:H,Disponibilidade!H18,'Motivos De Parada'!E:E,Disponibilidade!C18,'Motivos De Parada'!D:D,Disponibilidade!E18,'Motivos De Parada'!M:M,"REFEIÇÃO"),"-")</f>
        <v>0</v>
      </c>
      <c r="AC18" s="16">
        <f t="shared" si="44"/>
        <v>0</v>
      </c>
      <c r="AD18" s="28" t="str">
        <f t="shared" si="54"/>
        <v>OK</v>
      </c>
      <c r="AE18" s="16" cm="1">
        <f t="array" ref="AE18">IFERROR(SUM(SUMIFS('Motivos De Parada'!K:K,'Motivos De Parada'!G:G,Disponibilidade!G18,'Motivos De Parada'!H:H,Disponibilidade!H18,'Motivos De Parada'!E:E,Disponibilidade!C18,'Motivos De Parada'!D:D,Disponibilidade!E18,'Motivos De Parada'!O:O,{"DISPONIBILIDADE MECÂNICA";"DISPONIBILIDADE OPERACIONAL"},'Motivos De Parada'!P:P,"NÃO")),"-")</f>
        <v>0</v>
      </c>
      <c r="AF18" s="16" cm="1">
        <f t="array" ref="AF18">IFERROR(SUM(SUMIFS('Motivos De Parada'!K:K,'Motivos De Parada'!G:G,Disponibilidade!G18,'Motivos De Parada'!H:H,Disponibilidade!H18,'Motivos De Parada'!E:E,Disponibilidade!C18,'Motivos De Parada'!D:D,Disponibilidade!E18,'Motivos De Parada'!O:O,{"DISPONIBILIDADE MECÂNICA";"DISPONIBILIDADE OPERACIONAL"},'Motivos De Parada'!P:P,"SIM")),"-")</f>
        <v>0</v>
      </c>
      <c r="AG18" s="16">
        <f t="shared" si="45"/>
        <v>0</v>
      </c>
      <c r="AH18" s="28" t="str">
        <f t="shared" si="55"/>
        <v>OK</v>
      </c>
      <c r="AI18" s="16" t="str" cm="1">
        <f t="array" ref="AI18">IFERROR(INDEX('Metas DM &amp; DO'!$A:$AAD,MATCH(Disponibilidade!$G18,'Metas DM &amp; DO'!$A:$A,0),MATCH(Disponibilidade!$U18,'Metas DM &amp; DO'!$1:$1,0)+2),"-")</f>
        <v>-</v>
      </c>
      <c r="AJ18" s="16" t="str" cm="1">
        <f t="array" ref="AJ18">IFERROR(INDEX('Metas DM &amp; DO'!$A:$AAD,MATCH(Disponibilidade!$G18,'Metas DM &amp; DO'!$A:$A,0),MATCH(Disponibilidade!$U18,'Metas DM &amp; DO'!$1:$1,0)+3),"-")</f>
        <v>-</v>
      </c>
      <c r="AK18" s="16" t="str" cm="1">
        <f t="array" ref="AK18">IFERROR(INDEX('Metas DM &amp; DO'!$A:$AAD,MATCH(Disponibilidade!$G18,'Metas DM &amp; DO'!$A:$A,0),MATCH(Disponibilidade!$U18,'Metas DM &amp; DO'!$1:$1,0)+4),"-")</f>
        <v>-</v>
      </c>
      <c r="AL18" s="11" t="str">
        <f t="shared" si="46"/>
        <v>EXCELENTE</v>
      </c>
    </row>
    <row r="19" spans="1:38" x14ac:dyDescent="0.3">
      <c r="A19" s="11">
        <f t="shared" si="47"/>
        <v>2026</v>
      </c>
      <c r="B19" s="12">
        <f t="shared" si="48"/>
        <v>46023</v>
      </c>
      <c r="C19" s="19">
        <v>46024</v>
      </c>
      <c r="D19" s="3" t="s">
        <v>124</v>
      </c>
      <c r="E19" s="11" t="s">
        <v>81</v>
      </c>
      <c r="F19" s="11" t="str" cm="1">
        <f t="array" ref="F19">IFERROR(INDEX('Motivos De Parada'!C:C,MATCH(1,('Motivos De Parada'!E:E=Disponibilidade!C19)*('Motivos De Parada'!G:G=Disponibilidade!G19)*('Motivos De Parada'!D:D=Disponibilidade!E19),0)),"-")</f>
        <v>-</v>
      </c>
      <c r="G19" s="11" t="str">
        <f>IFERROR(VLOOKUP(D19,Cadastros!A:B,2,FALSE),"-")</f>
        <v>SKIDDER 1</v>
      </c>
      <c r="H19" s="11" t="str">
        <f>IFERROR(VLOOKUP(G19,Cadastros!B:D,3,FALSE),"-")</f>
        <v>ARRASTE</v>
      </c>
      <c r="I19" s="9" t="s">
        <v>20</v>
      </c>
      <c r="J19" s="26">
        <f>IFERROR(MAX(0,1 - (SUMIFS('Motivos De Parada'!K:K,'Motivos De Parada'!G:G,Disponibilidade!G19,'Motivos De Parada'!H:H,Disponibilidade!H19,'Motivos De Parada'!O:O,Disponibilidade!I19,'Motivos De Parada'!E:E,Disponibilidade!C19,'Motivos De Parada'!D:D,Disponibilidade!E19) / 24)),"-")</f>
        <v>1</v>
      </c>
      <c r="K19" s="24" t="str" cm="1">
        <f t="array" ref="K19">IFERROR(INDEX('Metas DM &amp; DO'!$A:$AAD,MATCH(Disponibilidade!$G19,'Metas DM &amp; DO'!$A:$A,0),MATCH(Disponibilidade!$I19,'Metas DM &amp; DO'!$1:$1,0)+1),"-")</f>
        <v>-</v>
      </c>
      <c r="L19" s="24" t="str" cm="1">
        <f t="array" ref="L19">IFERROR(INDEX('Metas DM &amp; DO'!$A:$AAD,MATCH(Disponibilidade!$G19,'Metas DM &amp; DO'!$A:$A,0),MATCH(Disponibilidade!$I19,'Metas DM &amp; DO'!$1:$1,0)+2),"-")</f>
        <v>-</v>
      </c>
      <c r="M19" s="24" t="str" cm="1">
        <f t="array" ref="M19">IFERROR(INDEX('Metas DM &amp; DO'!$A:$AAD,MATCH(Disponibilidade!$G19,'Metas DM &amp; DO'!$A:$A,0),MATCH(Disponibilidade!$I19,'Metas DM &amp; DO'!$1:$1,0)+3),"-")</f>
        <v>-</v>
      </c>
      <c r="N19" s="11" t="str">
        <f t="shared" si="56"/>
        <v>RUIM</v>
      </c>
      <c r="O19" s="9" t="s">
        <v>19</v>
      </c>
      <c r="P19" s="26">
        <f>IFERROR(MAX(0,1 - (SUMIFS('Motivos De Parada'!K:K,'Motivos De Parada'!G:G,Disponibilidade!G19,'Motivos De Parada'!H:H,Disponibilidade!H19,'Motivos De Parada'!O:O,Disponibilidade!O19,'Motivos De Parada'!E:E,Disponibilidade!C19,'Motivos De Parada'!D:D,Disponibilidade!E19) / 24)),"-")</f>
        <v>1</v>
      </c>
      <c r="Q19" s="24" t="str" cm="1">
        <f t="array" ref="Q19">IFERROR(INDEX('Metas DM &amp; DO'!$A:$AAD,MATCH(Disponibilidade!$G19,'Metas DM &amp; DO'!$A:$A,0),MATCH(Disponibilidade!$O19,'Metas DM &amp; DO'!$1:$1,0)+1),"-")</f>
        <v>-</v>
      </c>
      <c r="R19" s="24" t="str" cm="1">
        <f t="array" ref="R19">IFERROR(INDEX('Metas DM &amp; DO'!$A:$AAD,MATCH(Disponibilidade!$G19,'Metas DM &amp; DO'!$A:$A,0),MATCH(Disponibilidade!$O19,'Metas DM &amp; DO'!$1:$1,0)+2),"-")</f>
        <v>-</v>
      </c>
      <c r="S19" s="24" t="str" cm="1">
        <f t="array" ref="S19">IFERROR(INDEX('Metas DM &amp; DO'!$A:$AAD,MATCH(Disponibilidade!$G19,'Metas DM &amp; DO'!$A:$A,0),MATCH(Disponibilidade!$O19,'Metas DM &amp; DO'!$1:$1,0)+3),"-")</f>
        <v>-</v>
      </c>
      <c r="T19" s="11" t="str">
        <f t="shared" si="41"/>
        <v>RUIM</v>
      </c>
      <c r="U19" s="9" t="s">
        <v>59</v>
      </c>
      <c r="V19" s="16">
        <f>IFERROR(SUMIFS('Motivos De Parada'!K:K,'Motivos De Parada'!G:G,Disponibilidade!G19,'Motivos De Parada'!H:H,Disponibilidade!H19,'Motivos De Parada'!O:O,Disponibilidade!I19,'Motivos De Parada'!E:E,Disponibilidade!C19,'Motivos De Parada'!D:D,Disponibilidade!E19),"-")</f>
        <v>0</v>
      </c>
      <c r="W19" s="16">
        <f>IFERROR(SUMIFS('Motivos De Parada'!K:K,'Motivos De Parada'!G:G,Disponibilidade!G19,'Motivos De Parada'!H:H,Disponibilidade!H19,'Motivos De Parada'!O:O,Disponibilidade!O19,'Motivos De Parada'!E:E,Disponibilidade!C19,'Motivos De Parada'!D:D,Disponibilidade!E19),"-")</f>
        <v>0</v>
      </c>
      <c r="X19" s="16">
        <f t="shared" si="42"/>
        <v>0</v>
      </c>
      <c r="Y19" s="16">
        <f>IFERROR(SUMIFS('Motivos De Parada'!K:K,'Motivos De Parada'!G:G,Disponibilidade!G19,'Motivos De Parada'!H:H,Disponibilidade!H19,'Motivos De Parada'!E:E,Disponibilidade!C19,'Motivos De Parada'!D:D,Disponibilidade!E19),"-")</f>
        <v>0</v>
      </c>
      <c r="Z19" s="28" t="str">
        <f t="shared" si="53"/>
        <v>OK</v>
      </c>
      <c r="AA19" s="16">
        <f t="shared" si="43"/>
        <v>0</v>
      </c>
      <c r="AB19" s="16">
        <f>IFERROR(SUMIFS('Motivos De Parada'!K:K,'Motivos De Parada'!G:G,Disponibilidade!G19,'Motivos De Parada'!H:H,Disponibilidade!H19,'Motivos De Parada'!E:E,Disponibilidade!C19,'Motivos De Parada'!D:D,Disponibilidade!E19,'Motivos De Parada'!M:M,"REFEIÇÃO"),"-")</f>
        <v>0</v>
      </c>
      <c r="AC19" s="16">
        <f t="shared" si="44"/>
        <v>0</v>
      </c>
      <c r="AD19" s="28" t="str">
        <f t="shared" si="54"/>
        <v>OK</v>
      </c>
      <c r="AE19" s="16" cm="1">
        <f t="array" ref="AE19">IFERROR(SUM(SUMIFS('Motivos De Parada'!K:K,'Motivos De Parada'!G:G,Disponibilidade!G19,'Motivos De Parada'!H:H,Disponibilidade!H19,'Motivos De Parada'!E:E,Disponibilidade!C19,'Motivos De Parada'!D:D,Disponibilidade!E19,'Motivos De Parada'!O:O,{"DISPONIBILIDADE MECÂNICA";"DISPONIBILIDADE OPERACIONAL"},'Motivos De Parada'!P:P,"NÃO")),"-")</f>
        <v>0</v>
      </c>
      <c r="AF19" s="16" cm="1">
        <f t="array" ref="AF19">IFERROR(SUM(SUMIFS('Motivos De Parada'!K:K,'Motivos De Parada'!G:G,Disponibilidade!G19,'Motivos De Parada'!H:H,Disponibilidade!H19,'Motivos De Parada'!E:E,Disponibilidade!C19,'Motivos De Parada'!D:D,Disponibilidade!E19,'Motivos De Parada'!O:O,{"DISPONIBILIDADE MECÂNICA";"DISPONIBILIDADE OPERACIONAL"},'Motivos De Parada'!P:P,"SIM")),"-")</f>
        <v>0</v>
      </c>
      <c r="AG19" s="16">
        <f t="shared" si="45"/>
        <v>0</v>
      </c>
      <c r="AH19" s="28" t="str">
        <f t="shared" si="55"/>
        <v>OK</v>
      </c>
      <c r="AI19" s="16" t="str" cm="1">
        <f t="array" ref="AI19">IFERROR(INDEX('Metas DM &amp; DO'!$A:$AAD,MATCH(Disponibilidade!$G19,'Metas DM &amp; DO'!$A:$A,0),MATCH(Disponibilidade!$U19,'Metas DM &amp; DO'!$1:$1,0)+2),"-")</f>
        <v>-</v>
      </c>
      <c r="AJ19" s="16" t="str" cm="1">
        <f t="array" ref="AJ19">IFERROR(INDEX('Metas DM &amp; DO'!$A:$AAD,MATCH(Disponibilidade!$G19,'Metas DM &amp; DO'!$A:$A,0),MATCH(Disponibilidade!$U19,'Metas DM &amp; DO'!$1:$1,0)+3),"-")</f>
        <v>-</v>
      </c>
      <c r="AK19" s="16" t="str" cm="1">
        <f t="array" ref="AK19">IFERROR(INDEX('Metas DM &amp; DO'!$A:$AAD,MATCH(Disponibilidade!$G19,'Metas DM &amp; DO'!$A:$A,0),MATCH(Disponibilidade!$U19,'Metas DM &amp; DO'!$1:$1,0)+4),"-")</f>
        <v>-</v>
      </c>
      <c r="AL19" s="11" t="str">
        <f t="shared" si="46"/>
        <v>EXCELENTE</v>
      </c>
    </row>
    <row r="20" spans="1:38" x14ac:dyDescent="0.3">
      <c r="A20" s="11">
        <f t="shared" si="47"/>
        <v>2026</v>
      </c>
      <c r="B20" s="12">
        <f t="shared" si="48"/>
        <v>46023</v>
      </c>
      <c r="C20" s="19">
        <v>46024</v>
      </c>
      <c r="D20" s="3" t="s">
        <v>126</v>
      </c>
      <c r="E20" s="11" t="s">
        <v>80</v>
      </c>
      <c r="F20" s="11" t="str" cm="1">
        <f t="array" ref="F20">IFERROR(INDEX('Motivos De Parada'!C:C,MATCH(1,('Motivos De Parada'!E:E=Disponibilidade!C20)*('Motivos De Parada'!G:G=Disponibilidade!G20)*('Motivos De Parada'!D:D=Disponibilidade!E20),0)),"-")</f>
        <v>OPERADOR 3</v>
      </c>
      <c r="G20" s="11" t="str">
        <f>IFERROR(VLOOKUP(D20,Cadastros!A:B,2,FALSE),"-")</f>
        <v>SKIDDER 2</v>
      </c>
      <c r="H20" s="11" t="str">
        <f>IFERROR(VLOOKUP(G20,Cadastros!B:D,3,FALSE),"-")</f>
        <v>ARRASTE</v>
      </c>
      <c r="I20" s="9" t="s">
        <v>20</v>
      </c>
      <c r="J20" s="26">
        <f>IFERROR(MAX(0,1 - (SUMIFS('Motivos De Parada'!K:K,'Motivos De Parada'!G:G,Disponibilidade!G20,'Motivos De Parada'!H:H,Disponibilidade!H20,'Motivos De Parada'!O:O,Disponibilidade!I20,'Motivos De Parada'!E:E,Disponibilidade!C20,'Motivos De Parada'!D:D,Disponibilidade!E20) / 24)),"-")</f>
        <v>0.5</v>
      </c>
      <c r="K20" s="24" cm="1">
        <f t="array" ref="K20">IFERROR(INDEX('Metas DM &amp; DO'!$A:$AAD,MATCH(Disponibilidade!$G20,'Metas DM &amp; DO'!$A:$A,0),MATCH(Disponibilidade!$I20,'Metas DM &amp; DO'!$1:$1,0)+1),"-")</f>
        <v>0.5</v>
      </c>
      <c r="L20" s="24" cm="1">
        <f t="array" ref="L20">IFERROR(INDEX('Metas DM &amp; DO'!$A:$AAD,MATCH(Disponibilidade!$G20,'Metas DM &amp; DO'!$A:$A,0),MATCH(Disponibilidade!$I20,'Metas DM &amp; DO'!$1:$1,0)+2),"-")</f>
        <v>0.5</v>
      </c>
      <c r="M20" s="24" cm="1">
        <f t="array" ref="M20">IFERROR(INDEX('Metas DM &amp; DO'!$A:$AAD,MATCH(Disponibilidade!$G20,'Metas DM &amp; DO'!$A:$A,0),MATCH(Disponibilidade!$I20,'Metas DM &amp; DO'!$1:$1,0)+3),"-")</f>
        <v>0.5</v>
      </c>
      <c r="N20" s="11" t="str">
        <f t="shared" si="56"/>
        <v>-</v>
      </c>
      <c r="O20" s="9" t="s">
        <v>19</v>
      </c>
      <c r="P20" s="26">
        <f>IFERROR(MAX(0,1 - (SUMIFS('Motivos De Parada'!K:K,'Motivos De Parada'!G:G,Disponibilidade!G20,'Motivos De Parada'!H:H,Disponibilidade!H20,'Motivos De Parada'!O:O,Disponibilidade!O20,'Motivos De Parada'!E:E,Disponibilidade!C20,'Motivos De Parada'!D:D,Disponibilidade!E20) / 24)),"-")</f>
        <v>1</v>
      </c>
      <c r="Q20" s="24" cm="1">
        <f t="array" ref="Q20">IFERROR(INDEX('Metas DM &amp; DO'!$A:$AAD,MATCH(Disponibilidade!$G20,'Metas DM &amp; DO'!$A:$A,0),MATCH(Disponibilidade!$O20,'Metas DM &amp; DO'!$1:$1,0)+1),"-")</f>
        <v>0.5</v>
      </c>
      <c r="R20" s="24" cm="1">
        <f t="array" ref="R20">IFERROR(INDEX('Metas DM &amp; DO'!$A:$AAD,MATCH(Disponibilidade!$G20,'Metas DM &amp; DO'!$A:$A,0),MATCH(Disponibilidade!$O20,'Metas DM &amp; DO'!$1:$1,0)+2),"-")</f>
        <v>0.5</v>
      </c>
      <c r="S20" s="24" cm="1">
        <f t="array" ref="S20">IFERROR(INDEX('Metas DM &amp; DO'!$A:$AAD,MATCH(Disponibilidade!$G20,'Metas DM &amp; DO'!$A:$A,0),MATCH(Disponibilidade!$O20,'Metas DM &amp; DO'!$1:$1,0)+3),"-")</f>
        <v>0.5</v>
      </c>
      <c r="T20" s="11" t="str">
        <f t="shared" si="41"/>
        <v>-</v>
      </c>
      <c r="U20" s="9" t="s">
        <v>59</v>
      </c>
      <c r="V20" s="16">
        <f>IFERROR(SUMIFS('Motivos De Parada'!K:K,'Motivos De Parada'!G:G,Disponibilidade!G20,'Motivos De Parada'!H:H,Disponibilidade!H20,'Motivos De Parada'!O:O,Disponibilidade!I20,'Motivos De Parada'!E:E,Disponibilidade!C20,'Motivos De Parada'!D:D,Disponibilidade!E20),"-")</f>
        <v>12</v>
      </c>
      <c r="W20" s="16">
        <f>IFERROR(SUMIFS('Motivos De Parada'!K:K,'Motivos De Parada'!G:G,Disponibilidade!G20,'Motivos De Parada'!H:H,Disponibilidade!H20,'Motivos De Parada'!O:O,Disponibilidade!O20,'Motivos De Parada'!E:E,Disponibilidade!C20,'Motivos De Parada'!D:D,Disponibilidade!E20),"-")</f>
        <v>0</v>
      </c>
      <c r="X20" s="16">
        <f t="shared" si="42"/>
        <v>6</v>
      </c>
      <c r="Y20" s="16">
        <f>IFERROR(SUMIFS('Motivos De Parada'!K:K,'Motivos De Parada'!G:G,Disponibilidade!G20,'Motivos De Parada'!H:H,Disponibilidade!H20,'Motivos De Parada'!E:E,Disponibilidade!C20,'Motivos De Parada'!D:D,Disponibilidade!E20),"-")</f>
        <v>12</v>
      </c>
      <c r="Z20" s="28" t="str">
        <f t="shared" si="53"/>
        <v>OK</v>
      </c>
      <c r="AA20" s="16">
        <f t="shared" si="43"/>
        <v>12</v>
      </c>
      <c r="AB20" s="16">
        <f>IFERROR(SUMIFS('Motivos De Parada'!K:K,'Motivos De Parada'!G:G,Disponibilidade!G20,'Motivos De Parada'!H:H,Disponibilidade!H20,'Motivos De Parada'!E:E,Disponibilidade!C20,'Motivos De Parada'!D:D,Disponibilidade!E20,'Motivos De Parada'!M:M,"REFEIÇÃO"),"-")</f>
        <v>0</v>
      </c>
      <c r="AC20" s="16">
        <f t="shared" si="44"/>
        <v>0</v>
      </c>
      <c r="AD20" s="28" t="str">
        <f t="shared" si="54"/>
        <v>OK</v>
      </c>
      <c r="AE20" s="16" cm="1">
        <f t="array" ref="AE20">IFERROR(SUM(SUMIFS('Motivos De Parada'!K:K,'Motivos De Parada'!G:G,Disponibilidade!G20,'Motivos De Parada'!H:H,Disponibilidade!H20,'Motivos De Parada'!E:E,Disponibilidade!C20,'Motivos De Parada'!D:D,Disponibilidade!E20,'Motivos De Parada'!O:O,{"DISPONIBILIDADE MECÂNICA";"DISPONIBILIDADE OPERACIONAL"},'Motivos De Parada'!P:P,"NÃO")),"-")</f>
        <v>12</v>
      </c>
      <c r="AF20" s="16" cm="1">
        <f t="array" ref="AF20">IFERROR(SUM(SUMIFS('Motivos De Parada'!K:K,'Motivos De Parada'!G:G,Disponibilidade!G20,'Motivos De Parada'!H:H,Disponibilidade!H20,'Motivos De Parada'!E:E,Disponibilidade!C20,'Motivos De Parada'!D:D,Disponibilidade!E20,'Motivos De Parada'!O:O,{"DISPONIBILIDADE MECÂNICA";"DISPONIBILIDADE OPERACIONAL"},'Motivos De Parada'!P:P,"SIM")),"-")</f>
        <v>0</v>
      </c>
      <c r="AG20" s="16">
        <f t="shared" si="45"/>
        <v>0</v>
      </c>
      <c r="AH20" s="28" t="str">
        <f t="shared" si="55"/>
        <v>OK</v>
      </c>
      <c r="AI20" s="16" cm="1">
        <f t="array" ref="AI20">IFERROR(INDEX('Metas DM &amp; DO'!$A:$AAD,MATCH(Disponibilidade!$G20,'Metas DM &amp; DO'!$A:$A,0),MATCH(Disponibilidade!$U20,'Metas DM &amp; DO'!$1:$1,0)+2),"-")</f>
        <v>12</v>
      </c>
      <c r="AJ20" s="16" cm="1">
        <f t="array" ref="AJ20">IFERROR(INDEX('Metas DM &amp; DO'!$A:$AAD,MATCH(Disponibilidade!$G20,'Metas DM &amp; DO'!$A:$A,0),MATCH(Disponibilidade!$U20,'Metas DM &amp; DO'!$1:$1,0)+3),"-")</f>
        <v>12</v>
      </c>
      <c r="AK20" s="16" cm="1">
        <f t="array" ref="AK20">IFERROR(INDEX('Metas DM &amp; DO'!$A:$AAD,MATCH(Disponibilidade!$G20,'Metas DM &amp; DO'!$A:$A,0),MATCH(Disponibilidade!$U20,'Metas DM &amp; DO'!$1:$1,0)+4),"-")</f>
        <v>12</v>
      </c>
      <c r="AL20" s="11" t="str">
        <f t="shared" si="46"/>
        <v>EXCELENTE</v>
      </c>
    </row>
    <row r="21" spans="1:38" x14ac:dyDescent="0.3">
      <c r="A21" s="11">
        <f t="shared" si="47"/>
        <v>2026</v>
      </c>
      <c r="B21" s="12">
        <f t="shared" si="48"/>
        <v>46023</v>
      </c>
      <c r="C21" s="19">
        <v>46024</v>
      </c>
      <c r="D21" s="3" t="s">
        <v>126</v>
      </c>
      <c r="E21" s="11" t="s">
        <v>81</v>
      </c>
      <c r="F21" s="11" t="str" cm="1">
        <f t="array" ref="F21">IFERROR(INDEX('Motivos De Parada'!C:C,MATCH(1,('Motivos De Parada'!E:E=Disponibilidade!C21)*('Motivos De Parada'!G:G=Disponibilidade!G21)*('Motivos De Parada'!D:D=Disponibilidade!E21),0)),"-")</f>
        <v>OPERADOR 4</v>
      </c>
      <c r="G21" s="11" t="str">
        <f>IFERROR(VLOOKUP(D21,Cadastros!A:B,2,FALSE),"-")</f>
        <v>SKIDDER 2</v>
      </c>
      <c r="H21" s="11" t="str">
        <f>IFERROR(VLOOKUP(G21,Cadastros!B:D,3,FALSE),"-")</f>
        <v>ARRASTE</v>
      </c>
      <c r="I21" s="9" t="s">
        <v>20</v>
      </c>
      <c r="J21" s="26">
        <f>IFERROR(MAX(0,1 - (SUMIFS('Motivos De Parada'!K:K,'Motivos De Parada'!G:G,Disponibilidade!G21,'Motivos De Parada'!H:H,Disponibilidade!H21,'Motivos De Parada'!O:O,Disponibilidade!I21,'Motivos De Parada'!E:E,Disponibilidade!C21,'Motivos De Parada'!D:D,Disponibilidade!E21) / 24)),"-")</f>
        <v>1</v>
      </c>
      <c r="K21" s="24" cm="1">
        <f t="array" ref="K21">IFERROR(INDEX('Metas DM &amp; DO'!$A:$AAD,MATCH(Disponibilidade!$G21,'Metas DM &amp; DO'!$A:$A,0),MATCH(Disponibilidade!$I21,'Metas DM &amp; DO'!$1:$1,0)+1),"-")</f>
        <v>0.5</v>
      </c>
      <c r="L21" s="24" cm="1">
        <f t="array" ref="L21">IFERROR(INDEX('Metas DM &amp; DO'!$A:$AAD,MATCH(Disponibilidade!$G21,'Metas DM &amp; DO'!$A:$A,0),MATCH(Disponibilidade!$I21,'Metas DM &amp; DO'!$1:$1,0)+2),"-")</f>
        <v>0.5</v>
      </c>
      <c r="M21" s="24" cm="1">
        <f t="array" ref="M21">IFERROR(INDEX('Metas DM &amp; DO'!$A:$AAD,MATCH(Disponibilidade!$G21,'Metas DM &amp; DO'!$A:$A,0),MATCH(Disponibilidade!$I21,'Metas DM &amp; DO'!$1:$1,0)+3),"-")</f>
        <v>0.5</v>
      </c>
      <c r="N21" s="11" t="str">
        <f t="shared" si="56"/>
        <v>-</v>
      </c>
      <c r="O21" s="9" t="s">
        <v>19</v>
      </c>
      <c r="P21" s="26">
        <f>IFERROR(MAX(0,1 - (SUMIFS('Motivos De Parada'!K:K,'Motivos De Parada'!G:G,Disponibilidade!G21,'Motivos De Parada'!H:H,Disponibilidade!H21,'Motivos De Parada'!O:O,Disponibilidade!O21,'Motivos De Parada'!E:E,Disponibilidade!C21,'Motivos De Parada'!D:D,Disponibilidade!E21) / 24)),"-")</f>
        <v>0.5</v>
      </c>
      <c r="Q21" s="24" cm="1">
        <f t="array" ref="Q21">IFERROR(INDEX('Metas DM &amp; DO'!$A:$AAD,MATCH(Disponibilidade!$G21,'Metas DM &amp; DO'!$A:$A,0),MATCH(Disponibilidade!$O21,'Metas DM &amp; DO'!$1:$1,0)+1),"-")</f>
        <v>0.5</v>
      </c>
      <c r="R21" s="24" cm="1">
        <f t="array" ref="R21">IFERROR(INDEX('Metas DM &amp; DO'!$A:$AAD,MATCH(Disponibilidade!$G21,'Metas DM &amp; DO'!$A:$A,0),MATCH(Disponibilidade!$O21,'Metas DM &amp; DO'!$1:$1,0)+2),"-")</f>
        <v>0.5</v>
      </c>
      <c r="S21" s="24" cm="1">
        <f t="array" ref="S21">IFERROR(INDEX('Metas DM &amp; DO'!$A:$AAD,MATCH(Disponibilidade!$G21,'Metas DM &amp; DO'!$A:$A,0),MATCH(Disponibilidade!$O21,'Metas DM &amp; DO'!$1:$1,0)+3),"-")</f>
        <v>0.5</v>
      </c>
      <c r="T21" s="11" t="str">
        <f t="shared" ref="T21:T73" si="57">IFERROR(IF(P21&lt;Q21,"RUIM",IF(AND(P21&gt;=Q21,P21&lt;R21),"MEDIA",IF(AND(P21&gt;=R21,P21&lt;S21),"BOA","-"))),"-")</f>
        <v>-</v>
      </c>
      <c r="U21" s="9" t="s">
        <v>59</v>
      </c>
      <c r="V21" s="16">
        <f>IFERROR(SUMIFS('Motivos De Parada'!K:K,'Motivos De Parada'!G:G,Disponibilidade!G21,'Motivos De Parada'!H:H,Disponibilidade!H21,'Motivos De Parada'!O:O,Disponibilidade!I21,'Motivos De Parada'!E:E,Disponibilidade!C21,'Motivos De Parada'!D:D,Disponibilidade!E21),"-")</f>
        <v>0</v>
      </c>
      <c r="W21" s="16">
        <f>IFERROR(SUMIFS('Motivos De Parada'!K:K,'Motivos De Parada'!G:G,Disponibilidade!G21,'Motivos De Parada'!H:H,Disponibilidade!H21,'Motivos De Parada'!O:O,Disponibilidade!O21,'Motivos De Parada'!E:E,Disponibilidade!C21,'Motivos De Parada'!D:D,Disponibilidade!E21),"-")</f>
        <v>12</v>
      </c>
      <c r="X21" s="16">
        <f t="shared" ref="X21:X73" si="58">IFERROR(AVERAGE(V21,W21),"-")</f>
        <v>6</v>
      </c>
      <c r="Y21" s="16">
        <f>IFERROR(SUMIFS('Motivos De Parada'!K:K,'Motivos De Parada'!G:G,Disponibilidade!G21,'Motivos De Parada'!H:H,Disponibilidade!H21,'Motivos De Parada'!E:E,Disponibilidade!C21,'Motivos De Parada'!D:D,Disponibilidade!E21),"-")</f>
        <v>12</v>
      </c>
      <c r="Z21" s="28" t="str">
        <f t="shared" si="53"/>
        <v>OK</v>
      </c>
      <c r="AA21" s="16">
        <f t="shared" ref="AA21:AA73" si="59">IFERROR(W21+V21,"-")</f>
        <v>12</v>
      </c>
      <c r="AB21" s="16">
        <f>IFERROR(SUMIFS('Motivos De Parada'!K:K,'Motivos De Parada'!G:G,Disponibilidade!G21,'Motivos De Parada'!H:H,Disponibilidade!H21,'Motivos De Parada'!E:E,Disponibilidade!C21,'Motivos De Parada'!D:D,Disponibilidade!E21,'Motivos De Parada'!M:M,"REFEIÇÃO"),"-")</f>
        <v>0</v>
      </c>
      <c r="AC21" s="16">
        <f t="shared" ref="AC21:AC73" si="60">IFERROR(Y21-AA21-AB21,"-")</f>
        <v>0</v>
      </c>
      <c r="AD21" s="28" t="str">
        <f t="shared" si="54"/>
        <v>OK</v>
      </c>
      <c r="AE21" s="16" cm="1">
        <f t="array" ref="AE21">IFERROR(SUM(SUMIFS('Motivos De Parada'!K:K,'Motivos De Parada'!G:G,Disponibilidade!G21,'Motivos De Parada'!H:H,Disponibilidade!H21,'Motivos De Parada'!E:E,Disponibilidade!C21,'Motivos De Parada'!D:D,Disponibilidade!E21,'Motivos De Parada'!O:O,{"DISPONIBILIDADE MECÂNICA";"DISPONIBILIDADE OPERACIONAL"},'Motivos De Parada'!P:P,"NÃO")),"-")</f>
        <v>12</v>
      </c>
      <c r="AF21" s="16" cm="1">
        <f t="array" ref="AF21">IFERROR(SUM(SUMIFS('Motivos De Parada'!K:K,'Motivos De Parada'!G:G,Disponibilidade!G21,'Motivos De Parada'!H:H,Disponibilidade!H21,'Motivos De Parada'!E:E,Disponibilidade!C21,'Motivos De Parada'!D:D,Disponibilidade!E21,'Motivos De Parada'!O:O,{"DISPONIBILIDADE MECÂNICA";"DISPONIBILIDADE OPERACIONAL"},'Motivos De Parada'!P:P,"SIM")),"-")</f>
        <v>0</v>
      </c>
      <c r="AG21" s="16">
        <f t="shared" ref="AG21:AG73" si="61">IFERROR(IF((AC21-AF21)&lt;0,0,(AC21-AF21)),"-")</f>
        <v>0</v>
      </c>
      <c r="AH21" s="28" t="str">
        <f t="shared" si="55"/>
        <v>OK</v>
      </c>
      <c r="AI21" s="16" cm="1">
        <f t="array" ref="AI21">IFERROR(INDEX('Metas DM &amp; DO'!$A:$AAD,MATCH(Disponibilidade!$G21,'Metas DM &amp; DO'!$A:$A,0),MATCH(Disponibilidade!$U21,'Metas DM &amp; DO'!$1:$1,0)+2),"-")</f>
        <v>12</v>
      </c>
      <c r="AJ21" s="16" cm="1">
        <f t="array" ref="AJ21">IFERROR(INDEX('Metas DM &amp; DO'!$A:$AAD,MATCH(Disponibilidade!$G21,'Metas DM &amp; DO'!$A:$A,0),MATCH(Disponibilidade!$U21,'Metas DM &amp; DO'!$1:$1,0)+3),"-")</f>
        <v>12</v>
      </c>
      <c r="AK21" s="16" cm="1">
        <f t="array" ref="AK21">IFERROR(INDEX('Metas DM &amp; DO'!$A:$AAD,MATCH(Disponibilidade!$G21,'Metas DM &amp; DO'!$A:$A,0),MATCH(Disponibilidade!$U21,'Metas DM &amp; DO'!$1:$1,0)+4),"-")</f>
        <v>12</v>
      </c>
      <c r="AL21" s="11" t="str">
        <f t="shared" ref="AL21:AL73" si="62">IFERROR(IF(X21&lt;=AJ21,"EXCELENTE",
 IF(X21&lt;=AI21,"BOM",
 IF(X21&lt;=AK21,"ATENÇÃO",IF(X21&gt;AK21,"CRÍTICO","-")))),"-")</f>
        <v>EXCELENTE</v>
      </c>
    </row>
    <row r="22" spans="1:38" x14ac:dyDescent="0.3">
      <c r="A22" s="11">
        <f t="shared" si="47"/>
        <v>2026</v>
      </c>
      <c r="B22" s="12">
        <f t="shared" si="48"/>
        <v>46023</v>
      </c>
      <c r="C22" s="19">
        <v>46024</v>
      </c>
      <c r="D22" s="3" t="s">
        <v>128</v>
      </c>
      <c r="E22" s="11" t="s">
        <v>80</v>
      </c>
      <c r="F22" s="11" t="str" cm="1">
        <f t="array" ref="F22">IFERROR(INDEX('Motivos De Parada'!C:C,MATCH(1,('Motivos De Parada'!E:E=Disponibilidade!C22)*('Motivos De Parada'!G:G=Disponibilidade!G22)*('Motivos De Parada'!D:D=Disponibilidade!E22),0)),"-")</f>
        <v>-</v>
      </c>
      <c r="G22" s="11" t="str">
        <f>IFERROR(VLOOKUP(D22,Cadastros!A:B,2,FALSE),"-")</f>
        <v>GARRA TRAÇADORA 1</v>
      </c>
      <c r="H22" s="11" t="str">
        <f>IFERROR(VLOOKUP(G22,Cadastros!B:D,3,FALSE),"-")</f>
        <v>TRAÇAMENTO</v>
      </c>
      <c r="I22" s="9" t="s">
        <v>20</v>
      </c>
      <c r="J22" s="26">
        <f>IFERROR(MAX(0,1 - (SUMIFS('Motivos De Parada'!K:K,'Motivos De Parada'!G:G,Disponibilidade!G22,'Motivos De Parada'!H:H,Disponibilidade!H22,'Motivos De Parada'!O:O,Disponibilidade!I22,'Motivos De Parada'!E:E,Disponibilidade!C22,'Motivos De Parada'!D:D,Disponibilidade!E22) / 24)),"-")</f>
        <v>1</v>
      </c>
      <c r="K22" s="24" cm="1">
        <f t="array" ref="K22">IFERROR(INDEX('Metas DM &amp; DO'!$A:$AAD,MATCH(Disponibilidade!$G22,'Metas DM &amp; DO'!$A:$A,0),MATCH(Disponibilidade!$I22,'Metas DM &amp; DO'!$1:$1,0)+1),"-")</f>
        <v>0.91724137931034488</v>
      </c>
      <c r="L22" s="24" cm="1">
        <f t="array" ref="L22">IFERROR(INDEX('Metas DM &amp; DO'!$A:$AAD,MATCH(Disponibilidade!$G22,'Metas DM &amp; DO'!$A:$A,0),MATCH(Disponibilidade!$I22,'Metas DM &amp; DO'!$1:$1,0)+2),"-")</f>
        <v>0.92489568845618919</v>
      </c>
      <c r="M22" s="24" cm="1">
        <f t="array" ref="M22">IFERROR(INDEX('Metas DM &amp; DO'!$A:$AAD,MATCH(Disponibilidade!$G22,'Metas DM &amp; DO'!$A:$A,0),MATCH(Disponibilidade!$I22,'Metas DM &amp; DO'!$1:$1,0)+3),"-")</f>
        <v>0.90625</v>
      </c>
      <c r="N22" s="11" t="str">
        <f t="shared" si="56"/>
        <v>-</v>
      </c>
      <c r="O22" s="9" t="s">
        <v>19</v>
      </c>
      <c r="P22" s="26">
        <f>IFERROR(MAX(0,1 - (SUMIFS('Motivos De Parada'!K:K,'Motivos De Parada'!G:G,Disponibilidade!G22,'Motivos De Parada'!H:H,Disponibilidade!H22,'Motivos De Parada'!O:O,Disponibilidade!O22,'Motivos De Parada'!E:E,Disponibilidade!C22,'Motivos De Parada'!D:D,Disponibilidade!E22) / 24)),"-")</f>
        <v>1</v>
      </c>
      <c r="Q22" s="24" cm="1">
        <f t="array" ref="Q22">IFERROR(INDEX('Metas DM &amp; DO'!$A:$AAD,MATCH(Disponibilidade!$G22,'Metas DM &amp; DO'!$A:$A,0),MATCH(Disponibilidade!$O22,'Metas DM &amp; DO'!$1:$1,0)+1),"-")</f>
        <v>0.43601532567049806</v>
      </c>
      <c r="R22" s="24" cm="1">
        <f t="array" ref="R22">IFERROR(INDEX('Metas DM &amp; DO'!$A:$AAD,MATCH(Disponibilidade!$G22,'Metas DM &amp; DO'!$A:$A,0),MATCH(Disponibilidade!$O22,'Metas DM &amp; DO'!$1:$1,0)+2),"-")</f>
        <v>0.48817802503477059</v>
      </c>
      <c r="S22" s="24" cm="1">
        <f t="array" ref="S22">IFERROR(INDEX('Metas DM &amp; DO'!$A:$AAD,MATCH(Disponibilidade!$G22,'Metas DM &amp; DO'!$A:$A,0),MATCH(Disponibilidade!$O22,'Metas DM &amp; DO'!$1:$1,0)+3),"-")</f>
        <v>0.71875</v>
      </c>
      <c r="T22" s="11" t="str">
        <f t="shared" si="57"/>
        <v>-</v>
      </c>
      <c r="U22" s="9" t="s">
        <v>59</v>
      </c>
      <c r="V22" s="16">
        <f>IFERROR(SUMIFS('Motivos De Parada'!K:K,'Motivos De Parada'!G:G,Disponibilidade!G22,'Motivos De Parada'!H:H,Disponibilidade!H22,'Motivos De Parada'!O:O,Disponibilidade!I22,'Motivos De Parada'!E:E,Disponibilidade!C22,'Motivos De Parada'!D:D,Disponibilidade!E22),"-")</f>
        <v>0</v>
      </c>
      <c r="W22" s="16">
        <f>IFERROR(SUMIFS('Motivos De Parada'!K:K,'Motivos De Parada'!G:G,Disponibilidade!G22,'Motivos De Parada'!H:H,Disponibilidade!H22,'Motivos De Parada'!O:O,Disponibilidade!O22,'Motivos De Parada'!E:E,Disponibilidade!C22,'Motivos De Parada'!D:D,Disponibilidade!E22),"-")</f>
        <v>0</v>
      </c>
      <c r="X22" s="16">
        <f t="shared" si="58"/>
        <v>0</v>
      </c>
      <c r="Y22" s="16">
        <f>IFERROR(SUMIFS('Motivos De Parada'!K:K,'Motivos De Parada'!G:G,Disponibilidade!G22,'Motivos De Parada'!H:H,Disponibilidade!H22,'Motivos De Parada'!E:E,Disponibilidade!C22,'Motivos De Parada'!D:D,Disponibilidade!E22),"-")</f>
        <v>0</v>
      </c>
      <c r="Z22" s="28" t="str">
        <f>IFERROR(IF(Y22=0,"OK",IF(OR(Y22&gt;12,Y22&lt;12),"VERIFICAR","OK")),"-")</f>
        <v>OK</v>
      </c>
      <c r="AA22" s="16">
        <f t="shared" si="59"/>
        <v>0</v>
      </c>
      <c r="AB22" s="16">
        <f>IFERROR(SUMIFS('Motivos De Parada'!K:K,'Motivos De Parada'!G:G,Disponibilidade!G22,'Motivos De Parada'!H:H,Disponibilidade!H22,'Motivos De Parada'!E:E,Disponibilidade!C22,'Motivos De Parada'!D:D,Disponibilidade!E22,'Motivos De Parada'!M:M,"REFEIÇÃO"),"-")</f>
        <v>0</v>
      </c>
      <c r="AC22" s="16">
        <f t="shared" si="60"/>
        <v>0</v>
      </c>
      <c r="AD22" s="28" t="str">
        <f>IFERROR(IF(AC22&lt;0,"VERIFICAR","OK"),"-")</f>
        <v>OK</v>
      </c>
      <c r="AE22" s="16" cm="1">
        <f t="array" ref="AE22">IFERROR(SUM(SUMIFS('Motivos De Parada'!K:K,'Motivos De Parada'!G:G,Disponibilidade!G22,'Motivos De Parada'!H:H,Disponibilidade!H22,'Motivos De Parada'!E:E,Disponibilidade!C22,'Motivos De Parada'!D:D,Disponibilidade!E22,'Motivos De Parada'!O:O,{"DISPONIBILIDADE MECÂNICA";"DISPONIBILIDADE OPERACIONAL"},'Motivos De Parada'!P:P,"NÃO")),"-")</f>
        <v>0</v>
      </c>
      <c r="AF22" s="16" cm="1">
        <f t="array" ref="AF22">IFERROR(SUM(SUMIFS('Motivos De Parada'!K:K,'Motivos De Parada'!G:G,Disponibilidade!G22,'Motivos De Parada'!H:H,Disponibilidade!H22,'Motivos De Parada'!E:E,Disponibilidade!C22,'Motivos De Parada'!D:D,Disponibilidade!E22,'Motivos De Parada'!O:O,{"DISPONIBILIDADE MECÂNICA";"DISPONIBILIDADE OPERACIONAL"},'Motivos De Parada'!P:P,"SIM")),"-")</f>
        <v>0</v>
      </c>
      <c r="AG22" s="16">
        <f t="shared" si="61"/>
        <v>0</v>
      </c>
      <c r="AH22" s="28" t="str">
        <f>IFERROR(IF(AND(AG22=0,AC22=0),"OK",IF(AG22=AC22,"VERIFICAR","OK")),"-")</f>
        <v>OK</v>
      </c>
      <c r="AI22" s="16" cm="1">
        <f t="array" ref="AI22">IFERROR(INDEX('Metas DM &amp; DO'!$A:$AAD,MATCH(Disponibilidade!$G22,'Metas DM &amp; DO'!$A:$A,0),MATCH(Disponibilidade!$U22,'Metas DM &amp; DO'!$1:$1,0)+2),"-")</f>
        <v>2.2174055829228245</v>
      </c>
      <c r="AJ22" s="16" cm="1">
        <f t="array" ref="AJ22">IFERROR(INDEX('Metas DM &amp; DO'!$A:$AAD,MATCH(Disponibilidade!$G22,'Metas DM &amp; DO'!$A:$A,0),MATCH(Disponibilidade!$U22,'Metas DM &amp; DO'!$1:$1,0)+3),"-")</f>
        <v>2.0123186966024238</v>
      </c>
      <c r="AK22" s="16" cm="1">
        <f t="array" ref="AK22">IFERROR(INDEX('Metas DM &amp; DO'!$A:$AAD,MATCH(Disponibilidade!$G22,'Metas DM &amp; DO'!$A:$A,0),MATCH(Disponibilidade!$U22,'Metas DM &amp; DO'!$1:$1,0)+4),"-")</f>
        <v>3.9999999999999991</v>
      </c>
      <c r="AL22" s="11" t="str">
        <f t="shared" si="62"/>
        <v>EXCELENTE</v>
      </c>
    </row>
    <row r="23" spans="1:38" x14ac:dyDescent="0.3">
      <c r="A23" s="11">
        <f t="shared" ref="A23:A73" si="63">IFERROR(YEAR(C23),"-")</f>
        <v>2026</v>
      </c>
      <c r="B23" s="12">
        <f t="shared" ref="B23:B73" si="64">IFERROR(DATE(YEAR(C23),MONTH(C23),MONTH(C23)),"-")</f>
        <v>46023</v>
      </c>
      <c r="C23" s="19">
        <v>46024</v>
      </c>
      <c r="D23" s="3" t="s">
        <v>128</v>
      </c>
      <c r="E23" s="11" t="s">
        <v>81</v>
      </c>
      <c r="F23" s="11" t="str" cm="1">
        <f t="array" ref="F23">IFERROR(INDEX('Motivos De Parada'!C:C,MATCH(1,('Motivos De Parada'!E:E=Disponibilidade!C23)*('Motivos De Parada'!G:G=Disponibilidade!G23)*('Motivos De Parada'!D:D=Disponibilidade!E23),0)),"-")</f>
        <v>-</v>
      </c>
      <c r="G23" s="11" t="str">
        <f>IFERROR(VLOOKUP(D23,Cadastros!A:B,2,FALSE),"-")</f>
        <v>GARRA TRAÇADORA 1</v>
      </c>
      <c r="H23" s="11" t="str">
        <f>IFERROR(VLOOKUP(G23,Cadastros!B:D,3,FALSE),"-")</f>
        <v>TRAÇAMENTO</v>
      </c>
      <c r="I23" s="9" t="s">
        <v>20</v>
      </c>
      <c r="J23" s="26">
        <f>IFERROR(MAX(0,1 - (SUMIFS('Motivos De Parada'!K:K,'Motivos De Parada'!G:G,Disponibilidade!G23,'Motivos De Parada'!H:H,Disponibilidade!H23,'Motivos De Parada'!O:O,Disponibilidade!I23,'Motivos De Parada'!E:E,Disponibilidade!C23,'Motivos De Parada'!D:D,Disponibilidade!E23) / 24)),"-")</f>
        <v>1</v>
      </c>
      <c r="K23" s="24" cm="1">
        <f t="array" ref="K23">IFERROR(INDEX('Metas DM &amp; DO'!$A:$AAD,MATCH(Disponibilidade!$G23,'Metas DM &amp; DO'!$A:$A,0),MATCH(Disponibilidade!$I23,'Metas DM &amp; DO'!$1:$1,0)+1),"-")</f>
        <v>0.91724137931034488</v>
      </c>
      <c r="L23" s="24" cm="1">
        <f t="array" ref="L23">IFERROR(INDEX('Metas DM &amp; DO'!$A:$AAD,MATCH(Disponibilidade!$G23,'Metas DM &amp; DO'!$A:$A,0),MATCH(Disponibilidade!$I23,'Metas DM &amp; DO'!$1:$1,0)+2),"-")</f>
        <v>0.92489568845618919</v>
      </c>
      <c r="M23" s="24" cm="1">
        <f t="array" ref="M23">IFERROR(INDEX('Metas DM &amp; DO'!$A:$AAD,MATCH(Disponibilidade!$G23,'Metas DM &amp; DO'!$A:$A,0),MATCH(Disponibilidade!$I23,'Metas DM &amp; DO'!$1:$1,0)+3),"-")</f>
        <v>0.90625</v>
      </c>
      <c r="N23" s="11" t="str">
        <f t="shared" si="56"/>
        <v>-</v>
      </c>
      <c r="O23" s="9" t="s">
        <v>19</v>
      </c>
      <c r="P23" s="26">
        <f>IFERROR(MAX(0,1 - (SUMIFS('Motivos De Parada'!K:K,'Motivos De Parada'!G:G,Disponibilidade!G23,'Motivos De Parada'!H:H,Disponibilidade!H23,'Motivos De Parada'!O:O,Disponibilidade!O23,'Motivos De Parada'!E:E,Disponibilidade!C23,'Motivos De Parada'!D:D,Disponibilidade!E23) / 24)),"-")</f>
        <v>1</v>
      </c>
      <c r="Q23" s="24" cm="1">
        <f t="array" ref="Q23">IFERROR(INDEX('Metas DM &amp; DO'!$A:$AAD,MATCH(Disponibilidade!$G23,'Metas DM &amp; DO'!$A:$A,0),MATCH(Disponibilidade!$O23,'Metas DM &amp; DO'!$1:$1,0)+1),"-")</f>
        <v>0.43601532567049806</v>
      </c>
      <c r="R23" s="24" cm="1">
        <f t="array" ref="R23">IFERROR(INDEX('Metas DM &amp; DO'!$A:$AAD,MATCH(Disponibilidade!$G23,'Metas DM &amp; DO'!$A:$A,0),MATCH(Disponibilidade!$O23,'Metas DM &amp; DO'!$1:$1,0)+2),"-")</f>
        <v>0.48817802503477059</v>
      </c>
      <c r="S23" s="24" cm="1">
        <f t="array" ref="S23">IFERROR(INDEX('Metas DM &amp; DO'!$A:$AAD,MATCH(Disponibilidade!$G23,'Metas DM &amp; DO'!$A:$A,0),MATCH(Disponibilidade!$O23,'Metas DM &amp; DO'!$1:$1,0)+3),"-")</f>
        <v>0.71875</v>
      </c>
      <c r="T23" s="11" t="str">
        <f t="shared" si="57"/>
        <v>-</v>
      </c>
      <c r="U23" s="9" t="s">
        <v>59</v>
      </c>
      <c r="V23" s="16">
        <f>IFERROR(SUMIFS('Motivos De Parada'!K:K,'Motivos De Parada'!G:G,Disponibilidade!G23,'Motivos De Parada'!H:H,Disponibilidade!H23,'Motivos De Parada'!O:O,Disponibilidade!I23,'Motivos De Parada'!E:E,Disponibilidade!C23,'Motivos De Parada'!D:D,Disponibilidade!E23),"-")</f>
        <v>0</v>
      </c>
      <c r="W23" s="16">
        <f>IFERROR(SUMIFS('Motivos De Parada'!K:K,'Motivos De Parada'!G:G,Disponibilidade!G23,'Motivos De Parada'!H:H,Disponibilidade!H23,'Motivos De Parada'!O:O,Disponibilidade!O23,'Motivos De Parada'!E:E,Disponibilidade!C23,'Motivos De Parada'!D:D,Disponibilidade!E23),"-")</f>
        <v>0</v>
      </c>
      <c r="X23" s="16">
        <f t="shared" si="58"/>
        <v>0</v>
      </c>
      <c r="Y23" s="16">
        <f>IFERROR(SUMIFS('Motivos De Parada'!K:K,'Motivos De Parada'!G:G,Disponibilidade!G23,'Motivos De Parada'!H:H,Disponibilidade!H23,'Motivos De Parada'!E:E,Disponibilidade!C23,'Motivos De Parada'!D:D,Disponibilidade!E23),"-")</f>
        <v>0</v>
      </c>
      <c r="Z23" s="28" t="str">
        <f t="shared" ref="Z23:Z25" si="65">IFERROR(IF(Y23=0,"OK",IF(OR(Y23&gt;12,Y23&lt;12),"VERIFICAR","OK")),"-")</f>
        <v>OK</v>
      </c>
      <c r="AA23" s="16">
        <f t="shared" si="59"/>
        <v>0</v>
      </c>
      <c r="AB23" s="16">
        <f>IFERROR(SUMIFS('Motivos De Parada'!K:K,'Motivos De Parada'!G:G,Disponibilidade!G23,'Motivos De Parada'!H:H,Disponibilidade!H23,'Motivos De Parada'!E:E,Disponibilidade!C23,'Motivos De Parada'!D:D,Disponibilidade!E23,'Motivos De Parada'!M:M,"REFEIÇÃO"),"-")</f>
        <v>0</v>
      </c>
      <c r="AC23" s="16">
        <f t="shared" si="60"/>
        <v>0</v>
      </c>
      <c r="AD23" s="28" t="str">
        <f t="shared" ref="AD23:AD25" si="66">IFERROR(IF(AC23&lt;0,"VERIFICAR","OK"),"-")</f>
        <v>OK</v>
      </c>
      <c r="AE23" s="16" cm="1">
        <f t="array" ref="AE23">IFERROR(SUM(SUMIFS('Motivos De Parada'!K:K,'Motivos De Parada'!G:G,Disponibilidade!G23,'Motivos De Parada'!H:H,Disponibilidade!H23,'Motivos De Parada'!E:E,Disponibilidade!C23,'Motivos De Parada'!D:D,Disponibilidade!E23,'Motivos De Parada'!O:O,{"DISPONIBILIDADE MECÂNICA";"DISPONIBILIDADE OPERACIONAL"},'Motivos De Parada'!P:P,"NÃO")),"-")</f>
        <v>0</v>
      </c>
      <c r="AF23" s="16" cm="1">
        <f t="array" ref="AF23">IFERROR(SUM(SUMIFS('Motivos De Parada'!K:K,'Motivos De Parada'!G:G,Disponibilidade!G23,'Motivos De Parada'!H:H,Disponibilidade!H23,'Motivos De Parada'!E:E,Disponibilidade!C23,'Motivos De Parada'!D:D,Disponibilidade!E23,'Motivos De Parada'!O:O,{"DISPONIBILIDADE MECÂNICA";"DISPONIBILIDADE OPERACIONAL"},'Motivos De Parada'!P:P,"SIM")),"-")</f>
        <v>0</v>
      </c>
      <c r="AG23" s="16">
        <f t="shared" si="61"/>
        <v>0</v>
      </c>
      <c r="AH23" s="28" t="str">
        <f t="shared" ref="AH23:AH25" si="67">IFERROR(IF(AND(AG23=0,AC23=0),"OK",IF(AG23=AC23,"VERIFICAR","OK")),"-")</f>
        <v>OK</v>
      </c>
      <c r="AI23" s="16" cm="1">
        <f t="array" ref="AI23">IFERROR(INDEX('Metas DM &amp; DO'!$A:$AAD,MATCH(Disponibilidade!$G23,'Metas DM &amp; DO'!$A:$A,0),MATCH(Disponibilidade!$U23,'Metas DM &amp; DO'!$1:$1,0)+2),"-")</f>
        <v>2.2174055829228245</v>
      </c>
      <c r="AJ23" s="16" cm="1">
        <f t="array" ref="AJ23">IFERROR(INDEX('Metas DM &amp; DO'!$A:$AAD,MATCH(Disponibilidade!$G23,'Metas DM &amp; DO'!$A:$A,0),MATCH(Disponibilidade!$U23,'Metas DM &amp; DO'!$1:$1,0)+3),"-")</f>
        <v>2.0123186966024238</v>
      </c>
      <c r="AK23" s="16" cm="1">
        <f t="array" ref="AK23">IFERROR(INDEX('Metas DM &amp; DO'!$A:$AAD,MATCH(Disponibilidade!$G23,'Metas DM &amp; DO'!$A:$A,0),MATCH(Disponibilidade!$U23,'Metas DM &amp; DO'!$1:$1,0)+4),"-")</f>
        <v>3.9999999999999991</v>
      </c>
      <c r="AL23" s="11" t="str">
        <f t="shared" si="62"/>
        <v>EXCELENTE</v>
      </c>
    </row>
    <row r="24" spans="1:38" x14ac:dyDescent="0.3">
      <c r="A24" s="11">
        <f t="shared" si="63"/>
        <v>2026</v>
      </c>
      <c r="B24" s="12">
        <f t="shared" si="64"/>
        <v>46023</v>
      </c>
      <c r="C24" s="19">
        <v>46024</v>
      </c>
      <c r="D24" s="3" t="s">
        <v>130</v>
      </c>
      <c r="E24" s="11" t="s">
        <v>80</v>
      </c>
      <c r="F24" s="11" t="str" cm="1">
        <f t="array" ref="F24">IFERROR(INDEX('Motivos De Parada'!C:C,MATCH(1,('Motivos De Parada'!E:E=Disponibilidade!C24)*('Motivos De Parada'!G:G=Disponibilidade!G24)*('Motivos De Parada'!D:D=Disponibilidade!E24),0)),"-")</f>
        <v>-</v>
      </c>
      <c r="G24" s="11" t="str">
        <f>IFERROR(VLOOKUP(D24,Cadastros!A:B,2,FALSE),"-")</f>
        <v>GARRA TRAÇADORA 2</v>
      </c>
      <c r="H24" s="11" t="str">
        <f>IFERROR(VLOOKUP(G24,Cadastros!B:D,3,FALSE),"-")</f>
        <v>TRAÇAMENTO</v>
      </c>
      <c r="I24" s="9" t="s">
        <v>20</v>
      </c>
      <c r="J24" s="26">
        <f>IFERROR(MAX(0,1 - (SUMIFS('Motivos De Parada'!K:K,'Motivos De Parada'!G:G,Disponibilidade!G24,'Motivos De Parada'!H:H,Disponibilidade!H24,'Motivos De Parada'!O:O,Disponibilidade!I24,'Motivos De Parada'!E:E,Disponibilidade!C24,'Motivos De Parada'!D:D,Disponibilidade!E24) / 24)),"-")</f>
        <v>1</v>
      </c>
      <c r="K24" s="24" t="str" cm="1">
        <f t="array" ref="K24">IFERROR(INDEX('Metas DM &amp; DO'!$A:$AAD,MATCH(Disponibilidade!$G24,'Metas DM &amp; DO'!$A:$A,0),MATCH(Disponibilidade!$I24,'Metas DM &amp; DO'!$1:$1,0)+1),"-")</f>
        <v>-</v>
      </c>
      <c r="L24" s="24" t="str" cm="1">
        <f t="array" ref="L24">IFERROR(INDEX('Metas DM &amp; DO'!$A:$AAD,MATCH(Disponibilidade!$G24,'Metas DM &amp; DO'!$A:$A,0),MATCH(Disponibilidade!$I24,'Metas DM &amp; DO'!$1:$1,0)+2),"-")</f>
        <v>-</v>
      </c>
      <c r="M24" s="24" t="str" cm="1">
        <f t="array" ref="M24">IFERROR(INDEX('Metas DM &amp; DO'!$A:$AAD,MATCH(Disponibilidade!$G24,'Metas DM &amp; DO'!$A:$A,0),MATCH(Disponibilidade!$I24,'Metas DM &amp; DO'!$1:$1,0)+3),"-")</f>
        <v>-</v>
      </c>
      <c r="N24" s="11" t="str">
        <f>IFERROR(IF(J24&lt;K24,"RUIM",IF(AND(J24&gt;=K24,J24&lt;L24),"MEDIA",IF(AND(J24&gt;=L24,J24&lt;M24),"BOA","-"))),"-")</f>
        <v>RUIM</v>
      </c>
      <c r="O24" s="9" t="s">
        <v>19</v>
      </c>
      <c r="P24" s="26">
        <f>IFERROR(MAX(0,1 - (SUMIFS('Motivos De Parada'!K:K,'Motivos De Parada'!G:G,Disponibilidade!G24,'Motivos De Parada'!H:H,Disponibilidade!H24,'Motivos De Parada'!O:O,Disponibilidade!O24,'Motivos De Parada'!E:E,Disponibilidade!C24,'Motivos De Parada'!D:D,Disponibilidade!E24) / 24)),"-")</f>
        <v>1</v>
      </c>
      <c r="Q24" s="24" t="str" cm="1">
        <f t="array" ref="Q24">IFERROR(INDEX('Metas DM &amp; DO'!$A:$AAD,MATCH(Disponibilidade!$G24,'Metas DM &amp; DO'!$A:$A,0),MATCH(Disponibilidade!$O24,'Metas DM &amp; DO'!$1:$1,0)+1),"-")</f>
        <v>-</v>
      </c>
      <c r="R24" s="24" t="str" cm="1">
        <f t="array" ref="R24">IFERROR(INDEX('Metas DM &amp; DO'!$A:$AAD,MATCH(Disponibilidade!$G24,'Metas DM &amp; DO'!$A:$A,0),MATCH(Disponibilidade!$O24,'Metas DM &amp; DO'!$1:$1,0)+2),"-")</f>
        <v>-</v>
      </c>
      <c r="S24" s="24" t="str" cm="1">
        <f t="array" ref="S24">IFERROR(INDEX('Metas DM &amp; DO'!$A:$AAD,MATCH(Disponibilidade!$G24,'Metas DM &amp; DO'!$A:$A,0),MATCH(Disponibilidade!$O24,'Metas DM &amp; DO'!$1:$1,0)+3),"-")</f>
        <v>-</v>
      </c>
      <c r="T24" s="11" t="str">
        <f t="shared" si="57"/>
        <v>RUIM</v>
      </c>
      <c r="U24" s="9" t="s">
        <v>59</v>
      </c>
      <c r="V24" s="16">
        <f>IFERROR(SUMIFS('Motivos De Parada'!K:K,'Motivos De Parada'!G:G,Disponibilidade!G24,'Motivos De Parada'!H:H,Disponibilidade!H24,'Motivos De Parada'!O:O,Disponibilidade!I24,'Motivos De Parada'!E:E,Disponibilidade!C24,'Motivos De Parada'!D:D,Disponibilidade!E24),"-")</f>
        <v>0</v>
      </c>
      <c r="W24" s="16">
        <f>IFERROR(SUMIFS('Motivos De Parada'!K:K,'Motivos De Parada'!G:G,Disponibilidade!G24,'Motivos De Parada'!H:H,Disponibilidade!H24,'Motivos De Parada'!O:O,Disponibilidade!O24,'Motivos De Parada'!E:E,Disponibilidade!C24,'Motivos De Parada'!D:D,Disponibilidade!E24),"-")</f>
        <v>0</v>
      </c>
      <c r="X24" s="16">
        <f t="shared" si="58"/>
        <v>0</v>
      </c>
      <c r="Y24" s="16">
        <f>IFERROR(SUMIFS('Motivos De Parada'!K:K,'Motivos De Parada'!G:G,Disponibilidade!G24,'Motivos De Parada'!H:H,Disponibilidade!H24,'Motivos De Parada'!E:E,Disponibilidade!C24,'Motivos De Parada'!D:D,Disponibilidade!E24),"-")</f>
        <v>0</v>
      </c>
      <c r="Z24" s="28" t="str">
        <f t="shared" si="65"/>
        <v>OK</v>
      </c>
      <c r="AA24" s="16">
        <f t="shared" si="59"/>
        <v>0</v>
      </c>
      <c r="AB24" s="16">
        <f>IFERROR(SUMIFS('Motivos De Parada'!K:K,'Motivos De Parada'!G:G,Disponibilidade!G24,'Motivos De Parada'!H:H,Disponibilidade!H24,'Motivos De Parada'!E:E,Disponibilidade!C24,'Motivos De Parada'!D:D,Disponibilidade!E24,'Motivos De Parada'!M:M,"REFEIÇÃO"),"-")</f>
        <v>0</v>
      </c>
      <c r="AC24" s="16">
        <f t="shared" si="60"/>
        <v>0</v>
      </c>
      <c r="AD24" s="28" t="str">
        <f t="shared" si="66"/>
        <v>OK</v>
      </c>
      <c r="AE24" s="16" cm="1">
        <f t="array" ref="AE24">IFERROR(SUM(SUMIFS('Motivos De Parada'!K:K,'Motivos De Parada'!G:G,Disponibilidade!G24,'Motivos De Parada'!H:H,Disponibilidade!H24,'Motivos De Parada'!E:E,Disponibilidade!C24,'Motivos De Parada'!D:D,Disponibilidade!E24,'Motivos De Parada'!O:O,{"DISPONIBILIDADE MECÂNICA";"DISPONIBILIDADE OPERACIONAL"},'Motivos De Parada'!P:P,"NÃO")),"-")</f>
        <v>0</v>
      </c>
      <c r="AF24" s="16" cm="1">
        <f t="array" ref="AF24">IFERROR(SUM(SUMIFS('Motivos De Parada'!K:K,'Motivos De Parada'!G:G,Disponibilidade!G24,'Motivos De Parada'!H:H,Disponibilidade!H24,'Motivos De Parada'!E:E,Disponibilidade!C24,'Motivos De Parada'!D:D,Disponibilidade!E24,'Motivos De Parada'!O:O,{"DISPONIBILIDADE MECÂNICA";"DISPONIBILIDADE OPERACIONAL"},'Motivos De Parada'!P:P,"SIM")),"-")</f>
        <v>0</v>
      </c>
      <c r="AG24" s="16">
        <f t="shared" si="61"/>
        <v>0</v>
      </c>
      <c r="AH24" s="28" t="str">
        <f t="shared" si="67"/>
        <v>OK</v>
      </c>
      <c r="AI24" s="16" t="str" cm="1">
        <f t="array" ref="AI24">IFERROR(INDEX('Metas DM &amp; DO'!$A:$AAD,MATCH(Disponibilidade!$G24,'Metas DM &amp; DO'!$A:$A,0),MATCH(Disponibilidade!$U24,'Metas DM &amp; DO'!$1:$1,0)+2),"-")</f>
        <v>-</v>
      </c>
      <c r="AJ24" s="16" t="str" cm="1">
        <f t="array" ref="AJ24">IFERROR(INDEX('Metas DM &amp; DO'!$A:$AAD,MATCH(Disponibilidade!$G24,'Metas DM &amp; DO'!$A:$A,0),MATCH(Disponibilidade!$U24,'Metas DM &amp; DO'!$1:$1,0)+3),"-")</f>
        <v>-</v>
      </c>
      <c r="AK24" s="16" t="str" cm="1">
        <f t="array" ref="AK24">IFERROR(INDEX('Metas DM &amp; DO'!$A:$AAD,MATCH(Disponibilidade!$G24,'Metas DM &amp; DO'!$A:$A,0),MATCH(Disponibilidade!$U24,'Metas DM &amp; DO'!$1:$1,0)+4),"-")</f>
        <v>-</v>
      </c>
      <c r="AL24" s="11" t="str">
        <f t="shared" si="62"/>
        <v>EXCELENTE</v>
      </c>
    </row>
    <row r="25" spans="1:38" x14ac:dyDescent="0.3">
      <c r="A25" s="11">
        <f t="shared" si="63"/>
        <v>2026</v>
      </c>
      <c r="B25" s="12">
        <f t="shared" si="64"/>
        <v>46023</v>
      </c>
      <c r="C25" s="19">
        <v>46024</v>
      </c>
      <c r="D25" s="3" t="s">
        <v>130</v>
      </c>
      <c r="E25" s="11" t="s">
        <v>81</v>
      </c>
      <c r="F25" s="11" t="str" cm="1">
        <f t="array" ref="F25">IFERROR(INDEX('Motivos De Parada'!C:C,MATCH(1,('Motivos De Parada'!E:E=Disponibilidade!C25)*('Motivos De Parada'!G:G=Disponibilidade!G25)*('Motivos De Parada'!D:D=Disponibilidade!E25),0)),"-")</f>
        <v>-</v>
      </c>
      <c r="G25" s="11" t="str">
        <f>IFERROR(VLOOKUP(D25,Cadastros!A:B,2,FALSE),"-")</f>
        <v>GARRA TRAÇADORA 2</v>
      </c>
      <c r="H25" s="11" t="str">
        <f>IFERROR(VLOOKUP(G25,Cadastros!B:D,3,FALSE),"-")</f>
        <v>TRAÇAMENTO</v>
      </c>
      <c r="I25" s="9" t="s">
        <v>20</v>
      </c>
      <c r="J25" s="26">
        <f>IFERROR(MAX(0,1 - (SUMIFS('Motivos De Parada'!K:K,'Motivos De Parada'!G:G,Disponibilidade!G25,'Motivos De Parada'!H:H,Disponibilidade!H25,'Motivos De Parada'!O:O,Disponibilidade!I25,'Motivos De Parada'!E:E,Disponibilidade!C25,'Motivos De Parada'!D:D,Disponibilidade!E25) / 24)),"-")</f>
        <v>1</v>
      </c>
      <c r="K25" s="24" t="str" cm="1">
        <f t="array" ref="K25">IFERROR(INDEX('Metas DM &amp; DO'!$A:$AAD,MATCH(Disponibilidade!$G25,'Metas DM &amp; DO'!$A:$A,0),MATCH(Disponibilidade!$I25,'Metas DM &amp; DO'!$1:$1,0)+1),"-")</f>
        <v>-</v>
      </c>
      <c r="L25" s="24" t="str" cm="1">
        <f t="array" ref="L25">IFERROR(INDEX('Metas DM &amp; DO'!$A:$AAD,MATCH(Disponibilidade!$G25,'Metas DM &amp; DO'!$A:$A,0),MATCH(Disponibilidade!$I25,'Metas DM &amp; DO'!$1:$1,0)+2),"-")</f>
        <v>-</v>
      </c>
      <c r="M25" s="24" t="str" cm="1">
        <f t="array" ref="M25">IFERROR(INDEX('Metas DM &amp; DO'!$A:$AAD,MATCH(Disponibilidade!$G25,'Metas DM &amp; DO'!$A:$A,0),MATCH(Disponibilidade!$I25,'Metas DM &amp; DO'!$1:$1,0)+3),"-")</f>
        <v>-</v>
      </c>
      <c r="N25" s="11" t="str">
        <f>IFERROR(IF(J25&lt;K25,"RUIM",IF(AND(J25&gt;=K25,J25&lt;L25),"MEDIA",IF(AND(J25&gt;=L25,J25&lt;M25),"BOA","-"))),"-")</f>
        <v>RUIM</v>
      </c>
      <c r="O25" s="9" t="s">
        <v>19</v>
      </c>
      <c r="P25" s="26">
        <f>IFERROR(MAX(0,1 - (SUMIFS('Motivos De Parada'!K:K,'Motivos De Parada'!G:G,Disponibilidade!G25,'Motivos De Parada'!H:H,Disponibilidade!H25,'Motivos De Parada'!O:O,Disponibilidade!O25,'Motivos De Parada'!E:E,Disponibilidade!C25,'Motivos De Parada'!D:D,Disponibilidade!E25) / 24)),"-")</f>
        <v>1</v>
      </c>
      <c r="Q25" s="24" t="str" cm="1">
        <f t="array" ref="Q25">IFERROR(INDEX('Metas DM &amp; DO'!$A:$AAD,MATCH(Disponibilidade!$G25,'Metas DM &amp; DO'!$A:$A,0),MATCH(Disponibilidade!$O25,'Metas DM &amp; DO'!$1:$1,0)+1),"-")</f>
        <v>-</v>
      </c>
      <c r="R25" s="24" t="str" cm="1">
        <f t="array" ref="R25">IFERROR(INDEX('Metas DM &amp; DO'!$A:$AAD,MATCH(Disponibilidade!$G25,'Metas DM &amp; DO'!$A:$A,0),MATCH(Disponibilidade!$O25,'Metas DM &amp; DO'!$1:$1,0)+2),"-")</f>
        <v>-</v>
      </c>
      <c r="S25" s="24" t="str" cm="1">
        <f t="array" ref="S25">IFERROR(INDEX('Metas DM &amp; DO'!$A:$AAD,MATCH(Disponibilidade!$G25,'Metas DM &amp; DO'!$A:$A,0),MATCH(Disponibilidade!$O25,'Metas DM &amp; DO'!$1:$1,0)+3),"-")</f>
        <v>-</v>
      </c>
      <c r="T25" s="11" t="str">
        <f t="shared" si="57"/>
        <v>RUIM</v>
      </c>
      <c r="U25" s="9" t="s">
        <v>59</v>
      </c>
      <c r="V25" s="16">
        <f>IFERROR(SUMIFS('Motivos De Parada'!K:K,'Motivos De Parada'!G:G,Disponibilidade!G25,'Motivos De Parada'!H:H,Disponibilidade!H25,'Motivos De Parada'!O:O,Disponibilidade!I25,'Motivos De Parada'!E:E,Disponibilidade!C25,'Motivos De Parada'!D:D,Disponibilidade!E25),"-")</f>
        <v>0</v>
      </c>
      <c r="W25" s="16">
        <f>IFERROR(SUMIFS('Motivos De Parada'!K:K,'Motivos De Parada'!G:G,Disponibilidade!G25,'Motivos De Parada'!H:H,Disponibilidade!H25,'Motivos De Parada'!O:O,Disponibilidade!O25,'Motivos De Parada'!E:E,Disponibilidade!C25,'Motivos De Parada'!D:D,Disponibilidade!E25),"-")</f>
        <v>0</v>
      </c>
      <c r="X25" s="16">
        <f t="shared" si="58"/>
        <v>0</v>
      </c>
      <c r="Y25" s="16">
        <f>IFERROR(SUMIFS('Motivos De Parada'!K:K,'Motivos De Parada'!G:G,Disponibilidade!G25,'Motivos De Parada'!H:H,Disponibilidade!H25,'Motivos De Parada'!E:E,Disponibilidade!C25,'Motivos De Parada'!D:D,Disponibilidade!E25),"-")</f>
        <v>0</v>
      </c>
      <c r="Z25" s="28" t="str">
        <f t="shared" si="65"/>
        <v>OK</v>
      </c>
      <c r="AA25" s="16">
        <f t="shared" si="59"/>
        <v>0</v>
      </c>
      <c r="AB25" s="16">
        <f>IFERROR(SUMIFS('Motivos De Parada'!K:K,'Motivos De Parada'!G:G,Disponibilidade!G25,'Motivos De Parada'!H:H,Disponibilidade!H25,'Motivos De Parada'!E:E,Disponibilidade!C25,'Motivos De Parada'!D:D,Disponibilidade!E25,'Motivos De Parada'!M:M,"REFEIÇÃO"),"-")</f>
        <v>0</v>
      </c>
      <c r="AC25" s="16">
        <f t="shared" si="60"/>
        <v>0</v>
      </c>
      <c r="AD25" s="28" t="str">
        <f t="shared" si="66"/>
        <v>OK</v>
      </c>
      <c r="AE25" s="16" cm="1">
        <f t="array" ref="AE25">IFERROR(SUM(SUMIFS('Motivos De Parada'!K:K,'Motivos De Parada'!G:G,Disponibilidade!G25,'Motivos De Parada'!H:H,Disponibilidade!H25,'Motivos De Parada'!E:E,Disponibilidade!C25,'Motivos De Parada'!D:D,Disponibilidade!E25,'Motivos De Parada'!O:O,{"DISPONIBILIDADE MECÂNICA";"DISPONIBILIDADE OPERACIONAL"},'Motivos De Parada'!P:P,"NÃO")),"-")</f>
        <v>0</v>
      </c>
      <c r="AF25" s="16" cm="1">
        <f t="array" ref="AF25">IFERROR(SUM(SUMIFS('Motivos De Parada'!K:K,'Motivos De Parada'!G:G,Disponibilidade!G25,'Motivos De Parada'!H:H,Disponibilidade!H25,'Motivos De Parada'!E:E,Disponibilidade!C25,'Motivos De Parada'!D:D,Disponibilidade!E25,'Motivos De Parada'!O:O,{"DISPONIBILIDADE MECÂNICA";"DISPONIBILIDADE OPERACIONAL"},'Motivos De Parada'!P:P,"SIM")),"-")</f>
        <v>0</v>
      </c>
      <c r="AG25" s="16">
        <f t="shared" si="61"/>
        <v>0</v>
      </c>
      <c r="AH25" s="28" t="str">
        <f t="shared" si="67"/>
        <v>OK</v>
      </c>
      <c r="AI25" s="16" t="str" cm="1">
        <f t="array" ref="AI25">IFERROR(INDEX('Metas DM &amp; DO'!$A:$AAD,MATCH(Disponibilidade!$G25,'Metas DM &amp; DO'!$A:$A,0),MATCH(Disponibilidade!$U25,'Metas DM &amp; DO'!$1:$1,0)+2),"-")</f>
        <v>-</v>
      </c>
      <c r="AJ25" s="16" t="str" cm="1">
        <f t="array" ref="AJ25">IFERROR(INDEX('Metas DM &amp; DO'!$A:$AAD,MATCH(Disponibilidade!$G25,'Metas DM &amp; DO'!$A:$A,0),MATCH(Disponibilidade!$U25,'Metas DM &amp; DO'!$1:$1,0)+3),"-")</f>
        <v>-</v>
      </c>
      <c r="AK25" s="16" t="str" cm="1">
        <f t="array" ref="AK25">IFERROR(INDEX('Metas DM &amp; DO'!$A:$AAD,MATCH(Disponibilidade!$G25,'Metas DM &amp; DO'!$A:$A,0),MATCH(Disponibilidade!$U25,'Metas DM &amp; DO'!$1:$1,0)+4),"-")</f>
        <v>-</v>
      </c>
      <c r="AL25" s="11" t="str">
        <f t="shared" si="62"/>
        <v>EXCELENTE</v>
      </c>
    </row>
    <row r="26" spans="1:38" x14ac:dyDescent="0.3">
      <c r="A26" s="11">
        <f t="shared" si="63"/>
        <v>2026</v>
      </c>
      <c r="B26" s="12">
        <f t="shared" si="64"/>
        <v>46023</v>
      </c>
      <c r="C26" s="19">
        <v>46025</v>
      </c>
      <c r="D26" s="3" t="s">
        <v>120</v>
      </c>
      <c r="E26" s="11" t="s">
        <v>80</v>
      </c>
      <c r="F26" s="11" t="str" cm="1">
        <f t="array" ref="F26">IFERROR(INDEX('Motivos De Parada'!C:C,MATCH(1,('Motivos De Parada'!E:E=Disponibilidade!C26)*('Motivos De Parada'!G:G=Disponibilidade!G26)*('Motivos De Parada'!D:D=Disponibilidade!E26),0)),"-")</f>
        <v>OPERADOR 1</v>
      </c>
      <c r="G26" s="11" t="str">
        <f>IFERROR(VLOOKUP(D26,Cadastros!A:B,2,FALSE),"-")</f>
        <v>FELLER BUNCHER 1</v>
      </c>
      <c r="H26" s="11" t="str">
        <f>IFERROR(VLOOKUP(G26,Cadastros!B:D,3,FALSE),"-")</f>
        <v>CORTE</v>
      </c>
      <c r="I26" s="9" t="s">
        <v>20</v>
      </c>
      <c r="J26" s="26">
        <f>IFERROR(MAX(0,1 - (SUMIFS('Motivos De Parada'!K:K,'Motivos De Parada'!G:G,Disponibilidade!G26,'Motivos De Parada'!H:H,Disponibilidade!H26,'Motivos De Parada'!O:O,Disponibilidade!I26,'Motivos De Parada'!E:E,Disponibilidade!C26,'Motivos De Parada'!D:D,Disponibilidade!E26) / 24)),"-")</f>
        <v>1</v>
      </c>
      <c r="K26" s="24" cm="1">
        <f t="array" ref="K26">IFERROR(INDEX('Metas DM &amp; DO'!$A:$AAD,MATCH(Disponibilidade!$G26,'Metas DM &amp; DO'!$A:$A,0),MATCH(Disponibilidade!$I26,'Metas DM &amp; DO'!$1:$1,0)+1),"-")</f>
        <v>0.45882352941176474</v>
      </c>
      <c r="L26" s="24" cm="1">
        <f t="array" ref="L26">IFERROR(INDEX('Metas DM &amp; DO'!$A:$AAD,MATCH(Disponibilidade!$G26,'Metas DM &amp; DO'!$A:$A,0),MATCH(Disponibilidade!$I26,'Metas DM &amp; DO'!$1:$1,0)+2),"-")</f>
        <v>0.66341463414634161</v>
      </c>
      <c r="M26" s="24" cm="1">
        <f t="array" ref="M26">IFERROR(INDEX('Metas DM &amp; DO'!$A:$AAD,MATCH(Disponibilidade!$G26,'Metas DM &amp; DO'!$A:$A,0),MATCH(Disponibilidade!$I26,'Metas DM &amp; DO'!$1:$1,0)+3),"-")</f>
        <v>0.83333333333333337</v>
      </c>
      <c r="N26" s="11" t="str">
        <f t="shared" ref="N26:N32" si="68">IFERROR(IF(J26&lt;K26,"RUIM",IF(AND(J26&gt;=K26,J26&lt;L26),"MEDIA",IF(AND(J26&gt;=L26,J26&lt;M26),"BOA","-"))),"-")</f>
        <v>-</v>
      </c>
      <c r="O26" s="9" t="s">
        <v>19</v>
      </c>
      <c r="P26" s="26">
        <f>IFERROR(MAX(0,1 - (SUMIFS('Motivos De Parada'!K:K,'Motivos De Parada'!G:G,Disponibilidade!G26,'Motivos De Parada'!H:H,Disponibilidade!H26,'Motivos De Parada'!O:O,Disponibilidade!O26,'Motivos De Parada'!E:E,Disponibilidade!C26,'Motivos De Parada'!D:D,Disponibilidade!E26) / 24)),"-")</f>
        <v>1</v>
      </c>
      <c r="Q26" s="24" cm="1">
        <f t="array" ref="Q26">IFERROR(INDEX('Metas DM &amp; DO'!$A:$AAD,MATCH(Disponibilidade!$G26,'Metas DM &amp; DO'!$A:$A,0),MATCH(Disponibilidade!$O26,'Metas DM &amp; DO'!$1:$1,0)+1),"-")</f>
        <v>0.74117647058823533</v>
      </c>
      <c r="R26" s="24" cm="1">
        <f t="array" ref="R26">IFERROR(INDEX('Metas DM &amp; DO'!$A:$AAD,MATCH(Disponibilidade!$G26,'Metas DM &amp; DO'!$A:$A,0),MATCH(Disponibilidade!$O26,'Metas DM &amp; DO'!$1:$1,0)+2),"-")</f>
        <v>0.83902439024390252</v>
      </c>
      <c r="S26" s="24" cm="1">
        <f t="array" ref="S26">IFERROR(INDEX('Metas DM &amp; DO'!$A:$AAD,MATCH(Disponibilidade!$G26,'Metas DM &amp; DO'!$A:$A,0),MATCH(Disponibilidade!$O26,'Metas DM &amp; DO'!$1:$1,0)+3),"-")</f>
        <v>0.79166666666666674</v>
      </c>
      <c r="T26" s="11" t="str">
        <f t="shared" si="57"/>
        <v>-</v>
      </c>
      <c r="U26" s="9" t="s">
        <v>59</v>
      </c>
      <c r="V26" s="16">
        <f>IFERROR(SUMIFS('Motivos De Parada'!K:K,'Motivos De Parada'!G:G,Disponibilidade!G26,'Motivos De Parada'!H:H,Disponibilidade!H26,'Motivos De Parada'!O:O,Disponibilidade!I26,'Motivos De Parada'!E:E,Disponibilidade!C26,'Motivos De Parada'!D:D,Disponibilidade!E26),"-")</f>
        <v>0</v>
      </c>
      <c r="W26" s="16">
        <f>IFERROR(SUMIFS('Motivos De Parada'!K:K,'Motivos De Parada'!G:G,Disponibilidade!G26,'Motivos De Parada'!H:H,Disponibilidade!H26,'Motivos De Parada'!O:O,Disponibilidade!O26,'Motivos De Parada'!E:E,Disponibilidade!C26,'Motivos De Parada'!D:D,Disponibilidade!E26),"-")</f>
        <v>0</v>
      </c>
      <c r="X26" s="16">
        <f t="shared" si="58"/>
        <v>0</v>
      </c>
      <c r="Y26" s="16">
        <f>IFERROR(SUMIFS('Motivos De Parada'!K:K,'Motivos De Parada'!G:G,Disponibilidade!G26,'Motivos De Parada'!H:H,Disponibilidade!H26,'Motivos De Parada'!E:E,Disponibilidade!C26,'Motivos De Parada'!D:D,Disponibilidade!E26),"-")</f>
        <v>12</v>
      </c>
      <c r="Z26" s="28" t="str">
        <f>IFERROR(IF(Y26=0,"OK",IF(OR(Y26&gt;12,Y26&lt;12),"VERIFICAR","OK")),"-")</f>
        <v>OK</v>
      </c>
      <c r="AA26" s="16">
        <f t="shared" si="59"/>
        <v>0</v>
      </c>
      <c r="AB26" s="16">
        <f>IFERROR(SUMIFS('Motivos De Parada'!K:K,'Motivos De Parada'!G:G,Disponibilidade!G26,'Motivos De Parada'!H:H,Disponibilidade!H26,'Motivos De Parada'!E:E,Disponibilidade!C26,'Motivos De Parada'!D:D,Disponibilidade!E26,'Motivos De Parada'!M:M,"REFEIÇÃO"),"-")</f>
        <v>0</v>
      </c>
      <c r="AC26" s="16">
        <f t="shared" si="60"/>
        <v>12</v>
      </c>
      <c r="AD26" s="28" t="str">
        <f>IFERROR(IF(AC26&lt;0,"VERIFICAR","OK"),"-")</f>
        <v>OK</v>
      </c>
      <c r="AE26" s="16" cm="1">
        <f t="array" ref="AE26">IFERROR(SUM(SUMIFS('Motivos De Parada'!K:K,'Motivos De Parada'!G:G,Disponibilidade!G26,'Motivos De Parada'!H:H,Disponibilidade!H26,'Motivos De Parada'!E:E,Disponibilidade!C26,'Motivos De Parada'!D:D,Disponibilidade!E26,'Motivos De Parada'!O:O,{"DISPONIBILIDADE MECÂNICA";"DISPONIBILIDADE OPERACIONAL"},'Motivos De Parada'!P:P,"NÃO")),"-")</f>
        <v>0</v>
      </c>
      <c r="AF26" s="16" cm="1">
        <f t="array" ref="AF26">IFERROR(SUM(SUMIFS('Motivos De Parada'!K:K,'Motivos De Parada'!G:G,Disponibilidade!G26,'Motivos De Parada'!H:H,Disponibilidade!H26,'Motivos De Parada'!E:E,Disponibilidade!C26,'Motivos De Parada'!D:D,Disponibilidade!E26,'Motivos De Parada'!O:O,{"DISPONIBILIDADE MECÂNICA";"DISPONIBILIDADE OPERACIONAL"},'Motivos De Parada'!P:P,"SIM")),"-")</f>
        <v>0</v>
      </c>
      <c r="AG26" s="16">
        <f t="shared" si="61"/>
        <v>12</v>
      </c>
      <c r="AH26" s="28" t="str">
        <f>IFERROR(IF(AND(AG26=0,AC26=0),"OK",IF(AG26=AC26,"VERIFICAR","OK")),"-")</f>
        <v>VERIFICAR</v>
      </c>
      <c r="AI26" s="16" cm="1">
        <f t="array" ref="AI26">IFERROR(INDEX('Metas DM &amp; DO'!$A:$AAD,MATCH(Disponibilidade!$G26,'Metas DM &amp; DO'!$A:$A,0),MATCH(Disponibilidade!$U26,'Metas DM &amp; DO'!$1:$1,0)+2),"-")</f>
        <v>4.8</v>
      </c>
      <c r="AJ26" s="16" cm="1">
        <f t="array" ref="AJ26">IFERROR(INDEX('Metas DM &amp; DO'!$A:$AAD,MATCH(Disponibilidade!$G26,'Metas DM &amp; DO'!$A:$A,0),MATCH(Disponibilidade!$U26,'Metas DM &amp; DO'!$1:$1,0)+3),"-")</f>
        <v>2.9853658536585361</v>
      </c>
      <c r="AK26" s="16" cm="1">
        <f t="array" ref="AK26">IFERROR(INDEX('Metas DM &amp; DO'!$A:$AAD,MATCH(Disponibilidade!$G26,'Metas DM &amp; DO'!$A:$A,0),MATCH(Disponibilidade!$U26,'Metas DM &amp; DO'!$1:$1,0)+4),"-")</f>
        <v>12</v>
      </c>
      <c r="AL26" s="11" t="str">
        <f t="shared" si="62"/>
        <v>EXCELENTE</v>
      </c>
    </row>
    <row r="27" spans="1:38" x14ac:dyDescent="0.3">
      <c r="A27" s="11">
        <f t="shared" si="63"/>
        <v>2026</v>
      </c>
      <c r="B27" s="12">
        <f t="shared" si="64"/>
        <v>46023</v>
      </c>
      <c r="C27" s="19">
        <v>46025</v>
      </c>
      <c r="D27" s="3" t="s">
        <v>120</v>
      </c>
      <c r="E27" s="11" t="s">
        <v>81</v>
      </c>
      <c r="F27" s="11" t="str" cm="1">
        <f t="array" ref="F27">IFERROR(INDEX('Motivos De Parada'!C:C,MATCH(1,('Motivos De Parada'!E:E=Disponibilidade!C27)*('Motivos De Parada'!G:G=Disponibilidade!G27)*('Motivos De Parada'!D:D=Disponibilidade!E27),0)),"-")</f>
        <v>OPERADOR 2</v>
      </c>
      <c r="G27" s="11" t="str">
        <f>IFERROR(VLOOKUP(D27,Cadastros!A:B,2,FALSE),"-")</f>
        <v>FELLER BUNCHER 1</v>
      </c>
      <c r="H27" s="11" t="str">
        <f>IFERROR(VLOOKUP(G27,Cadastros!B:D,3,FALSE),"-")</f>
        <v>CORTE</v>
      </c>
      <c r="I27" s="9" t="s">
        <v>20</v>
      </c>
      <c r="J27" s="26">
        <f>IFERROR(MAX(0,1 - (SUMIFS('Motivos De Parada'!K:K,'Motivos De Parada'!G:G,Disponibilidade!G27,'Motivos De Parada'!H:H,Disponibilidade!H27,'Motivos De Parada'!O:O,Disponibilidade!I27,'Motivos De Parada'!E:E,Disponibilidade!C27,'Motivos De Parada'!D:D,Disponibilidade!E27) / 24)),"-")</f>
        <v>0.5</v>
      </c>
      <c r="K27" s="24" cm="1">
        <f t="array" ref="K27">IFERROR(INDEX('Metas DM &amp; DO'!$A:$AAD,MATCH(Disponibilidade!$G27,'Metas DM &amp; DO'!$A:$A,0),MATCH(Disponibilidade!$I27,'Metas DM &amp; DO'!$1:$1,0)+1),"-")</f>
        <v>0.45882352941176474</v>
      </c>
      <c r="L27" s="24" cm="1">
        <f t="array" ref="L27">IFERROR(INDEX('Metas DM &amp; DO'!$A:$AAD,MATCH(Disponibilidade!$G27,'Metas DM &amp; DO'!$A:$A,0),MATCH(Disponibilidade!$I27,'Metas DM &amp; DO'!$1:$1,0)+2),"-")</f>
        <v>0.66341463414634161</v>
      </c>
      <c r="M27" s="24" cm="1">
        <f t="array" ref="M27">IFERROR(INDEX('Metas DM &amp; DO'!$A:$AAD,MATCH(Disponibilidade!$G27,'Metas DM &amp; DO'!$A:$A,0),MATCH(Disponibilidade!$I27,'Metas DM &amp; DO'!$1:$1,0)+3),"-")</f>
        <v>0.83333333333333337</v>
      </c>
      <c r="N27" s="11" t="str">
        <f t="shared" si="68"/>
        <v>MEDIA</v>
      </c>
      <c r="O27" s="9" t="s">
        <v>19</v>
      </c>
      <c r="P27" s="26">
        <f>IFERROR(MAX(0,1 - (SUMIFS('Motivos De Parada'!K:K,'Motivos De Parada'!G:G,Disponibilidade!G27,'Motivos De Parada'!H:H,Disponibilidade!H27,'Motivos De Parada'!O:O,Disponibilidade!O27,'Motivos De Parada'!E:E,Disponibilidade!C27,'Motivos De Parada'!D:D,Disponibilidade!E27) / 24)),"-")</f>
        <v>1</v>
      </c>
      <c r="Q27" s="24" cm="1">
        <f t="array" ref="Q27">IFERROR(INDEX('Metas DM &amp; DO'!$A:$AAD,MATCH(Disponibilidade!$G27,'Metas DM &amp; DO'!$A:$A,0),MATCH(Disponibilidade!$O27,'Metas DM &amp; DO'!$1:$1,0)+1),"-")</f>
        <v>0.74117647058823533</v>
      </c>
      <c r="R27" s="24" cm="1">
        <f t="array" ref="R27">IFERROR(INDEX('Metas DM &amp; DO'!$A:$AAD,MATCH(Disponibilidade!$G27,'Metas DM &amp; DO'!$A:$A,0),MATCH(Disponibilidade!$O27,'Metas DM &amp; DO'!$1:$1,0)+2),"-")</f>
        <v>0.83902439024390252</v>
      </c>
      <c r="S27" s="24" cm="1">
        <f t="array" ref="S27">IFERROR(INDEX('Metas DM &amp; DO'!$A:$AAD,MATCH(Disponibilidade!$G27,'Metas DM &amp; DO'!$A:$A,0),MATCH(Disponibilidade!$O27,'Metas DM &amp; DO'!$1:$1,0)+3),"-")</f>
        <v>0.79166666666666674</v>
      </c>
      <c r="T27" s="11" t="str">
        <f t="shared" si="57"/>
        <v>-</v>
      </c>
      <c r="U27" s="9" t="s">
        <v>59</v>
      </c>
      <c r="V27" s="16">
        <f>IFERROR(SUMIFS('Motivos De Parada'!K:K,'Motivos De Parada'!G:G,Disponibilidade!G27,'Motivos De Parada'!H:H,Disponibilidade!H27,'Motivos De Parada'!O:O,Disponibilidade!I27,'Motivos De Parada'!E:E,Disponibilidade!C27,'Motivos De Parada'!D:D,Disponibilidade!E27),"-")</f>
        <v>12</v>
      </c>
      <c r="W27" s="16">
        <f>IFERROR(SUMIFS('Motivos De Parada'!K:K,'Motivos De Parada'!G:G,Disponibilidade!G27,'Motivos De Parada'!H:H,Disponibilidade!H27,'Motivos De Parada'!O:O,Disponibilidade!O27,'Motivos De Parada'!E:E,Disponibilidade!C27,'Motivos De Parada'!D:D,Disponibilidade!E27),"-")</f>
        <v>0</v>
      </c>
      <c r="X27" s="16">
        <f t="shared" si="58"/>
        <v>6</v>
      </c>
      <c r="Y27" s="16">
        <f>IFERROR(SUMIFS('Motivos De Parada'!K:K,'Motivos De Parada'!G:G,Disponibilidade!G27,'Motivos De Parada'!H:H,Disponibilidade!H27,'Motivos De Parada'!E:E,Disponibilidade!C27,'Motivos De Parada'!D:D,Disponibilidade!E27),"-")</f>
        <v>12</v>
      </c>
      <c r="Z27" s="28" t="str">
        <f t="shared" ref="Z27:Z33" si="69">IFERROR(IF(Y27=0,"OK",IF(OR(Y27&gt;12,Y27&lt;12),"VERIFICAR","OK")),"-")</f>
        <v>OK</v>
      </c>
      <c r="AA27" s="16">
        <f t="shared" si="59"/>
        <v>12</v>
      </c>
      <c r="AB27" s="16">
        <f>IFERROR(SUMIFS('Motivos De Parada'!K:K,'Motivos De Parada'!G:G,Disponibilidade!G27,'Motivos De Parada'!H:H,Disponibilidade!H27,'Motivos De Parada'!E:E,Disponibilidade!C27,'Motivos De Parada'!D:D,Disponibilidade!E27,'Motivos De Parada'!M:M,"REFEIÇÃO"),"-")</f>
        <v>0</v>
      </c>
      <c r="AC27" s="16">
        <f t="shared" si="60"/>
        <v>0</v>
      </c>
      <c r="AD27" s="28" t="str">
        <f t="shared" ref="AD27:AD33" si="70">IFERROR(IF(AC27&lt;0,"VERIFICAR","OK"),"-")</f>
        <v>OK</v>
      </c>
      <c r="AE27" s="16" cm="1">
        <f t="array" ref="AE27">IFERROR(SUM(SUMIFS('Motivos De Parada'!K:K,'Motivos De Parada'!G:G,Disponibilidade!G27,'Motivos De Parada'!H:H,Disponibilidade!H27,'Motivos De Parada'!E:E,Disponibilidade!C27,'Motivos De Parada'!D:D,Disponibilidade!E27,'Motivos De Parada'!O:O,{"DISPONIBILIDADE MECÂNICA";"DISPONIBILIDADE OPERACIONAL"},'Motivos De Parada'!P:P,"NÃO")),"-")</f>
        <v>12</v>
      </c>
      <c r="AF27" s="16" cm="1">
        <f t="array" ref="AF27">IFERROR(SUM(SUMIFS('Motivos De Parada'!K:K,'Motivos De Parada'!G:G,Disponibilidade!G27,'Motivos De Parada'!H:H,Disponibilidade!H27,'Motivos De Parada'!E:E,Disponibilidade!C27,'Motivos De Parada'!D:D,Disponibilidade!E27,'Motivos De Parada'!O:O,{"DISPONIBILIDADE MECÂNICA";"DISPONIBILIDADE OPERACIONAL"},'Motivos De Parada'!P:P,"SIM")),"-")</f>
        <v>0</v>
      </c>
      <c r="AG27" s="16">
        <f t="shared" si="61"/>
        <v>0</v>
      </c>
      <c r="AH27" s="28" t="str">
        <f t="shared" ref="AH27:AH33" si="71">IFERROR(IF(AND(AG27=0,AC27=0),"OK",IF(AG27=AC27,"VERIFICAR","OK")),"-")</f>
        <v>OK</v>
      </c>
      <c r="AI27" s="16" cm="1">
        <f t="array" ref="AI27">IFERROR(INDEX('Metas DM &amp; DO'!$A:$AAD,MATCH(Disponibilidade!$G27,'Metas DM &amp; DO'!$A:$A,0),MATCH(Disponibilidade!$U27,'Metas DM &amp; DO'!$1:$1,0)+2),"-")</f>
        <v>4.8</v>
      </c>
      <c r="AJ27" s="16" cm="1">
        <f t="array" ref="AJ27">IFERROR(INDEX('Metas DM &amp; DO'!$A:$AAD,MATCH(Disponibilidade!$G27,'Metas DM &amp; DO'!$A:$A,0),MATCH(Disponibilidade!$U27,'Metas DM &amp; DO'!$1:$1,0)+3),"-")</f>
        <v>2.9853658536585361</v>
      </c>
      <c r="AK27" s="16" cm="1">
        <f t="array" ref="AK27">IFERROR(INDEX('Metas DM &amp; DO'!$A:$AAD,MATCH(Disponibilidade!$G27,'Metas DM &amp; DO'!$A:$A,0),MATCH(Disponibilidade!$U27,'Metas DM &amp; DO'!$1:$1,0)+4),"-")</f>
        <v>12</v>
      </c>
      <c r="AL27" s="11" t="str">
        <f t="shared" si="62"/>
        <v>ATENÇÃO</v>
      </c>
    </row>
    <row r="28" spans="1:38" x14ac:dyDescent="0.3">
      <c r="A28" s="11">
        <f t="shared" si="63"/>
        <v>2026</v>
      </c>
      <c r="B28" s="12">
        <f t="shared" si="64"/>
        <v>46023</v>
      </c>
      <c r="C28" s="19">
        <v>46025</v>
      </c>
      <c r="D28" s="3" t="s">
        <v>122</v>
      </c>
      <c r="E28" s="11" t="s">
        <v>80</v>
      </c>
      <c r="F28" s="11" t="str" cm="1">
        <f t="array" ref="F28">IFERROR(INDEX('Motivos De Parada'!C:C,MATCH(1,('Motivos De Parada'!E:E=Disponibilidade!C28)*('Motivos De Parada'!G:G=Disponibilidade!G28)*('Motivos De Parada'!D:D=Disponibilidade!E28),0)),"-")</f>
        <v>-</v>
      </c>
      <c r="G28" s="11" t="str">
        <f>IFERROR(VLOOKUP(D28,Cadastros!A:B,2,FALSE),"-")</f>
        <v>FELLER BUNCHER 2</v>
      </c>
      <c r="H28" s="11" t="str">
        <f>IFERROR(VLOOKUP(G28,Cadastros!B:D,3,FALSE),"-")</f>
        <v>CORTE</v>
      </c>
      <c r="I28" s="9" t="s">
        <v>20</v>
      </c>
      <c r="J28" s="26">
        <f>IFERROR(MAX(0,1 - (SUMIFS('Motivos De Parada'!K:K,'Motivos De Parada'!G:G,Disponibilidade!G28,'Motivos De Parada'!H:H,Disponibilidade!H28,'Motivos De Parada'!O:O,Disponibilidade!I28,'Motivos De Parada'!E:E,Disponibilidade!C28,'Motivos De Parada'!D:D,Disponibilidade!E28) / 24)),"-")</f>
        <v>1</v>
      </c>
      <c r="K28" s="24" cm="1">
        <f t="array" ref="K28">IFERROR(INDEX('Metas DM &amp; DO'!$A:$AAD,MATCH(Disponibilidade!$G28,'Metas DM &amp; DO'!$A:$A,0),MATCH(Disponibilidade!$I28,'Metas DM &amp; DO'!$1:$1,0)+1),"-")</f>
        <v>1</v>
      </c>
      <c r="L28" s="24" cm="1">
        <f t="array" ref="L28">IFERROR(INDEX('Metas DM &amp; DO'!$A:$AAD,MATCH(Disponibilidade!$G28,'Metas DM &amp; DO'!$A:$A,0),MATCH(Disponibilidade!$I28,'Metas DM &amp; DO'!$1:$1,0)+2),"-")</f>
        <v>1</v>
      </c>
      <c r="M28" s="24" t="str" cm="1">
        <f t="array" ref="M28">IFERROR(INDEX('Metas DM &amp; DO'!$A:$AAD,MATCH(Disponibilidade!$G28,'Metas DM &amp; DO'!$A:$A,0),MATCH(Disponibilidade!$I28,'Metas DM &amp; DO'!$1:$1,0)+3),"-")</f>
        <v>-</v>
      </c>
      <c r="N28" s="11" t="str">
        <f>IFERROR(IF(J28&lt;K28,"RUIM",IF(AND(J28&gt;=K28,J28&lt;L28),"MEDIA",IF(AND(J28&gt;=L28,J28&lt;M28),"BOA","-"))),"-")</f>
        <v>BOA</v>
      </c>
      <c r="O28" s="9" t="s">
        <v>19</v>
      </c>
      <c r="P28" s="26">
        <f>IFERROR(MAX(0,1 - (SUMIFS('Motivos De Parada'!K:K,'Motivos De Parada'!G:G,Disponibilidade!G28,'Motivos De Parada'!H:H,Disponibilidade!H28,'Motivos De Parada'!O:O,Disponibilidade!O28,'Motivos De Parada'!E:E,Disponibilidade!C28,'Motivos De Parada'!D:D,Disponibilidade!E28) / 24)),"-")</f>
        <v>1</v>
      </c>
      <c r="Q28" s="24" cm="1">
        <f t="array" ref="Q28">IFERROR(INDEX('Metas DM &amp; DO'!$A:$AAD,MATCH(Disponibilidade!$G28,'Metas DM &amp; DO'!$A:$A,0),MATCH(Disponibilidade!$O28,'Metas DM &amp; DO'!$1:$1,0)+1),"-")</f>
        <v>0.11999999999999977</v>
      </c>
      <c r="R28" s="24" cm="1">
        <f t="array" ref="R28">IFERROR(INDEX('Metas DM &amp; DO'!$A:$AAD,MATCH(Disponibilidade!$G28,'Metas DM &amp; DO'!$A:$A,0),MATCH(Disponibilidade!$O28,'Metas DM &amp; DO'!$1:$1,0)+2),"-")</f>
        <v>0.2584269662921348</v>
      </c>
      <c r="S28" s="24" cm="1">
        <f t="array" ref="S28">IFERROR(INDEX('Metas DM &amp; DO'!$A:$AAD,MATCH(Disponibilidade!$G28,'Metas DM &amp; DO'!$A:$A,0),MATCH(Disponibilidade!$O28,'Metas DM &amp; DO'!$1:$1,0)+3),"-")</f>
        <v>0.58333333333333348</v>
      </c>
      <c r="T28" s="11" t="str">
        <f t="shared" si="57"/>
        <v>-</v>
      </c>
      <c r="U28" s="9" t="s">
        <v>59</v>
      </c>
      <c r="V28" s="16">
        <f>IFERROR(SUMIFS('Motivos De Parada'!K:K,'Motivos De Parada'!G:G,Disponibilidade!G28,'Motivos De Parada'!H:H,Disponibilidade!H28,'Motivos De Parada'!O:O,Disponibilidade!I28,'Motivos De Parada'!E:E,Disponibilidade!C28,'Motivos De Parada'!D:D,Disponibilidade!E28),"-")</f>
        <v>0</v>
      </c>
      <c r="W28" s="16">
        <f>IFERROR(SUMIFS('Motivos De Parada'!K:K,'Motivos De Parada'!G:G,Disponibilidade!G28,'Motivos De Parada'!H:H,Disponibilidade!H28,'Motivos De Parada'!O:O,Disponibilidade!O28,'Motivos De Parada'!E:E,Disponibilidade!C28,'Motivos De Parada'!D:D,Disponibilidade!E28),"-")</f>
        <v>0</v>
      </c>
      <c r="X28" s="16">
        <f t="shared" si="58"/>
        <v>0</v>
      </c>
      <c r="Y28" s="16">
        <f>IFERROR(SUMIFS('Motivos De Parada'!K:K,'Motivos De Parada'!G:G,Disponibilidade!G28,'Motivos De Parada'!H:H,Disponibilidade!H28,'Motivos De Parada'!E:E,Disponibilidade!C28,'Motivos De Parada'!D:D,Disponibilidade!E28),"-")</f>
        <v>0</v>
      </c>
      <c r="Z28" s="28" t="str">
        <f t="shared" si="69"/>
        <v>OK</v>
      </c>
      <c r="AA28" s="16">
        <f t="shared" si="59"/>
        <v>0</v>
      </c>
      <c r="AB28" s="16">
        <f>IFERROR(SUMIFS('Motivos De Parada'!K:K,'Motivos De Parada'!G:G,Disponibilidade!G28,'Motivos De Parada'!H:H,Disponibilidade!H28,'Motivos De Parada'!E:E,Disponibilidade!C28,'Motivos De Parada'!D:D,Disponibilidade!E28,'Motivos De Parada'!M:M,"REFEIÇÃO"),"-")</f>
        <v>0</v>
      </c>
      <c r="AC28" s="16">
        <f t="shared" si="60"/>
        <v>0</v>
      </c>
      <c r="AD28" s="28" t="str">
        <f t="shared" si="70"/>
        <v>OK</v>
      </c>
      <c r="AE28" s="16" cm="1">
        <f t="array" ref="AE28">IFERROR(SUM(SUMIFS('Motivos De Parada'!K:K,'Motivos De Parada'!G:G,Disponibilidade!G28,'Motivos De Parada'!H:H,Disponibilidade!H28,'Motivos De Parada'!E:E,Disponibilidade!C28,'Motivos De Parada'!D:D,Disponibilidade!E28,'Motivos De Parada'!O:O,{"DISPONIBILIDADE MECÂNICA";"DISPONIBILIDADE OPERACIONAL"},'Motivos De Parada'!P:P,"NÃO")),"-")</f>
        <v>0</v>
      </c>
      <c r="AF28" s="16" cm="1">
        <f t="array" ref="AF28">IFERROR(SUM(SUMIFS('Motivos De Parada'!K:K,'Motivos De Parada'!G:G,Disponibilidade!G28,'Motivos De Parada'!H:H,Disponibilidade!H28,'Motivos De Parada'!E:E,Disponibilidade!C28,'Motivos De Parada'!D:D,Disponibilidade!E28,'Motivos De Parada'!O:O,{"DISPONIBILIDADE MECÂNICA";"DISPONIBILIDADE OPERACIONAL"},'Motivos De Parada'!P:P,"SIM")),"-")</f>
        <v>0</v>
      </c>
      <c r="AG28" s="16">
        <f t="shared" si="61"/>
        <v>0</v>
      </c>
      <c r="AH28" s="28" t="str">
        <f t="shared" si="71"/>
        <v>OK</v>
      </c>
      <c r="AI28" s="16" cm="1">
        <f t="array" ref="AI28">IFERROR(INDEX('Metas DM &amp; DO'!$A:$AAD,MATCH(Disponibilidade!$G28,'Metas DM &amp; DO'!$A:$A,0),MATCH(Disponibilidade!$U28,'Metas DM &amp; DO'!$1:$1,0)+2),"-")</f>
        <v>5.2800000000000011</v>
      </c>
      <c r="AJ28" s="16" cm="1">
        <f t="array" ref="AJ28">IFERROR(INDEX('Metas DM &amp; DO'!$A:$AAD,MATCH(Disponibilidade!$G28,'Metas DM &amp; DO'!$A:$A,0),MATCH(Disponibilidade!$U28,'Metas DM &amp; DO'!$1:$1,0)+3),"-")</f>
        <v>4.4494382022471912</v>
      </c>
      <c r="AK28" s="16" cm="1">
        <f t="array" ref="AK28">IFERROR(INDEX('Metas DM &amp; DO'!$A:$AAD,MATCH(Disponibilidade!$G28,'Metas DM &amp; DO'!$A:$A,0),MATCH(Disponibilidade!$U28,'Metas DM &amp; DO'!$1:$1,0)+4),"-")</f>
        <v>9</v>
      </c>
      <c r="AL28" s="11" t="str">
        <f t="shared" si="62"/>
        <v>EXCELENTE</v>
      </c>
    </row>
    <row r="29" spans="1:38" x14ac:dyDescent="0.3">
      <c r="A29" s="11">
        <f t="shared" si="63"/>
        <v>2026</v>
      </c>
      <c r="B29" s="12">
        <f t="shared" si="64"/>
        <v>46023</v>
      </c>
      <c r="C29" s="19">
        <v>46025</v>
      </c>
      <c r="D29" s="3" t="s">
        <v>122</v>
      </c>
      <c r="E29" s="11" t="s">
        <v>81</v>
      </c>
      <c r="F29" s="11" t="str" cm="1">
        <f t="array" ref="F29">IFERROR(INDEX('Motivos De Parada'!C:C,MATCH(1,('Motivos De Parada'!E:E=Disponibilidade!C29)*('Motivos De Parada'!G:G=Disponibilidade!G29)*('Motivos De Parada'!D:D=Disponibilidade!E29),0)),"-")</f>
        <v>-</v>
      </c>
      <c r="G29" s="11" t="str">
        <f>IFERROR(VLOOKUP(D29,Cadastros!A:B,2,FALSE),"-")</f>
        <v>FELLER BUNCHER 2</v>
      </c>
      <c r="H29" s="11" t="str">
        <f>IFERROR(VLOOKUP(G29,Cadastros!B:D,3,FALSE),"-")</f>
        <v>CORTE</v>
      </c>
      <c r="I29" s="9" t="s">
        <v>20</v>
      </c>
      <c r="J29" s="26">
        <f>IFERROR(MAX(0,1 - (SUMIFS('Motivos De Parada'!K:K,'Motivos De Parada'!G:G,Disponibilidade!G29,'Motivos De Parada'!H:H,Disponibilidade!H29,'Motivos De Parada'!O:O,Disponibilidade!I29,'Motivos De Parada'!E:E,Disponibilidade!C29,'Motivos De Parada'!D:D,Disponibilidade!E29) / 24)),"-")</f>
        <v>1</v>
      </c>
      <c r="K29" s="24" cm="1">
        <f t="array" ref="K29">IFERROR(INDEX('Metas DM &amp; DO'!$A:$AAD,MATCH(Disponibilidade!$G29,'Metas DM &amp; DO'!$A:$A,0),MATCH(Disponibilidade!$I29,'Metas DM &amp; DO'!$1:$1,0)+1),"-")</f>
        <v>1</v>
      </c>
      <c r="L29" s="24" cm="1">
        <f t="array" ref="L29">IFERROR(INDEX('Metas DM &amp; DO'!$A:$AAD,MATCH(Disponibilidade!$G29,'Metas DM &amp; DO'!$A:$A,0),MATCH(Disponibilidade!$I29,'Metas DM &amp; DO'!$1:$1,0)+2),"-")</f>
        <v>1</v>
      </c>
      <c r="M29" s="24" t="str" cm="1">
        <f t="array" ref="M29">IFERROR(INDEX('Metas DM &amp; DO'!$A:$AAD,MATCH(Disponibilidade!$G29,'Metas DM &amp; DO'!$A:$A,0),MATCH(Disponibilidade!$I29,'Metas DM &amp; DO'!$1:$1,0)+3),"-")</f>
        <v>-</v>
      </c>
      <c r="N29" s="11" t="str">
        <f>IFERROR(IF(J29&lt;K29,"RUIM",IF(AND(J29&gt;=K29,J29&lt;L29),"MEDIA",IF(AND(J29&gt;=L29,J29&lt;M29),"BOA","-"))),"-")</f>
        <v>BOA</v>
      </c>
      <c r="O29" s="9" t="s">
        <v>19</v>
      </c>
      <c r="P29" s="26">
        <f>IFERROR(MAX(0,1 - (SUMIFS('Motivos De Parada'!K:K,'Motivos De Parada'!G:G,Disponibilidade!G29,'Motivos De Parada'!H:H,Disponibilidade!H29,'Motivos De Parada'!O:O,Disponibilidade!O29,'Motivos De Parada'!E:E,Disponibilidade!C29,'Motivos De Parada'!D:D,Disponibilidade!E29) / 24)),"-")</f>
        <v>1</v>
      </c>
      <c r="Q29" s="24" cm="1">
        <f t="array" ref="Q29">IFERROR(INDEX('Metas DM &amp; DO'!$A:$AAD,MATCH(Disponibilidade!$G29,'Metas DM &amp; DO'!$A:$A,0),MATCH(Disponibilidade!$O29,'Metas DM &amp; DO'!$1:$1,0)+1),"-")</f>
        <v>0.11999999999999977</v>
      </c>
      <c r="R29" s="24" cm="1">
        <f t="array" ref="R29">IFERROR(INDEX('Metas DM &amp; DO'!$A:$AAD,MATCH(Disponibilidade!$G29,'Metas DM &amp; DO'!$A:$A,0),MATCH(Disponibilidade!$O29,'Metas DM &amp; DO'!$1:$1,0)+2),"-")</f>
        <v>0.2584269662921348</v>
      </c>
      <c r="S29" s="24" cm="1">
        <f t="array" ref="S29">IFERROR(INDEX('Metas DM &amp; DO'!$A:$AAD,MATCH(Disponibilidade!$G29,'Metas DM &amp; DO'!$A:$A,0),MATCH(Disponibilidade!$O29,'Metas DM &amp; DO'!$1:$1,0)+3),"-")</f>
        <v>0.58333333333333348</v>
      </c>
      <c r="T29" s="11" t="str">
        <f t="shared" si="57"/>
        <v>-</v>
      </c>
      <c r="U29" s="9" t="s">
        <v>59</v>
      </c>
      <c r="V29" s="16">
        <f>IFERROR(SUMIFS('Motivos De Parada'!K:K,'Motivos De Parada'!G:G,Disponibilidade!G29,'Motivos De Parada'!H:H,Disponibilidade!H29,'Motivos De Parada'!O:O,Disponibilidade!I29,'Motivos De Parada'!E:E,Disponibilidade!C29,'Motivos De Parada'!D:D,Disponibilidade!E29),"-")</f>
        <v>0</v>
      </c>
      <c r="W29" s="16">
        <f>IFERROR(SUMIFS('Motivos De Parada'!K:K,'Motivos De Parada'!G:G,Disponibilidade!G29,'Motivos De Parada'!H:H,Disponibilidade!H29,'Motivos De Parada'!O:O,Disponibilidade!O29,'Motivos De Parada'!E:E,Disponibilidade!C29,'Motivos De Parada'!D:D,Disponibilidade!E29),"-")</f>
        <v>0</v>
      </c>
      <c r="X29" s="16">
        <f t="shared" si="58"/>
        <v>0</v>
      </c>
      <c r="Y29" s="16">
        <f>IFERROR(SUMIFS('Motivos De Parada'!K:K,'Motivos De Parada'!G:G,Disponibilidade!G29,'Motivos De Parada'!H:H,Disponibilidade!H29,'Motivos De Parada'!E:E,Disponibilidade!C29,'Motivos De Parada'!D:D,Disponibilidade!E29),"-")</f>
        <v>0</v>
      </c>
      <c r="Z29" s="28" t="str">
        <f t="shared" si="69"/>
        <v>OK</v>
      </c>
      <c r="AA29" s="16">
        <f t="shared" si="59"/>
        <v>0</v>
      </c>
      <c r="AB29" s="16">
        <f>IFERROR(SUMIFS('Motivos De Parada'!K:K,'Motivos De Parada'!G:G,Disponibilidade!G29,'Motivos De Parada'!H:H,Disponibilidade!H29,'Motivos De Parada'!E:E,Disponibilidade!C29,'Motivos De Parada'!D:D,Disponibilidade!E29,'Motivos De Parada'!M:M,"REFEIÇÃO"),"-")</f>
        <v>0</v>
      </c>
      <c r="AC29" s="16">
        <f t="shared" si="60"/>
        <v>0</v>
      </c>
      <c r="AD29" s="28" t="str">
        <f t="shared" si="70"/>
        <v>OK</v>
      </c>
      <c r="AE29" s="16" cm="1">
        <f t="array" ref="AE29">IFERROR(SUM(SUMIFS('Motivos De Parada'!K:K,'Motivos De Parada'!G:G,Disponibilidade!G29,'Motivos De Parada'!H:H,Disponibilidade!H29,'Motivos De Parada'!E:E,Disponibilidade!C29,'Motivos De Parada'!D:D,Disponibilidade!E29,'Motivos De Parada'!O:O,{"DISPONIBILIDADE MECÂNICA";"DISPONIBILIDADE OPERACIONAL"},'Motivos De Parada'!P:P,"NÃO")),"-")</f>
        <v>0</v>
      </c>
      <c r="AF29" s="16" cm="1">
        <f t="array" ref="AF29">IFERROR(SUM(SUMIFS('Motivos De Parada'!K:K,'Motivos De Parada'!G:G,Disponibilidade!G29,'Motivos De Parada'!H:H,Disponibilidade!H29,'Motivos De Parada'!E:E,Disponibilidade!C29,'Motivos De Parada'!D:D,Disponibilidade!E29,'Motivos De Parada'!O:O,{"DISPONIBILIDADE MECÂNICA";"DISPONIBILIDADE OPERACIONAL"},'Motivos De Parada'!P:P,"SIM")),"-")</f>
        <v>0</v>
      </c>
      <c r="AG29" s="16">
        <f t="shared" si="61"/>
        <v>0</v>
      </c>
      <c r="AH29" s="28" t="str">
        <f t="shared" si="71"/>
        <v>OK</v>
      </c>
      <c r="AI29" s="16" cm="1">
        <f t="array" ref="AI29">IFERROR(INDEX('Metas DM &amp; DO'!$A:$AAD,MATCH(Disponibilidade!$G29,'Metas DM &amp; DO'!$A:$A,0),MATCH(Disponibilidade!$U29,'Metas DM &amp; DO'!$1:$1,0)+2),"-")</f>
        <v>5.2800000000000011</v>
      </c>
      <c r="AJ29" s="16" cm="1">
        <f t="array" ref="AJ29">IFERROR(INDEX('Metas DM &amp; DO'!$A:$AAD,MATCH(Disponibilidade!$G29,'Metas DM &amp; DO'!$A:$A,0),MATCH(Disponibilidade!$U29,'Metas DM &amp; DO'!$1:$1,0)+3),"-")</f>
        <v>4.4494382022471912</v>
      </c>
      <c r="AK29" s="16" cm="1">
        <f t="array" ref="AK29">IFERROR(INDEX('Metas DM &amp; DO'!$A:$AAD,MATCH(Disponibilidade!$G29,'Metas DM &amp; DO'!$A:$A,0),MATCH(Disponibilidade!$U29,'Metas DM &amp; DO'!$1:$1,0)+4),"-")</f>
        <v>9</v>
      </c>
      <c r="AL29" s="11" t="str">
        <f t="shared" si="62"/>
        <v>EXCELENTE</v>
      </c>
    </row>
    <row r="30" spans="1:38" x14ac:dyDescent="0.3">
      <c r="A30" s="11">
        <f t="shared" si="63"/>
        <v>2026</v>
      </c>
      <c r="B30" s="12">
        <f t="shared" si="64"/>
        <v>46023</v>
      </c>
      <c r="C30" s="19">
        <v>46025</v>
      </c>
      <c r="D30" s="3" t="s">
        <v>124</v>
      </c>
      <c r="E30" s="11" t="s">
        <v>80</v>
      </c>
      <c r="F30" s="11" t="str" cm="1">
        <f t="array" ref="F30">IFERROR(INDEX('Motivos De Parada'!C:C,MATCH(1,('Motivos De Parada'!E:E=Disponibilidade!C30)*('Motivos De Parada'!G:G=Disponibilidade!G30)*('Motivos De Parada'!D:D=Disponibilidade!E30),0)),"-")</f>
        <v>-</v>
      </c>
      <c r="G30" s="11" t="str">
        <f>IFERROR(VLOOKUP(D30,Cadastros!A:B,2,FALSE),"-")</f>
        <v>SKIDDER 1</v>
      </c>
      <c r="H30" s="11" t="str">
        <f>IFERROR(VLOOKUP(G30,Cadastros!B:D,3,FALSE),"-")</f>
        <v>ARRASTE</v>
      </c>
      <c r="I30" s="9" t="s">
        <v>20</v>
      </c>
      <c r="J30" s="26">
        <f>IFERROR(MAX(0,1 - (SUMIFS('Motivos De Parada'!K:K,'Motivos De Parada'!G:G,Disponibilidade!G30,'Motivos De Parada'!H:H,Disponibilidade!H30,'Motivos De Parada'!O:O,Disponibilidade!I30,'Motivos De Parada'!E:E,Disponibilidade!C30,'Motivos De Parada'!D:D,Disponibilidade!E30) / 24)),"-")</f>
        <v>1</v>
      </c>
      <c r="K30" s="24" t="str" cm="1">
        <f t="array" ref="K30">IFERROR(INDEX('Metas DM &amp; DO'!$A:$AAD,MATCH(Disponibilidade!$G30,'Metas DM &amp; DO'!$A:$A,0),MATCH(Disponibilidade!$I30,'Metas DM &amp; DO'!$1:$1,0)+1),"-")</f>
        <v>-</v>
      </c>
      <c r="L30" s="24" t="str" cm="1">
        <f t="array" ref="L30">IFERROR(INDEX('Metas DM &amp; DO'!$A:$AAD,MATCH(Disponibilidade!$G30,'Metas DM &amp; DO'!$A:$A,0),MATCH(Disponibilidade!$I30,'Metas DM &amp; DO'!$1:$1,0)+2),"-")</f>
        <v>-</v>
      </c>
      <c r="M30" s="24" t="str" cm="1">
        <f t="array" ref="M30">IFERROR(INDEX('Metas DM &amp; DO'!$A:$AAD,MATCH(Disponibilidade!$G30,'Metas DM &amp; DO'!$A:$A,0),MATCH(Disponibilidade!$I30,'Metas DM &amp; DO'!$1:$1,0)+3),"-")</f>
        <v>-</v>
      </c>
      <c r="N30" s="11" t="str">
        <f t="shared" ref="N30:N36" si="72">IFERROR(IF(J30&lt;K30,"RUIM",IF(AND(J30&gt;=K30,J30&lt;L30),"MEDIA",IF(AND(J30&gt;=L30,J30&lt;M30),"BOA","-"))),"-")</f>
        <v>RUIM</v>
      </c>
      <c r="O30" s="9" t="s">
        <v>19</v>
      </c>
      <c r="P30" s="26">
        <f>IFERROR(MAX(0,1 - (SUMIFS('Motivos De Parada'!K:K,'Motivos De Parada'!G:G,Disponibilidade!G30,'Motivos De Parada'!H:H,Disponibilidade!H30,'Motivos De Parada'!O:O,Disponibilidade!O30,'Motivos De Parada'!E:E,Disponibilidade!C30,'Motivos De Parada'!D:D,Disponibilidade!E30) / 24)),"-")</f>
        <v>1</v>
      </c>
      <c r="Q30" s="24" t="str" cm="1">
        <f t="array" ref="Q30">IFERROR(INDEX('Metas DM &amp; DO'!$A:$AAD,MATCH(Disponibilidade!$G30,'Metas DM &amp; DO'!$A:$A,0),MATCH(Disponibilidade!$O30,'Metas DM &amp; DO'!$1:$1,0)+1),"-")</f>
        <v>-</v>
      </c>
      <c r="R30" s="24" t="str" cm="1">
        <f t="array" ref="R30">IFERROR(INDEX('Metas DM &amp; DO'!$A:$AAD,MATCH(Disponibilidade!$G30,'Metas DM &amp; DO'!$A:$A,0),MATCH(Disponibilidade!$O30,'Metas DM &amp; DO'!$1:$1,0)+2),"-")</f>
        <v>-</v>
      </c>
      <c r="S30" s="24" t="str" cm="1">
        <f t="array" ref="S30">IFERROR(INDEX('Metas DM &amp; DO'!$A:$AAD,MATCH(Disponibilidade!$G30,'Metas DM &amp; DO'!$A:$A,0),MATCH(Disponibilidade!$O30,'Metas DM &amp; DO'!$1:$1,0)+3),"-")</f>
        <v>-</v>
      </c>
      <c r="T30" s="11" t="str">
        <f t="shared" si="57"/>
        <v>RUIM</v>
      </c>
      <c r="U30" s="9" t="s">
        <v>59</v>
      </c>
      <c r="V30" s="16">
        <f>IFERROR(SUMIFS('Motivos De Parada'!K:K,'Motivos De Parada'!G:G,Disponibilidade!G30,'Motivos De Parada'!H:H,Disponibilidade!H30,'Motivos De Parada'!O:O,Disponibilidade!I30,'Motivos De Parada'!E:E,Disponibilidade!C30,'Motivos De Parada'!D:D,Disponibilidade!E30),"-")</f>
        <v>0</v>
      </c>
      <c r="W30" s="16">
        <f>IFERROR(SUMIFS('Motivos De Parada'!K:K,'Motivos De Parada'!G:G,Disponibilidade!G30,'Motivos De Parada'!H:H,Disponibilidade!H30,'Motivos De Parada'!O:O,Disponibilidade!O30,'Motivos De Parada'!E:E,Disponibilidade!C30,'Motivos De Parada'!D:D,Disponibilidade!E30),"-")</f>
        <v>0</v>
      </c>
      <c r="X30" s="16">
        <f t="shared" si="58"/>
        <v>0</v>
      </c>
      <c r="Y30" s="16">
        <f>IFERROR(SUMIFS('Motivos De Parada'!K:K,'Motivos De Parada'!G:G,Disponibilidade!G30,'Motivos De Parada'!H:H,Disponibilidade!H30,'Motivos De Parada'!E:E,Disponibilidade!C30,'Motivos De Parada'!D:D,Disponibilidade!E30),"-")</f>
        <v>0</v>
      </c>
      <c r="Z30" s="28" t="str">
        <f t="shared" si="69"/>
        <v>OK</v>
      </c>
      <c r="AA30" s="16">
        <f t="shared" si="59"/>
        <v>0</v>
      </c>
      <c r="AB30" s="16">
        <f>IFERROR(SUMIFS('Motivos De Parada'!K:K,'Motivos De Parada'!G:G,Disponibilidade!G30,'Motivos De Parada'!H:H,Disponibilidade!H30,'Motivos De Parada'!E:E,Disponibilidade!C30,'Motivos De Parada'!D:D,Disponibilidade!E30,'Motivos De Parada'!M:M,"REFEIÇÃO"),"-")</f>
        <v>0</v>
      </c>
      <c r="AC30" s="16">
        <f t="shared" si="60"/>
        <v>0</v>
      </c>
      <c r="AD30" s="28" t="str">
        <f t="shared" si="70"/>
        <v>OK</v>
      </c>
      <c r="AE30" s="16" cm="1">
        <f t="array" ref="AE30">IFERROR(SUM(SUMIFS('Motivos De Parada'!K:K,'Motivos De Parada'!G:G,Disponibilidade!G30,'Motivos De Parada'!H:H,Disponibilidade!H30,'Motivos De Parada'!E:E,Disponibilidade!C30,'Motivos De Parada'!D:D,Disponibilidade!E30,'Motivos De Parada'!O:O,{"DISPONIBILIDADE MECÂNICA";"DISPONIBILIDADE OPERACIONAL"},'Motivos De Parada'!P:P,"NÃO")),"-")</f>
        <v>0</v>
      </c>
      <c r="AF30" s="16" cm="1">
        <f t="array" ref="AF30">IFERROR(SUM(SUMIFS('Motivos De Parada'!K:K,'Motivos De Parada'!G:G,Disponibilidade!G30,'Motivos De Parada'!H:H,Disponibilidade!H30,'Motivos De Parada'!E:E,Disponibilidade!C30,'Motivos De Parada'!D:D,Disponibilidade!E30,'Motivos De Parada'!O:O,{"DISPONIBILIDADE MECÂNICA";"DISPONIBILIDADE OPERACIONAL"},'Motivos De Parada'!P:P,"SIM")),"-")</f>
        <v>0</v>
      </c>
      <c r="AG30" s="16">
        <f t="shared" si="61"/>
        <v>0</v>
      </c>
      <c r="AH30" s="28" t="str">
        <f t="shared" si="71"/>
        <v>OK</v>
      </c>
      <c r="AI30" s="16" t="str" cm="1">
        <f t="array" ref="AI30">IFERROR(INDEX('Metas DM &amp; DO'!$A:$AAD,MATCH(Disponibilidade!$G30,'Metas DM &amp; DO'!$A:$A,0),MATCH(Disponibilidade!$U30,'Metas DM &amp; DO'!$1:$1,0)+2),"-")</f>
        <v>-</v>
      </c>
      <c r="AJ30" s="16" t="str" cm="1">
        <f t="array" ref="AJ30">IFERROR(INDEX('Metas DM &amp; DO'!$A:$AAD,MATCH(Disponibilidade!$G30,'Metas DM &amp; DO'!$A:$A,0),MATCH(Disponibilidade!$U30,'Metas DM &amp; DO'!$1:$1,0)+3),"-")</f>
        <v>-</v>
      </c>
      <c r="AK30" s="16" t="str" cm="1">
        <f t="array" ref="AK30">IFERROR(INDEX('Metas DM &amp; DO'!$A:$AAD,MATCH(Disponibilidade!$G30,'Metas DM &amp; DO'!$A:$A,0),MATCH(Disponibilidade!$U30,'Metas DM &amp; DO'!$1:$1,0)+4),"-")</f>
        <v>-</v>
      </c>
      <c r="AL30" s="11" t="str">
        <f t="shared" si="62"/>
        <v>EXCELENTE</v>
      </c>
    </row>
    <row r="31" spans="1:38" x14ac:dyDescent="0.3">
      <c r="A31" s="11">
        <f t="shared" si="63"/>
        <v>2026</v>
      </c>
      <c r="B31" s="12">
        <f t="shared" si="64"/>
        <v>46023</v>
      </c>
      <c r="C31" s="19">
        <v>46025</v>
      </c>
      <c r="D31" s="3" t="s">
        <v>124</v>
      </c>
      <c r="E31" s="11" t="s">
        <v>81</v>
      </c>
      <c r="F31" s="11" t="str" cm="1">
        <f t="array" ref="F31">IFERROR(INDEX('Motivos De Parada'!C:C,MATCH(1,('Motivos De Parada'!E:E=Disponibilidade!C31)*('Motivos De Parada'!G:G=Disponibilidade!G31)*('Motivos De Parada'!D:D=Disponibilidade!E31),0)),"-")</f>
        <v>-</v>
      </c>
      <c r="G31" s="11" t="str">
        <f>IFERROR(VLOOKUP(D31,Cadastros!A:B,2,FALSE),"-")</f>
        <v>SKIDDER 1</v>
      </c>
      <c r="H31" s="11" t="str">
        <f>IFERROR(VLOOKUP(G31,Cadastros!B:D,3,FALSE),"-")</f>
        <v>ARRASTE</v>
      </c>
      <c r="I31" s="9" t="s">
        <v>20</v>
      </c>
      <c r="J31" s="26">
        <f>IFERROR(MAX(0,1 - (SUMIFS('Motivos De Parada'!K:K,'Motivos De Parada'!G:G,Disponibilidade!G31,'Motivos De Parada'!H:H,Disponibilidade!H31,'Motivos De Parada'!O:O,Disponibilidade!I31,'Motivos De Parada'!E:E,Disponibilidade!C31,'Motivos De Parada'!D:D,Disponibilidade!E31) / 24)),"-")</f>
        <v>1</v>
      </c>
      <c r="K31" s="24" t="str" cm="1">
        <f t="array" ref="K31">IFERROR(INDEX('Metas DM &amp; DO'!$A:$AAD,MATCH(Disponibilidade!$G31,'Metas DM &amp; DO'!$A:$A,0),MATCH(Disponibilidade!$I31,'Metas DM &amp; DO'!$1:$1,0)+1),"-")</f>
        <v>-</v>
      </c>
      <c r="L31" s="24" t="str" cm="1">
        <f t="array" ref="L31">IFERROR(INDEX('Metas DM &amp; DO'!$A:$AAD,MATCH(Disponibilidade!$G31,'Metas DM &amp; DO'!$A:$A,0),MATCH(Disponibilidade!$I31,'Metas DM &amp; DO'!$1:$1,0)+2),"-")</f>
        <v>-</v>
      </c>
      <c r="M31" s="24" t="str" cm="1">
        <f t="array" ref="M31">IFERROR(INDEX('Metas DM &amp; DO'!$A:$AAD,MATCH(Disponibilidade!$G31,'Metas DM &amp; DO'!$A:$A,0),MATCH(Disponibilidade!$I31,'Metas DM &amp; DO'!$1:$1,0)+3),"-")</f>
        <v>-</v>
      </c>
      <c r="N31" s="11" t="str">
        <f t="shared" si="72"/>
        <v>RUIM</v>
      </c>
      <c r="O31" s="9" t="s">
        <v>19</v>
      </c>
      <c r="P31" s="26">
        <f>IFERROR(MAX(0,1 - (SUMIFS('Motivos De Parada'!K:K,'Motivos De Parada'!G:G,Disponibilidade!G31,'Motivos De Parada'!H:H,Disponibilidade!H31,'Motivos De Parada'!O:O,Disponibilidade!O31,'Motivos De Parada'!E:E,Disponibilidade!C31,'Motivos De Parada'!D:D,Disponibilidade!E31) / 24)),"-")</f>
        <v>1</v>
      </c>
      <c r="Q31" s="24" t="str" cm="1">
        <f t="array" ref="Q31">IFERROR(INDEX('Metas DM &amp; DO'!$A:$AAD,MATCH(Disponibilidade!$G31,'Metas DM &amp; DO'!$A:$A,0),MATCH(Disponibilidade!$O31,'Metas DM &amp; DO'!$1:$1,0)+1),"-")</f>
        <v>-</v>
      </c>
      <c r="R31" s="24" t="str" cm="1">
        <f t="array" ref="R31">IFERROR(INDEX('Metas DM &amp; DO'!$A:$AAD,MATCH(Disponibilidade!$G31,'Metas DM &amp; DO'!$A:$A,0),MATCH(Disponibilidade!$O31,'Metas DM &amp; DO'!$1:$1,0)+2),"-")</f>
        <v>-</v>
      </c>
      <c r="S31" s="24" t="str" cm="1">
        <f t="array" ref="S31">IFERROR(INDEX('Metas DM &amp; DO'!$A:$AAD,MATCH(Disponibilidade!$G31,'Metas DM &amp; DO'!$A:$A,0),MATCH(Disponibilidade!$O31,'Metas DM &amp; DO'!$1:$1,0)+3),"-")</f>
        <v>-</v>
      </c>
      <c r="T31" s="11" t="str">
        <f t="shared" si="57"/>
        <v>RUIM</v>
      </c>
      <c r="U31" s="9" t="s">
        <v>59</v>
      </c>
      <c r="V31" s="16">
        <f>IFERROR(SUMIFS('Motivos De Parada'!K:K,'Motivos De Parada'!G:G,Disponibilidade!G31,'Motivos De Parada'!H:H,Disponibilidade!H31,'Motivos De Parada'!O:O,Disponibilidade!I31,'Motivos De Parada'!E:E,Disponibilidade!C31,'Motivos De Parada'!D:D,Disponibilidade!E31),"-")</f>
        <v>0</v>
      </c>
      <c r="W31" s="16">
        <f>IFERROR(SUMIFS('Motivos De Parada'!K:K,'Motivos De Parada'!G:G,Disponibilidade!G31,'Motivos De Parada'!H:H,Disponibilidade!H31,'Motivos De Parada'!O:O,Disponibilidade!O31,'Motivos De Parada'!E:E,Disponibilidade!C31,'Motivos De Parada'!D:D,Disponibilidade!E31),"-")</f>
        <v>0</v>
      </c>
      <c r="X31" s="16">
        <f t="shared" si="58"/>
        <v>0</v>
      </c>
      <c r="Y31" s="16">
        <f>IFERROR(SUMIFS('Motivos De Parada'!K:K,'Motivos De Parada'!G:G,Disponibilidade!G31,'Motivos De Parada'!H:H,Disponibilidade!H31,'Motivos De Parada'!E:E,Disponibilidade!C31,'Motivos De Parada'!D:D,Disponibilidade!E31),"-")</f>
        <v>0</v>
      </c>
      <c r="Z31" s="28" t="str">
        <f t="shared" si="69"/>
        <v>OK</v>
      </c>
      <c r="AA31" s="16">
        <f t="shared" si="59"/>
        <v>0</v>
      </c>
      <c r="AB31" s="16">
        <f>IFERROR(SUMIFS('Motivos De Parada'!K:K,'Motivos De Parada'!G:G,Disponibilidade!G31,'Motivos De Parada'!H:H,Disponibilidade!H31,'Motivos De Parada'!E:E,Disponibilidade!C31,'Motivos De Parada'!D:D,Disponibilidade!E31,'Motivos De Parada'!M:M,"REFEIÇÃO"),"-")</f>
        <v>0</v>
      </c>
      <c r="AC31" s="16">
        <f t="shared" si="60"/>
        <v>0</v>
      </c>
      <c r="AD31" s="28" t="str">
        <f t="shared" si="70"/>
        <v>OK</v>
      </c>
      <c r="AE31" s="16" cm="1">
        <f t="array" ref="AE31">IFERROR(SUM(SUMIFS('Motivos De Parada'!K:K,'Motivos De Parada'!G:G,Disponibilidade!G31,'Motivos De Parada'!H:H,Disponibilidade!H31,'Motivos De Parada'!E:E,Disponibilidade!C31,'Motivos De Parada'!D:D,Disponibilidade!E31,'Motivos De Parada'!O:O,{"DISPONIBILIDADE MECÂNICA";"DISPONIBILIDADE OPERACIONAL"},'Motivos De Parada'!P:P,"NÃO")),"-")</f>
        <v>0</v>
      </c>
      <c r="AF31" s="16" cm="1">
        <f t="array" ref="AF31">IFERROR(SUM(SUMIFS('Motivos De Parada'!K:K,'Motivos De Parada'!G:G,Disponibilidade!G31,'Motivos De Parada'!H:H,Disponibilidade!H31,'Motivos De Parada'!E:E,Disponibilidade!C31,'Motivos De Parada'!D:D,Disponibilidade!E31,'Motivos De Parada'!O:O,{"DISPONIBILIDADE MECÂNICA";"DISPONIBILIDADE OPERACIONAL"},'Motivos De Parada'!P:P,"SIM")),"-")</f>
        <v>0</v>
      </c>
      <c r="AG31" s="16">
        <f t="shared" si="61"/>
        <v>0</v>
      </c>
      <c r="AH31" s="28" t="str">
        <f t="shared" si="71"/>
        <v>OK</v>
      </c>
      <c r="AI31" s="16" t="str" cm="1">
        <f t="array" ref="AI31">IFERROR(INDEX('Metas DM &amp; DO'!$A:$AAD,MATCH(Disponibilidade!$G31,'Metas DM &amp; DO'!$A:$A,0),MATCH(Disponibilidade!$U31,'Metas DM &amp; DO'!$1:$1,0)+2),"-")</f>
        <v>-</v>
      </c>
      <c r="AJ31" s="16" t="str" cm="1">
        <f t="array" ref="AJ31">IFERROR(INDEX('Metas DM &amp; DO'!$A:$AAD,MATCH(Disponibilidade!$G31,'Metas DM &amp; DO'!$A:$A,0),MATCH(Disponibilidade!$U31,'Metas DM &amp; DO'!$1:$1,0)+3),"-")</f>
        <v>-</v>
      </c>
      <c r="AK31" s="16" t="str" cm="1">
        <f t="array" ref="AK31">IFERROR(INDEX('Metas DM &amp; DO'!$A:$AAD,MATCH(Disponibilidade!$G31,'Metas DM &amp; DO'!$A:$A,0),MATCH(Disponibilidade!$U31,'Metas DM &amp; DO'!$1:$1,0)+4),"-")</f>
        <v>-</v>
      </c>
      <c r="AL31" s="11" t="str">
        <f t="shared" si="62"/>
        <v>EXCELENTE</v>
      </c>
    </row>
    <row r="32" spans="1:38" x14ac:dyDescent="0.3">
      <c r="A32" s="11">
        <f t="shared" si="63"/>
        <v>2026</v>
      </c>
      <c r="B32" s="12">
        <f t="shared" si="64"/>
        <v>46023</v>
      </c>
      <c r="C32" s="19">
        <v>46025</v>
      </c>
      <c r="D32" s="3" t="s">
        <v>126</v>
      </c>
      <c r="E32" s="11" t="s">
        <v>80</v>
      </c>
      <c r="F32" s="11" t="str" cm="1">
        <f t="array" ref="F32">IFERROR(INDEX('Motivos De Parada'!C:C,MATCH(1,('Motivos De Parada'!E:E=Disponibilidade!C32)*('Motivos De Parada'!G:G=Disponibilidade!G32)*('Motivos De Parada'!D:D=Disponibilidade!E32),0)),"-")</f>
        <v>-</v>
      </c>
      <c r="G32" s="11" t="str">
        <f>IFERROR(VLOOKUP(D32,Cadastros!A:B,2,FALSE),"-")</f>
        <v>SKIDDER 2</v>
      </c>
      <c r="H32" s="11" t="str">
        <f>IFERROR(VLOOKUP(G32,Cadastros!B:D,3,FALSE),"-")</f>
        <v>ARRASTE</v>
      </c>
      <c r="I32" s="9" t="s">
        <v>20</v>
      </c>
      <c r="J32" s="26">
        <f>IFERROR(MAX(0,1 - (SUMIFS('Motivos De Parada'!K:K,'Motivos De Parada'!G:G,Disponibilidade!G32,'Motivos De Parada'!H:H,Disponibilidade!H32,'Motivos De Parada'!O:O,Disponibilidade!I32,'Motivos De Parada'!E:E,Disponibilidade!C32,'Motivos De Parada'!D:D,Disponibilidade!E32) / 24)),"-")</f>
        <v>1</v>
      </c>
      <c r="K32" s="24" cm="1">
        <f t="array" ref="K32">IFERROR(INDEX('Metas DM &amp; DO'!$A:$AAD,MATCH(Disponibilidade!$G32,'Metas DM &amp; DO'!$A:$A,0),MATCH(Disponibilidade!$I32,'Metas DM &amp; DO'!$1:$1,0)+1),"-")</f>
        <v>0.5</v>
      </c>
      <c r="L32" s="24" cm="1">
        <f t="array" ref="L32">IFERROR(INDEX('Metas DM &amp; DO'!$A:$AAD,MATCH(Disponibilidade!$G32,'Metas DM &amp; DO'!$A:$A,0),MATCH(Disponibilidade!$I32,'Metas DM &amp; DO'!$1:$1,0)+2),"-")</f>
        <v>0.5</v>
      </c>
      <c r="M32" s="24" cm="1">
        <f t="array" ref="M32">IFERROR(INDEX('Metas DM &amp; DO'!$A:$AAD,MATCH(Disponibilidade!$G32,'Metas DM &amp; DO'!$A:$A,0),MATCH(Disponibilidade!$I32,'Metas DM &amp; DO'!$1:$1,0)+3),"-")</f>
        <v>0.5</v>
      </c>
      <c r="N32" s="11" t="str">
        <f t="shared" si="72"/>
        <v>-</v>
      </c>
      <c r="O32" s="9" t="s">
        <v>19</v>
      </c>
      <c r="P32" s="26">
        <f>IFERROR(MAX(0,1 - (SUMIFS('Motivos De Parada'!K:K,'Motivos De Parada'!G:G,Disponibilidade!G32,'Motivos De Parada'!H:H,Disponibilidade!H32,'Motivos De Parada'!O:O,Disponibilidade!O32,'Motivos De Parada'!E:E,Disponibilidade!C32,'Motivos De Parada'!D:D,Disponibilidade!E32) / 24)),"-")</f>
        <v>1</v>
      </c>
      <c r="Q32" s="24" cm="1">
        <f t="array" ref="Q32">IFERROR(INDEX('Metas DM &amp; DO'!$A:$AAD,MATCH(Disponibilidade!$G32,'Metas DM &amp; DO'!$A:$A,0),MATCH(Disponibilidade!$O32,'Metas DM &amp; DO'!$1:$1,0)+1),"-")</f>
        <v>0.5</v>
      </c>
      <c r="R32" s="24" cm="1">
        <f t="array" ref="R32">IFERROR(INDEX('Metas DM &amp; DO'!$A:$AAD,MATCH(Disponibilidade!$G32,'Metas DM &amp; DO'!$A:$A,0),MATCH(Disponibilidade!$O32,'Metas DM &amp; DO'!$1:$1,0)+2),"-")</f>
        <v>0.5</v>
      </c>
      <c r="S32" s="24" cm="1">
        <f t="array" ref="S32">IFERROR(INDEX('Metas DM &amp; DO'!$A:$AAD,MATCH(Disponibilidade!$G32,'Metas DM &amp; DO'!$A:$A,0),MATCH(Disponibilidade!$O32,'Metas DM &amp; DO'!$1:$1,0)+3),"-")</f>
        <v>0.5</v>
      </c>
      <c r="T32" s="11" t="str">
        <f t="shared" si="57"/>
        <v>-</v>
      </c>
      <c r="U32" s="9" t="s">
        <v>59</v>
      </c>
      <c r="V32" s="16">
        <f>IFERROR(SUMIFS('Motivos De Parada'!K:K,'Motivos De Parada'!G:G,Disponibilidade!G32,'Motivos De Parada'!H:H,Disponibilidade!H32,'Motivos De Parada'!O:O,Disponibilidade!I32,'Motivos De Parada'!E:E,Disponibilidade!C32,'Motivos De Parada'!D:D,Disponibilidade!E32),"-")</f>
        <v>0</v>
      </c>
      <c r="W32" s="16">
        <f>IFERROR(SUMIFS('Motivos De Parada'!K:K,'Motivos De Parada'!G:G,Disponibilidade!G32,'Motivos De Parada'!H:H,Disponibilidade!H32,'Motivos De Parada'!O:O,Disponibilidade!O32,'Motivos De Parada'!E:E,Disponibilidade!C32,'Motivos De Parada'!D:D,Disponibilidade!E32),"-")</f>
        <v>0</v>
      </c>
      <c r="X32" s="16">
        <f t="shared" si="58"/>
        <v>0</v>
      </c>
      <c r="Y32" s="16">
        <f>IFERROR(SUMIFS('Motivos De Parada'!K:K,'Motivos De Parada'!G:G,Disponibilidade!G32,'Motivos De Parada'!H:H,Disponibilidade!H32,'Motivos De Parada'!E:E,Disponibilidade!C32,'Motivos De Parada'!D:D,Disponibilidade!E32),"-")</f>
        <v>0</v>
      </c>
      <c r="Z32" s="28" t="str">
        <f t="shared" si="69"/>
        <v>OK</v>
      </c>
      <c r="AA32" s="16">
        <f t="shared" si="59"/>
        <v>0</v>
      </c>
      <c r="AB32" s="16">
        <f>IFERROR(SUMIFS('Motivos De Parada'!K:K,'Motivos De Parada'!G:G,Disponibilidade!G32,'Motivos De Parada'!H:H,Disponibilidade!H32,'Motivos De Parada'!E:E,Disponibilidade!C32,'Motivos De Parada'!D:D,Disponibilidade!E32,'Motivos De Parada'!M:M,"REFEIÇÃO"),"-")</f>
        <v>0</v>
      </c>
      <c r="AC32" s="16">
        <f t="shared" si="60"/>
        <v>0</v>
      </c>
      <c r="AD32" s="28" t="str">
        <f t="shared" si="70"/>
        <v>OK</v>
      </c>
      <c r="AE32" s="16" cm="1">
        <f t="array" ref="AE32">IFERROR(SUM(SUMIFS('Motivos De Parada'!K:K,'Motivos De Parada'!G:G,Disponibilidade!G32,'Motivos De Parada'!H:H,Disponibilidade!H32,'Motivos De Parada'!E:E,Disponibilidade!C32,'Motivos De Parada'!D:D,Disponibilidade!E32,'Motivos De Parada'!O:O,{"DISPONIBILIDADE MECÂNICA";"DISPONIBILIDADE OPERACIONAL"},'Motivos De Parada'!P:P,"NÃO")),"-")</f>
        <v>0</v>
      </c>
      <c r="AF32" s="16" cm="1">
        <f t="array" ref="AF32">IFERROR(SUM(SUMIFS('Motivos De Parada'!K:K,'Motivos De Parada'!G:G,Disponibilidade!G32,'Motivos De Parada'!H:H,Disponibilidade!H32,'Motivos De Parada'!E:E,Disponibilidade!C32,'Motivos De Parada'!D:D,Disponibilidade!E32,'Motivos De Parada'!O:O,{"DISPONIBILIDADE MECÂNICA";"DISPONIBILIDADE OPERACIONAL"},'Motivos De Parada'!P:P,"SIM")),"-")</f>
        <v>0</v>
      </c>
      <c r="AG32" s="16">
        <f t="shared" si="61"/>
        <v>0</v>
      </c>
      <c r="AH32" s="28" t="str">
        <f t="shared" si="71"/>
        <v>OK</v>
      </c>
      <c r="AI32" s="16" cm="1">
        <f t="array" ref="AI32">IFERROR(INDEX('Metas DM &amp; DO'!$A:$AAD,MATCH(Disponibilidade!$G32,'Metas DM &amp; DO'!$A:$A,0),MATCH(Disponibilidade!$U32,'Metas DM &amp; DO'!$1:$1,0)+2),"-")</f>
        <v>12</v>
      </c>
      <c r="AJ32" s="16" cm="1">
        <f t="array" ref="AJ32">IFERROR(INDEX('Metas DM &amp; DO'!$A:$AAD,MATCH(Disponibilidade!$G32,'Metas DM &amp; DO'!$A:$A,0),MATCH(Disponibilidade!$U32,'Metas DM &amp; DO'!$1:$1,0)+3),"-")</f>
        <v>12</v>
      </c>
      <c r="AK32" s="16" cm="1">
        <f t="array" ref="AK32">IFERROR(INDEX('Metas DM &amp; DO'!$A:$AAD,MATCH(Disponibilidade!$G32,'Metas DM &amp; DO'!$A:$A,0),MATCH(Disponibilidade!$U32,'Metas DM &amp; DO'!$1:$1,0)+4),"-")</f>
        <v>12</v>
      </c>
      <c r="AL32" s="11" t="str">
        <f t="shared" si="62"/>
        <v>EXCELENTE</v>
      </c>
    </row>
    <row r="33" spans="1:38" x14ac:dyDescent="0.3">
      <c r="A33" s="11">
        <f t="shared" si="63"/>
        <v>2026</v>
      </c>
      <c r="B33" s="12">
        <f t="shared" si="64"/>
        <v>46023</v>
      </c>
      <c r="C33" s="19">
        <v>46025</v>
      </c>
      <c r="D33" s="3" t="s">
        <v>126</v>
      </c>
      <c r="E33" s="11" t="s">
        <v>81</v>
      </c>
      <c r="F33" s="11" t="str" cm="1">
        <f t="array" ref="F33">IFERROR(INDEX('Motivos De Parada'!C:C,MATCH(1,('Motivos De Parada'!E:E=Disponibilidade!C33)*('Motivos De Parada'!G:G=Disponibilidade!G33)*('Motivos De Parada'!D:D=Disponibilidade!E33),0)),"-")</f>
        <v>-</v>
      </c>
      <c r="G33" s="11" t="str">
        <f>IFERROR(VLOOKUP(D33,Cadastros!A:B,2,FALSE),"-")</f>
        <v>SKIDDER 2</v>
      </c>
      <c r="H33" s="11" t="str">
        <f>IFERROR(VLOOKUP(G33,Cadastros!B:D,3,FALSE),"-")</f>
        <v>ARRASTE</v>
      </c>
      <c r="I33" s="9" t="s">
        <v>20</v>
      </c>
      <c r="J33" s="26">
        <f>IFERROR(MAX(0,1 - (SUMIFS('Motivos De Parada'!K:K,'Motivos De Parada'!G:G,Disponibilidade!G33,'Motivos De Parada'!H:H,Disponibilidade!H33,'Motivos De Parada'!O:O,Disponibilidade!I33,'Motivos De Parada'!E:E,Disponibilidade!C33,'Motivos De Parada'!D:D,Disponibilidade!E33) / 24)),"-")</f>
        <v>1</v>
      </c>
      <c r="K33" s="24" cm="1">
        <f t="array" ref="K33">IFERROR(INDEX('Metas DM &amp; DO'!$A:$AAD,MATCH(Disponibilidade!$G33,'Metas DM &amp; DO'!$A:$A,0),MATCH(Disponibilidade!$I33,'Metas DM &amp; DO'!$1:$1,0)+1),"-")</f>
        <v>0.5</v>
      </c>
      <c r="L33" s="24" cm="1">
        <f t="array" ref="L33">IFERROR(INDEX('Metas DM &amp; DO'!$A:$AAD,MATCH(Disponibilidade!$G33,'Metas DM &amp; DO'!$A:$A,0),MATCH(Disponibilidade!$I33,'Metas DM &amp; DO'!$1:$1,0)+2),"-")</f>
        <v>0.5</v>
      </c>
      <c r="M33" s="24" cm="1">
        <f t="array" ref="M33">IFERROR(INDEX('Metas DM &amp; DO'!$A:$AAD,MATCH(Disponibilidade!$G33,'Metas DM &amp; DO'!$A:$A,0),MATCH(Disponibilidade!$I33,'Metas DM &amp; DO'!$1:$1,0)+3),"-")</f>
        <v>0.5</v>
      </c>
      <c r="N33" s="11" t="str">
        <f t="shared" si="72"/>
        <v>-</v>
      </c>
      <c r="O33" s="9" t="s">
        <v>19</v>
      </c>
      <c r="P33" s="26">
        <f>IFERROR(MAX(0,1 - (SUMIFS('Motivos De Parada'!K:K,'Motivos De Parada'!G:G,Disponibilidade!G33,'Motivos De Parada'!H:H,Disponibilidade!H33,'Motivos De Parada'!O:O,Disponibilidade!O33,'Motivos De Parada'!E:E,Disponibilidade!C33,'Motivos De Parada'!D:D,Disponibilidade!E33) / 24)),"-")</f>
        <v>1</v>
      </c>
      <c r="Q33" s="24" cm="1">
        <f t="array" ref="Q33">IFERROR(INDEX('Metas DM &amp; DO'!$A:$AAD,MATCH(Disponibilidade!$G33,'Metas DM &amp; DO'!$A:$A,0),MATCH(Disponibilidade!$O33,'Metas DM &amp; DO'!$1:$1,0)+1),"-")</f>
        <v>0.5</v>
      </c>
      <c r="R33" s="24" cm="1">
        <f t="array" ref="R33">IFERROR(INDEX('Metas DM &amp; DO'!$A:$AAD,MATCH(Disponibilidade!$G33,'Metas DM &amp; DO'!$A:$A,0),MATCH(Disponibilidade!$O33,'Metas DM &amp; DO'!$1:$1,0)+2),"-")</f>
        <v>0.5</v>
      </c>
      <c r="S33" s="24" cm="1">
        <f t="array" ref="S33">IFERROR(INDEX('Metas DM &amp; DO'!$A:$AAD,MATCH(Disponibilidade!$G33,'Metas DM &amp; DO'!$A:$A,0),MATCH(Disponibilidade!$O33,'Metas DM &amp; DO'!$1:$1,0)+3),"-")</f>
        <v>0.5</v>
      </c>
      <c r="T33" s="11" t="str">
        <f t="shared" si="57"/>
        <v>-</v>
      </c>
      <c r="U33" s="9" t="s">
        <v>59</v>
      </c>
      <c r="V33" s="16">
        <f>IFERROR(SUMIFS('Motivos De Parada'!K:K,'Motivos De Parada'!G:G,Disponibilidade!G33,'Motivos De Parada'!H:H,Disponibilidade!H33,'Motivos De Parada'!O:O,Disponibilidade!I33,'Motivos De Parada'!E:E,Disponibilidade!C33,'Motivos De Parada'!D:D,Disponibilidade!E33),"-")</f>
        <v>0</v>
      </c>
      <c r="W33" s="16">
        <f>IFERROR(SUMIFS('Motivos De Parada'!K:K,'Motivos De Parada'!G:G,Disponibilidade!G33,'Motivos De Parada'!H:H,Disponibilidade!H33,'Motivos De Parada'!O:O,Disponibilidade!O33,'Motivos De Parada'!E:E,Disponibilidade!C33,'Motivos De Parada'!D:D,Disponibilidade!E33),"-")</f>
        <v>0</v>
      </c>
      <c r="X33" s="16">
        <f t="shared" si="58"/>
        <v>0</v>
      </c>
      <c r="Y33" s="16">
        <f>IFERROR(SUMIFS('Motivos De Parada'!K:K,'Motivos De Parada'!G:G,Disponibilidade!G33,'Motivos De Parada'!H:H,Disponibilidade!H33,'Motivos De Parada'!E:E,Disponibilidade!C33,'Motivos De Parada'!D:D,Disponibilidade!E33),"-")</f>
        <v>0</v>
      </c>
      <c r="Z33" s="28" t="str">
        <f t="shared" si="69"/>
        <v>OK</v>
      </c>
      <c r="AA33" s="16">
        <f t="shared" si="59"/>
        <v>0</v>
      </c>
      <c r="AB33" s="16">
        <f>IFERROR(SUMIFS('Motivos De Parada'!K:K,'Motivos De Parada'!G:G,Disponibilidade!G33,'Motivos De Parada'!H:H,Disponibilidade!H33,'Motivos De Parada'!E:E,Disponibilidade!C33,'Motivos De Parada'!D:D,Disponibilidade!E33,'Motivos De Parada'!M:M,"REFEIÇÃO"),"-")</f>
        <v>0</v>
      </c>
      <c r="AC33" s="16">
        <f t="shared" si="60"/>
        <v>0</v>
      </c>
      <c r="AD33" s="28" t="str">
        <f t="shared" si="70"/>
        <v>OK</v>
      </c>
      <c r="AE33" s="16" cm="1">
        <f t="array" ref="AE33">IFERROR(SUM(SUMIFS('Motivos De Parada'!K:K,'Motivos De Parada'!G:G,Disponibilidade!G33,'Motivos De Parada'!H:H,Disponibilidade!H33,'Motivos De Parada'!E:E,Disponibilidade!C33,'Motivos De Parada'!D:D,Disponibilidade!E33,'Motivos De Parada'!O:O,{"DISPONIBILIDADE MECÂNICA";"DISPONIBILIDADE OPERACIONAL"},'Motivos De Parada'!P:P,"NÃO")),"-")</f>
        <v>0</v>
      </c>
      <c r="AF33" s="16" cm="1">
        <f t="array" ref="AF33">IFERROR(SUM(SUMIFS('Motivos De Parada'!K:K,'Motivos De Parada'!G:G,Disponibilidade!G33,'Motivos De Parada'!H:H,Disponibilidade!H33,'Motivos De Parada'!E:E,Disponibilidade!C33,'Motivos De Parada'!D:D,Disponibilidade!E33,'Motivos De Parada'!O:O,{"DISPONIBILIDADE MECÂNICA";"DISPONIBILIDADE OPERACIONAL"},'Motivos De Parada'!P:P,"SIM")),"-")</f>
        <v>0</v>
      </c>
      <c r="AG33" s="16">
        <f t="shared" si="61"/>
        <v>0</v>
      </c>
      <c r="AH33" s="28" t="str">
        <f t="shared" si="71"/>
        <v>OK</v>
      </c>
      <c r="AI33" s="16" cm="1">
        <f t="array" ref="AI33">IFERROR(INDEX('Metas DM &amp; DO'!$A:$AAD,MATCH(Disponibilidade!$G33,'Metas DM &amp; DO'!$A:$A,0),MATCH(Disponibilidade!$U33,'Metas DM &amp; DO'!$1:$1,0)+2),"-")</f>
        <v>12</v>
      </c>
      <c r="AJ33" s="16" cm="1">
        <f t="array" ref="AJ33">IFERROR(INDEX('Metas DM &amp; DO'!$A:$AAD,MATCH(Disponibilidade!$G33,'Metas DM &amp; DO'!$A:$A,0),MATCH(Disponibilidade!$U33,'Metas DM &amp; DO'!$1:$1,0)+3),"-")</f>
        <v>12</v>
      </c>
      <c r="AK33" s="16" cm="1">
        <f t="array" ref="AK33">IFERROR(INDEX('Metas DM &amp; DO'!$A:$AAD,MATCH(Disponibilidade!$G33,'Metas DM &amp; DO'!$A:$A,0),MATCH(Disponibilidade!$U33,'Metas DM &amp; DO'!$1:$1,0)+4),"-")</f>
        <v>12</v>
      </c>
      <c r="AL33" s="11" t="str">
        <f t="shared" si="62"/>
        <v>EXCELENTE</v>
      </c>
    </row>
    <row r="34" spans="1:38" x14ac:dyDescent="0.3">
      <c r="A34" s="11">
        <f t="shared" si="63"/>
        <v>2026</v>
      </c>
      <c r="B34" s="12">
        <f t="shared" si="64"/>
        <v>46023</v>
      </c>
      <c r="C34" s="19">
        <v>46025</v>
      </c>
      <c r="D34" s="3" t="s">
        <v>128</v>
      </c>
      <c r="E34" s="11" t="s">
        <v>80</v>
      </c>
      <c r="F34" s="11" t="str" cm="1">
        <f t="array" ref="F34">IFERROR(INDEX('Motivos De Parada'!C:C,MATCH(1,('Motivos De Parada'!E:E=Disponibilidade!C34)*('Motivos De Parada'!G:G=Disponibilidade!G34)*('Motivos De Parada'!D:D=Disponibilidade!E34),0)),"-")</f>
        <v>-</v>
      </c>
      <c r="G34" s="11" t="str">
        <f>IFERROR(VLOOKUP(D34,Cadastros!A:B,2,FALSE),"-")</f>
        <v>GARRA TRAÇADORA 1</v>
      </c>
      <c r="H34" s="11" t="str">
        <f>IFERROR(VLOOKUP(G34,Cadastros!B:D,3,FALSE),"-")</f>
        <v>TRAÇAMENTO</v>
      </c>
      <c r="I34" s="9" t="s">
        <v>20</v>
      </c>
      <c r="J34" s="26">
        <f>IFERROR(MAX(0,1 - (SUMIFS('Motivos De Parada'!K:K,'Motivos De Parada'!G:G,Disponibilidade!G34,'Motivos De Parada'!H:H,Disponibilidade!H34,'Motivos De Parada'!O:O,Disponibilidade!I34,'Motivos De Parada'!E:E,Disponibilidade!C34,'Motivos De Parada'!D:D,Disponibilidade!E34) / 24)),"-")</f>
        <v>1</v>
      </c>
      <c r="K34" s="24" cm="1">
        <f t="array" ref="K34">IFERROR(INDEX('Metas DM &amp; DO'!$A:$AAD,MATCH(Disponibilidade!$G34,'Metas DM &amp; DO'!$A:$A,0),MATCH(Disponibilidade!$I34,'Metas DM &amp; DO'!$1:$1,0)+1),"-")</f>
        <v>0.91724137931034488</v>
      </c>
      <c r="L34" s="24" cm="1">
        <f t="array" ref="L34">IFERROR(INDEX('Metas DM &amp; DO'!$A:$AAD,MATCH(Disponibilidade!$G34,'Metas DM &amp; DO'!$A:$A,0),MATCH(Disponibilidade!$I34,'Metas DM &amp; DO'!$1:$1,0)+2),"-")</f>
        <v>0.92489568845618919</v>
      </c>
      <c r="M34" s="24" cm="1">
        <f t="array" ref="M34">IFERROR(INDEX('Metas DM &amp; DO'!$A:$AAD,MATCH(Disponibilidade!$G34,'Metas DM &amp; DO'!$A:$A,0),MATCH(Disponibilidade!$I34,'Metas DM &amp; DO'!$1:$1,0)+3),"-")</f>
        <v>0.90625</v>
      </c>
      <c r="N34" s="11" t="str">
        <f t="shared" si="72"/>
        <v>-</v>
      </c>
      <c r="O34" s="9" t="s">
        <v>19</v>
      </c>
      <c r="P34" s="26">
        <f>IFERROR(MAX(0,1 - (SUMIFS('Motivos De Parada'!K:K,'Motivos De Parada'!G:G,Disponibilidade!G34,'Motivos De Parada'!H:H,Disponibilidade!H34,'Motivos De Parada'!O:O,Disponibilidade!O34,'Motivos De Parada'!E:E,Disponibilidade!C34,'Motivos De Parada'!D:D,Disponibilidade!E34) / 24)),"-")</f>
        <v>1</v>
      </c>
      <c r="Q34" s="24" cm="1">
        <f t="array" ref="Q34">IFERROR(INDEX('Metas DM &amp; DO'!$A:$AAD,MATCH(Disponibilidade!$G34,'Metas DM &amp; DO'!$A:$A,0),MATCH(Disponibilidade!$O34,'Metas DM &amp; DO'!$1:$1,0)+1),"-")</f>
        <v>0.43601532567049806</v>
      </c>
      <c r="R34" s="24" cm="1">
        <f t="array" ref="R34">IFERROR(INDEX('Metas DM &amp; DO'!$A:$AAD,MATCH(Disponibilidade!$G34,'Metas DM &amp; DO'!$A:$A,0),MATCH(Disponibilidade!$O34,'Metas DM &amp; DO'!$1:$1,0)+2),"-")</f>
        <v>0.48817802503477059</v>
      </c>
      <c r="S34" s="24" cm="1">
        <f t="array" ref="S34">IFERROR(INDEX('Metas DM &amp; DO'!$A:$AAD,MATCH(Disponibilidade!$G34,'Metas DM &amp; DO'!$A:$A,0),MATCH(Disponibilidade!$O34,'Metas DM &amp; DO'!$1:$1,0)+3),"-")</f>
        <v>0.71875</v>
      </c>
      <c r="T34" s="11" t="str">
        <f t="shared" si="57"/>
        <v>-</v>
      </c>
      <c r="U34" s="9" t="s">
        <v>59</v>
      </c>
      <c r="V34" s="16">
        <f>IFERROR(SUMIFS('Motivos De Parada'!K:K,'Motivos De Parada'!G:G,Disponibilidade!G34,'Motivos De Parada'!H:H,Disponibilidade!H34,'Motivos De Parada'!O:O,Disponibilidade!I34,'Motivos De Parada'!E:E,Disponibilidade!C34,'Motivos De Parada'!D:D,Disponibilidade!E34),"-")</f>
        <v>0</v>
      </c>
      <c r="W34" s="16">
        <f>IFERROR(SUMIFS('Motivos De Parada'!K:K,'Motivos De Parada'!G:G,Disponibilidade!G34,'Motivos De Parada'!H:H,Disponibilidade!H34,'Motivos De Parada'!O:O,Disponibilidade!O34,'Motivos De Parada'!E:E,Disponibilidade!C34,'Motivos De Parada'!D:D,Disponibilidade!E34),"-")</f>
        <v>0</v>
      </c>
      <c r="X34" s="16">
        <f t="shared" si="58"/>
        <v>0</v>
      </c>
      <c r="Y34" s="16">
        <f>IFERROR(SUMIFS('Motivos De Parada'!K:K,'Motivos De Parada'!G:G,Disponibilidade!G34,'Motivos De Parada'!H:H,Disponibilidade!H34,'Motivos De Parada'!E:E,Disponibilidade!C34,'Motivos De Parada'!D:D,Disponibilidade!E34),"-")</f>
        <v>0</v>
      </c>
      <c r="Z34" s="28" t="str">
        <f>IFERROR(IF(Y34=0,"OK",IF(OR(Y34&gt;12,Y34&lt;12),"VERIFICAR","OK")),"-")</f>
        <v>OK</v>
      </c>
      <c r="AA34" s="16">
        <f t="shared" si="59"/>
        <v>0</v>
      </c>
      <c r="AB34" s="16">
        <f>IFERROR(SUMIFS('Motivos De Parada'!K:K,'Motivos De Parada'!G:G,Disponibilidade!G34,'Motivos De Parada'!H:H,Disponibilidade!H34,'Motivos De Parada'!E:E,Disponibilidade!C34,'Motivos De Parada'!D:D,Disponibilidade!E34,'Motivos De Parada'!M:M,"REFEIÇÃO"),"-")</f>
        <v>0</v>
      </c>
      <c r="AC34" s="16">
        <f t="shared" si="60"/>
        <v>0</v>
      </c>
      <c r="AD34" s="28" t="str">
        <f>IFERROR(IF(AC34&lt;0,"VERIFICAR","OK"),"-")</f>
        <v>OK</v>
      </c>
      <c r="AE34" s="16" cm="1">
        <f t="array" ref="AE34">IFERROR(SUM(SUMIFS('Motivos De Parada'!K:K,'Motivos De Parada'!G:G,Disponibilidade!G34,'Motivos De Parada'!H:H,Disponibilidade!H34,'Motivos De Parada'!E:E,Disponibilidade!C34,'Motivos De Parada'!D:D,Disponibilidade!E34,'Motivos De Parada'!O:O,{"DISPONIBILIDADE MECÂNICA";"DISPONIBILIDADE OPERACIONAL"},'Motivos De Parada'!P:P,"NÃO")),"-")</f>
        <v>0</v>
      </c>
      <c r="AF34" s="16" cm="1">
        <f t="array" ref="AF34">IFERROR(SUM(SUMIFS('Motivos De Parada'!K:K,'Motivos De Parada'!G:G,Disponibilidade!G34,'Motivos De Parada'!H:H,Disponibilidade!H34,'Motivos De Parada'!E:E,Disponibilidade!C34,'Motivos De Parada'!D:D,Disponibilidade!E34,'Motivos De Parada'!O:O,{"DISPONIBILIDADE MECÂNICA";"DISPONIBILIDADE OPERACIONAL"},'Motivos De Parada'!P:P,"SIM")),"-")</f>
        <v>0</v>
      </c>
      <c r="AG34" s="16">
        <f t="shared" si="61"/>
        <v>0</v>
      </c>
      <c r="AH34" s="28" t="str">
        <f>IFERROR(IF(AND(AG34=0,AC34=0),"OK",IF(AG34=AC34,"VERIFICAR","OK")),"-")</f>
        <v>OK</v>
      </c>
      <c r="AI34" s="16" cm="1">
        <f t="array" ref="AI34">IFERROR(INDEX('Metas DM &amp; DO'!$A:$AAD,MATCH(Disponibilidade!$G34,'Metas DM &amp; DO'!$A:$A,0),MATCH(Disponibilidade!$U34,'Metas DM &amp; DO'!$1:$1,0)+2),"-")</f>
        <v>2.2174055829228245</v>
      </c>
      <c r="AJ34" s="16" cm="1">
        <f t="array" ref="AJ34">IFERROR(INDEX('Metas DM &amp; DO'!$A:$AAD,MATCH(Disponibilidade!$G34,'Metas DM &amp; DO'!$A:$A,0),MATCH(Disponibilidade!$U34,'Metas DM &amp; DO'!$1:$1,0)+3),"-")</f>
        <v>2.0123186966024238</v>
      </c>
      <c r="AK34" s="16" cm="1">
        <f t="array" ref="AK34">IFERROR(INDEX('Metas DM &amp; DO'!$A:$AAD,MATCH(Disponibilidade!$G34,'Metas DM &amp; DO'!$A:$A,0),MATCH(Disponibilidade!$U34,'Metas DM &amp; DO'!$1:$1,0)+4),"-")</f>
        <v>3.9999999999999991</v>
      </c>
      <c r="AL34" s="11" t="str">
        <f t="shared" si="62"/>
        <v>EXCELENTE</v>
      </c>
    </row>
    <row r="35" spans="1:38" x14ac:dyDescent="0.3">
      <c r="A35" s="11">
        <f t="shared" si="63"/>
        <v>2026</v>
      </c>
      <c r="B35" s="12">
        <f t="shared" si="64"/>
        <v>46023</v>
      </c>
      <c r="C35" s="19">
        <v>46025</v>
      </c>
      <c r="D35" s="3" t="s">
        <v>128</v>
      </c>
      <c r="E35" s="11" t="s">
        <v>81</v>
      </c>
      <c r="F35" s="11" t="str" cm="1">
        <f t="array" ref="F35">IFERROR(INDEX('Motivos De Parada'!C:C,MATCH(1,('Motivos De Parada'!E:E=Disponibilidade!C35)*('Motivos De Parada'!G:G=Disponibilidade!G35)*('Motivos De Parada'!D:D=Disponibilidade!E35),0)),"-")</f>
        <v>-</v>
      </c>
      <c r="G35" s="11" t="str">
        <f>IFERROR(VLOOKUP(D35,Cadastros!A:B,2,FALSE),"-")</f>
        <v>GARRA TRAÇADORA 1</v>
      </c>
      <c r="H35" s="11" t="str">
        <f>IFERROR(VLOOKUP(G35,Cadastros!B:D,3,FALSE),"-")</f>
        <v>TRAÇAMENTO</v>
      </c>
      <c r="I35" s="9" t="s">
        <v>20</v>
      </c>
      <c r="J35" s="26">
        <f>IFERROR(MAX(0,1 - (SUMIFS('Motivos De Parada'!K:K,'Motivos De Parada'!G:G,Disponibilidade!G35,'Motivos De Parada'!H:H,Disponibilidade!H35,'Motivos De Parada'!O:O,Disponibilidade!I35,'Motivos De Parada'!E:E,Disponibilidade!C35,'Motivos De Parada'!D:D,Disponibilidade!E35) / 24)),"-")</f>
        <v>1</v>
      </c>
      <c r="K35" s="24" cm="1">
        <f t="array" ref="K35">IFERROR(INDEX('Metas DM &amp; DO'!$A:$AAD,MATCH(Disponibilidade!$G35,'Metas DM &amp; DO'!$A:$A,0),MATCH(Disponibilidade!$I35,'Metas DM &amp; DO'!$1:$1,0)+1),"-")</f>
        <v>0.91724137931034488</v>
      </c>
      <c r="L35" s="24" cm="1">
        <f t="array" ref="L35">IFERROR(INDEX('Metas DM &amp; DO'!$A:$AAD,MATCH(Disponibilidade!$G35,'Metas DM &amp; DO'!$A:$A,0),MATCH(Disponibilidade!$I35,'Metas DM &amp; DO'!$1:$1,0)+2),"-")</f>
        <v>0.92489568845618919</v>
      </c>
      <c r="M35" s="24" cm="1">
        <f t="array" ref="M35">IFERROR(INDEX('Metas DM &amp; DO'!$A:$AAD,MATCH(Disponibilidade!$G35,'Metas DM &amp; DO'!$A:$A,0),MATCH(Disponibilidade!$I35,'Metas DM &amp; DO'!$1:$1,0)+3),"-")</f>
        <v>0.90625</v>
      </c>
      <c r="N35" s="11" t="str">
        <f t="shared" si="72"/>
        <v>-</v>
      </c>
      <c r="O35" s="9" t="s">
        <v>19</v>
      </c>
      <c r="P35" s="26">
        <f>IFERROR(MAX(0,1 - (SUMIFS('Motivos De Parada'!K:K,'Motivos De Parada'!G:G,Disponibilidade!G35,'Motivos De Parada'!H:H,Disponibilidade!H35,'Motivos De Parada'!O:O,Disponibilidade!O35,'Motivos De Parada'!E:E,Disponibilidade!C35,'Motivos De Parada'!D:D,Disponibilidade!E35) / 24)),"-")</f>
        <v>1</v>
      </c>
      <c r="Q35" s="24" cm="1">
        <f t="array" ref="Q35">IFERROR(INDEX('Metas DM &amp; DO'!$A:$AAD,MATCH(Disponibilidade!$G35,'Metas DM &amp; DO'!$A:$A,0),MATCH(Disponibilidade!$O35,'Metas DM &amp; DO'!$1:$1,0)+1),"-")</f>
        <v>0.43601532567049806</v>
      </c>
      <c r="R35" s="24" cm="1">
        <f t="array" ref="R35">IFERROR(INDEX('Metas DM &amp; DO'!$A:$AAD,MATCH(Disponibilidade!$G35,'Metas DM &amp; DO'!$A:$A,0),MATCH(Disponibilidade!$O35,'Metas DM &amp; DO'!$1:$1,0)+2),"-")</f>
        <v>0.48817802503477059</v>
      </c>
      <c r="S35" s="24" cm="1">
        <f t="array" ref="S35">IFERROR(INDEX('Metas DM &amp; DO'!$A:$AAD,MATCH(Disponibilidade!$G35,'Metas DM &amp; DO'!$A:$A,0),MATCH(Disponibilidade!$O35,'Metas DM &amp; DO'!$1:$1,0)+3),"-")</f>
        <v>0.71875</v>
      </c>
      <c r="T35" s="11" t="str">
        <f t="shared" si="57"/>
        <v>-</v>
      </c>
      <c r="U35" s="9" t="s">
        <v>59</v>
      </c>
      <c r="V35" s="16">
        <f>IFERROR(SUMIFS('Motivos De Parada'!K:K,'Motivos De Parada'!G:G,Disponibilidade!G35,'Motivos De Parada'!H:H,Disponibilidade!H35,'Motivos De Parada'!O:O,Disponibilidade!I35,'Motivos De Parada'!E:E,Disponibilidade!C35,'Motivos De Parada'!D:D,Disponibilidade!E35),"-")</f>
        <v>0</v>
      </c>
      <c r="W35" s="16">
        <f>IFERROR(SUMIFS('Motivos De Parada'!K:K,'Motivos De Parada'!G:G,Disponibilidade!G35,'Motivos De Parada'!H:H,Disponibilidade!H35,'Motivos De Parada'!O:O,Disponibilidade!O35,'Motivos De Parada'!E:E,Disponibilidade!C35,'Motivos De Parada'!D:D,Disponibilidade!E35),"-")</f>
        <v>0</v>
      </c>
      <c r="X35" s="16">
        <f t="shared" si="58"/>
        <v>0</v>
      </c>
      <c r="Y35" s="16">
        <f>IFERROR(SUMIFS('Motivos De Parada'!K:K,'Motivos De Parada'!G:G,Disponibilidade!G35,'Motivos De Parada'!H:H,Disponibilidade!H35,'Motivos De Parada'!E:E,Disponibilidade!C35,'Motivos De Parada'!D:D,Disponibilidade!E35),"-")</f>
        <v>0</v>
      </c>
      <c r="Z35" s="28" t="str">
        <f t="shared" ref="Z35:Z37" si="73">IFERROR(IF(Y35=0,"OK",IF(OR(Y35&gt;12,Y35&lt;12),"VERIFICAR","OK")),"-")</f>
        <v>OK</v>
      </c>
      <c r="AA35" s="16">
        <f t="shared" si="59"/>
        <v>0</v>
      </c>
      <c r="AB35" s="16">
        <f>IFERROR(SUMIFS('Motivos De Parada'!K:K,'Motivos De Parada'!G:G,Disponibilidade!G35,'Motivos De Parada'!H:H,Disponibilidade!H35,'Motivos De Parada'!E:E,Disponibilidade!C35,'Motivos De Parada'!D:D,Disponibilidade!E35,'Motivos De Parada'!M:M,"REFEIÇÃO"),"-")</f>
        <v>0</v>
      </c>
      <c r="AC35" s="16">
        <f t="shared" si="60"/>
        <v>0</v>
      </c>
      <c r="AD35" s="28" t="str">
        <f t="shared" ref="AD35:AD37" si="74">IFERROR(IF(AC35&lt;0,"VERIFICAR","OK"),"-")</f>
        <v>OK</v>
      </c>
      <c r="AE35" s="16" cm="1">
        <f t="array" ref="AE35">IFERROR(SUM(SUMIFS('Motivos De Parada'!K:K,'Motivos De Parada'!G:G,Disponibilidade!G35,'Motivos De Parada'!H:H,Disponibilidade!H35,'Motivos De Parada'!E:E,Disponibilidade!C35,'Motivos De Parada'!D:D,Disponibilidade!E35,'Motivos De Parada'!O:O,{"DISPONIBILIDADE MECÂNICA";"DISPONIBILIDADE OPERACIONAL"},'Motivos De Parada'!P:P,"NÃO")),"-")</f>
        <v>0</v>
      </c>
      <c r="AF35" s="16" cm="1">
        <f t="array" ref="AF35">IFERROR(SUM(SUMIFS('Motivos De Parada'!K:K,'Motivos De Parada'!G:G,Disponibilidade!G35,'Motivos De Parada'!H:H,Disponibilidade!H35,'Motivos De Parada'!E:E,Disponibilidade!C35,'Motivos De Parada'!D:D,Disponibilidade!E35,'Motivos De Parada'!O:O,{"DISPONIBILIDADE MECÂNICA";"DISPONIBILIDADE OPERACIONAL"},'Motivos De Parada'!P:P,"SIM")),"-")</f>
        <v>0</v>
      </c>
      <c r="AG35" s="16">
        <f t="shared" si="61"/>
        <v>0</v>
      </c>
      <c r="AH35" s="28" t="str">
        <f t="shared" ref="AH35:AH37" si="75">IFERROR(IF(AND(AG35=0,AC35=0),"OK",IF(AG35=AC35,"VERIFICAR","OK")),"-")</f>
        <v>OK</v>
      </c>
      <c r="AI35" s="16" cm="1">
        <f t="array" ref="AI35">IFERROR(INDEX('Metas DM &amp; DO'!$A:$AAD,MATCH(Disponibilidade!$G35,'Metas DM &amp; DO'!$A:$A,0),MATCH(Disponibilidade!$U35,'Metas DM &amp; DO'!$1:$1,0)+2),"-")</f>
        <v>2.2174055829228245</v>
      </c>
      <c r="AJ35" s="16" cm="1">
        <f t="array" ref="AJ35">IFERROR(INDEX('Metas DM &amp; DO'!$A:$AAD,MATCH(Disponibilidade!$G35,'Metas DM &amp; DO'!$A:$A,0),MATCH(Disponibilidade!$U35,'Metas DM &amp; DO'!$1:$1,0)+3),"-")</f>
        <v>2.0123186966024238</v>
      </c>
      <c r="AK35" s="16" cm="1">
        <f t="array" ref="AK35">IFERROR(INDEX('Metas DM &amp; DO'!$A:$AAD,MATCH(Disponibilidade!$G35,'Metas DM &amp; DO'!$A:$A,0),MATCH(Disponibilidade!$U35,'Metas DM &amp; DO'!$1:$1,0)+4),"-")</f>
        <v>3.9999999999999991</v>
      </c>
      <c r="AL35" s="11" t="str">
        <f t="shared" si="62"/>
        <v>EXCELENTE</v>
      </c>
    </row>
    <row r="36" spans="1:38" x14ac:dyDescent="0.3">
      <c r="A36" s="11">
        <f t="shared" si="63"/>
        <v>2026</v>
      </c>
      <c r="B36" s="12">
        <f t="shared" si="64"/>
        <v>46023</v>
      </c>
      <c r="C36" s="19">
        <v>46025</v>
      </c>
      <c r="D36" s="3" t="s">
        <v>130</v>
      </c>
      <c r="E36" s="11" t="s">
        <v>80</v>
      </c>
      <c r="F36" s="11" t="str" cm="1">
        <f t="array" ref="F36">IFERROR(INDEX('Motivos De Parada'!C:C,MATCH(1,('Motivos De Parada'!E:E=Disponibilidade!C36)*('Motivos De Parada'!G:G=Disponibilidade!G36)*('Motivos De Parada'!D:D=Disponibilidade!E36),0)),"-")</f>
        <v>-</v>
      </c>
      <c r="G36" s="11" t="str">
        <f>IFERROR(VLOOKUP(D36,Cadastros!A:B,2,FALSE),"-")</f>
        <v>GARRA TRAÇADORA 2</v>
      </c>
      <c r="H36" s="11" t="str">
        <f>IFERROR(VLOOKUP(G36,Cadastros!B:D,3,FALSE),"-")</f>
        <v>TRAÇAMENTO</v>
      </c>
      <c r="I36" s="9" t="s">
        <v>20</v>
      </c>
      <c r="J36" s="26">
        <f>IFERROR(MAX(0,1 - (SUMIFS('Motivos De Parada'!K:K,'Motivos De Parada'!G:G,Disponibilidade!G36,'Motivos De Parada'!H:H,Disponibilidade!H36,'Motivos De Parada'!O:O,Disponibilidade!I36,'Motivos De Parada'!E:E,Disponibilidade!C36,'Motivos De Parada'!D:D,Disponibilidade!E36) / 24)),"-")</f>
        <v>1</v>
      </c>
      <c r="K36" s="24" t="str" cm="1">
        <f t="array" ref="K36">IFERROR(INDEX('Metas DM &amp; DO'!$A:$AAD,MATCH(Disponibilidade!$G36,'Metas DM &amp; DO'!$A:$A,0),MATCH(Disponibilidade!$I36,'Metas DM &amp; DO'!$1:$1,0)+1),"-")</f>
        <v>-</v>
      </c>
      <c r="L36" s="24" t="str" cm="1">
        <f t="array" ref="L36">IFERROR(INDEX('Metas DM &amp; DO'!$A:$AAD,MATCH(Disponibilidade!$G36,'Metas DM &amp; DO'!$A:$A,0),MATCH(Disponibilidade!$I36,'Metas DM &amp; DO'!$1:$1,0)+2),"-")</f>
        <v>-</v>
      </c>
      <c r="M36" s="24" t="str" cm="1">
        <f t="array" ref="M36">IFERROR(INDEX('Metas DM &amp; DO'!$A:$AAD,MATCH(Disponibilidade!$G36,'Metas DM &amp; DO'!$A:$A,0),MATCH(Disponibilidade!$I36,'Metas DM &amp; DO'!$1:$1,0)+3),"-")</f>
        <v>-</v>
      </c>
      <c r="N36" s="11" t="str">
        <f>IFERROR(IF(J36&lt;K36,"RUIM",IF(AND(J36&gt;=K36,J36&lt;L36),"MEDIA",IF(AND(J36&gt;=L36,J36&lt;M36),"BOA","-"))),"-")</f>
        <v>RUIM</v>
      </c>
      <c r="O36" s="9" t="s">
        <v>19</v>
      </c>
      <c r="P36" s="26">
        <f>IFERROR(MAX(0,1 - (SUMIFS('Motivos De Parada'!K:K,'Motivos De Parada'!G:G,Disponibilidade!G36,'Motivos De Parada'!H:H,Disponibilidade!H36,'Motivos De Parada'!O:O,Disponibilidade!O36,'Motivos De Parada'!E:E,Disponibilidade!C36,'Motivos De Parada'!D:D,Disponibilidade!E36) / 24)),"-")</f>
        <v>1</v>
      </c>
      <c r="Q36" s="24" t="str" cm="1">
        <f t="array" ref="Q36">IFERROR(INDEX('Metas DM &amp; DO'!$A:$AAD,MATCH(Disponibilidade!$G36,'Metas DM &amp; DO'!$A:$A,0),MATCH(Disponibilidade!$O36,'Metas DM &amp; DO'!$1:$1,0)+1),"-")</f>
        <v>-</v>
      </c>
      <c r="R36" s="24" t="str" cm="1">
        <f t="array" ref="R36">IFERROR(INDEX('Metas DM &amp; DO'!$A:$AAD,MATCH(Disponibilidade!$G36,'Metas DM &amp; DO'!$A:$A,0),MATCH(Disponibilidade!$O36,'Metas DM &amp; DO'!$1:$1,0)+2),"-")</f>
        <v>-</v>
      </c>
      <c r="S36" s="24" t="str" cm="1">
        <f t="array" ref="S36">IFERROR(INDEX('Metas DM &amp; DO'!$A:$AAD,MATCH(Disponibilidade!$G36,'Metas DM &amp; DO'!$A:$A,0),MATCH(Disponibilidade!$O36,'Metas DM &amp; DO'!$1:$1,0)+3),"-")</f>
        <v>-</v>
      </c>
      <c r="T36" s="11" t="str">
        <f t="shared" si="57"/>
        <v>RUIM</v>
      </c>
      <c r="U36" s="9" t="s">
        <v>59</v>
      </c>
      <c r="V36" s="16">
        <f>IFERROR(SUMIFS('Motivos De Parada'!K:K,'Motivos De Parada'!G:G,Disponibilidade!G36,'Motivos De Parada'!H:H,Disponibilidade!H36,'Motivos De Parada'!O:O,Disponibilidade!I36,'Motivos De Parada'!E:E,Disponibilidade!C36,'Motivos De Parada'!D:D,Disponibilidade!E36),"-")</f>
        <v>0</v>
      </c>
      <c r="W36" s="16">
        <f>IFERROR(SUMIFS('Motivos De Parada'!K:K,'Motivos De Parada'!G:G,Disponibilidade!G36,'Motivos De Parada'!H:H,Disponibilidade!H36,'Motivos De Parada'!O:O,Disponibilidade!O36,'Motivos De Parada'!E:E,Disponibilidade!C36,'Motivos De Parada'!D:D,Disponibilidade!E36),"-")</f>
        <v>0</v>
      </c>
      <c r="X36" s="16">
        <f t="shared" si="58"/>
        <v>0</v>
      </c>
      <c r="Y36" s="16">
        <f>IFERROR(SUMIFS('Motivos De Parada'!K:K,'Motivos De Parada'!G:G,Disponibilidade!G36,'Motivos De Parada'!H:H,Disponibilidade!H36,'Motivos De Parada'!E:E,Disponibilidade!C36,'Motivos De Parada'!D:D,Disponibilidade!E36),"-")</f>
        <v>0</v>
      </c>
      <c r="Z36" s="28" t="str">
        <f t="shared" si="73"/>
        <v>OK</v>
      </c>
      <c r="AA36" s="16">
        <f t="shared" si="59"/>
        <v>0</v>
      </c>
      <c r="AB36" s="16">
        <f>IFERROR(SUMIFS('Motivos De Parada'!K:K,'Motivos De Parada'!G:G,Disponibilidade!G36,'Motivos De Parada'!H:H,Disponibilidade!H36,'Motivos De Parada'!E:E,Disponibilidade!C36,'Motivos De Parada'!D:D,Disponibilidade!E36,'Motivos De Parada'!M:M,"REFEIÇÃO"),"-")</f>
        <v>0</v>
      </c>
      <c r="AC36" s="16">
        <f t="shared" si="60"/>
        <v>0</v>
      </c>
      <c r="AD36" s="28" t="str">
        <f t="shared" si="74"/>
        <v>OK</v>
      </c>
      <c r="AE36" s="16" cm="1">
        <f t="array" ref="AE36">IFERROR(SUM(SUMIFS('Motivos De Parada'!K:K,'Motivos De Parada'!G:G,Disponibilidade!G36,'Motivos De Parada'!H:H,Disponibilidade!H36,'Motivos De Parada'!E:E,Disponibilidade!C36,'Motivos De Parada'!D:D,Disponibilidade!E36,'Motivos De Parada'!O:O,{"DISPONIBILIDADE MECÂNICA";"DISPONIBILIDADE OPERACIONAL"},'Motivos De Parada'!P:P,"NÃO")),"-")</f>
        <v>0</v>
      </c>
      <c r="AF36" s="16" cm="1">
        <f t="array" ref="AF36">IFERROR(SUM(SUMIFS('Motivos De Parada'!K:K,'Motivos De Parada'!G:G,Disponibilidade!G36,'Motivos De Parada'!H:H,Disponibilidade!H36,'Motivos De Parada'!E:E,Disponibilidade!C36,'Motivos De Parada'!D:D,Disponibilidade!E36,'Motivos De Parada'!O:O,{"DISPONIBILIDADE MECÂNICA";"DISPONIBILIDADE OPERACIONAL"},'Motivos De Parada'!P:P,"SIM")),"-")</f>
        <v>0</v>
      </c>
      <c r="AG36" s="16">
        <f t="shared" si="61"/>
        <v>0</v>
      </c>
      <c r="AH36" s="28" t="str">
        <f t="shared" si="75"/>
        <v>OK</v>
      </c>
      <c r="AI36" s="16" t="str" cm="1">
        <f t="array" ref="AI36">IFERROR(INDEX('Metas DM &amp; DO'!$A:$AAD,MATCH(Disponibilidade!$G36,'Metas DM &amp; DO'!$A:$A,0),MATCH(Disponibilidade!$U36,'Metas DM &amp; DO'!$1:$1,0)+2),"-")</f>
        <v>-</v>
      </c>
      <c r="AJ36" s="16" t="str" cm="1">
        <f t="array" ref="AJ36">IFERROR(INDEX('Metas DM &amp; DO'!$A:$AAD,MATCH(Disponibilidade!$G36,'Metas DM &amp; DO'!$A:$A,0),MATCH(Disponibilidade!$U36,'Metas DM &amp; DO'!$1:$1,0)+3),"-")</f>
        <v>-</v>
      </c>
      <c r="AK36" s="16" t="str" cm="1">
        <f t="array" ref="AK36">IFERROR(INDEX('Metas DM &amp; DO'!$A:$AAD,MATCH(Disponibilidade!$G36,'Metas DM &amp; DO'!$A:$A,0),MATCH(Disponibilidade!$U36,'Metas DM &amp; DO'!$1:$1,0)+4),"-")</f>
        <v>-</v>
      </c>
      <c r="AL36" s="11" t="str">
        <f t="shared" si="62"/>
        <v>EXCELENTE</v>
      </c>
    </row>
    <row r="37" spans="1:38" x14ac:dyDescent="0.3">
      <c r="A37" s="11">
        <f t="shared" si="63"/>
        <v>2026</v>
      </c>
      <c r="B37" s="12">
        <f t="shared" si="64"/>
        <v>46023</v>
      </c>
      <c r="C37" s="19">
        <v>46025</v>
      </c>
      <c r="D37" s="3" t="s">
        <v>130</v>
      </c>
      <c r="E37" s="11" t="s">
        <v>81</v>
      </c>
      <c r="F37" s="11" t="str" cm="1">
        <f t="array" ref="F37">IFERROR(INDEX('Motivos De Parada'!C:C,MATCH(1,('Motivos De Parada'!E:E=Disponibilidade!C37)*('Motivos De Parada'!G:G=Disponibilidade!G37)*('Motivos De Parada'!D:D=Disponibilidade!E37),0)),"-")</f>
        <v>-</v>
      </c>
      <c r="G37" s="11" t="str">
        <f>IFERROR(VLOOKUP(D37,Cadastros!A:B,2,FALSE),"-")</f>
        <v>GARRA TRAÇADORA 2</v>
      </c>
      <c r="H37" s="11" t="str">
        <f>IFERROR(VLOOKUP(G37,Cadastros!B:D,3,FALSE),"-")</f>
        <v>TRAÇAMENTO</v>
      </c>
      <c r="I37" s="9" t="s">
        <v>20</v>
      </c>
      <c r="J37" s="26">
        <f>IFERROR(MAX(0,1 - (SUMIFS('Motivos De Parada'!K:K,'Motivos De Parada'!G:G,Disponibilidade!G37,'Motivos De Parada'!H:H,Disponibilidade!H37,'Motivos De Parada'!O:O,Disponibilidade!I37,'Motivos De Parada'!E:E,Disponibilidade!C37,'Motivos De Parada'!D:D,Disponibilidade!E37) / 24)),"-")</f>
        <v>1</v>
      </c>
      <c r="K37" s="24" t="str" cm="1">
        <f t="array" ref="K37">IFERROR(INDEX('Metas DM &amp; DO'!$A:$AAD,MATCH(Disponibilidade!$G37,'Metas DM &amp; DO'!$A:$A,0),MATCH(Disponibilidade!$I37,'Metas DM &amp; DO'!$1:$1,0)+1),"-")</f>
        <v>-</v>
      </c>
      <c r="L37" s="24" t="str" cm="1">
        <f t="array" ref="L37">IFERROR(INDEX('Metas DM &amp; DO'!$A:$AAD,MATCH(Disponibilidade!$G37,'Metas DM &amp; DO'!$A:$A,0),MATCH(Disponibilidade!$I37,'Metas DM &amp; DO'!$1:$1,0)+2),"-")</f>
        <v>-</v>
      </c>
      <c r="M37" s="24" t="str" cm="1">
        <f t="array" ref="M37">IFERROR(INDEX('Metas DM &amp; DO'!$A:$AAD,MATCH(Disponibilidade!$G37,'Metas DM &amp; DO'!$A:$A,0),MATCH(Disponibilidade!$I37,'Metas DM &amp; DO'!$1:$1,0)+3),"-")</f>
        <v>-</v>
      </c>
      <c r="N37" s="11" t="str">
        <f>IFERROR(IF(J37&lt;K37,"RUIM",IF(AND(J37&gt;=K37,J37&lt;L37),"MEDIA",IF(AND(J37&gt;=L37,J37&lt;M37),"BOA","-"))),"-")</f>
        <v>RUIM</v>
      </c>
      <c r="O37" s="9" t="s">
        <v>19</v>
      </c>
      <c r="P37" s="26">
        <f>IFERROR(MAX(0,1 - (SUMIFS('Motivos De Parada'!K:K,'Motivos De Parada'!G:G,Disponibilidade!G37,'Motivos De Parada'!H:H,Disponibilidade!H37,'Motivos De Parada'!O:O,Disponibilidade!O37,'Motivos De Parada'!E:E,Disponibilidade!C37,'Motivos De Parada'!D:D,Disponibilidade!E37) / 24)),"-")</f>
        <v>1</v>
      </c>
      <c r="Q37" s="24" t="str" cm="1">
        <f t="array" ref="Q37">IFERROR(INDEX('Metas DM &amp; DO'!$A:$AAD,MATCH(Disponibilidade!$G37,'Metas DM &amp; DO'!$A:$A,0),MATCH(Disponibilidade!$O37,'Metas DM &amp; DO'!$1:$1,0)+1),"-")</f>
        <v>-</v>
      </c>
      <c r="R37" s="24" t="str" cm="1">
        <f t="array" ref="R37">IFERROR(INDEX('Metas DM &amp; DO'!$A:$AAD,MATCH(Disponibilidade!$G37,'Metas DM &amp; DO'!$A:$A,0),MATCH(Disponibilidade!$O37,'Metas DM &amp; DO'!$1:$1,0)+2),"-")</f>
        <v>-</v>
      </c>
      <c r="S37" s="24" t="str" cm="1">
        <f t="array" ref="S37">IFERROR(INDEX('Metas DM &amp; DO'!$A:$AAD,MATCH(Disponibilidade!$G37,'Metas DM &amp; DO'!$A:$A,0),MATCH(Disponibilidade!$O37,'Metas DM &amp; DO'!$1:$1,0)+3),"-")</f>
        <v>-</v>
      </c>
      <c r="T37" s="11" t="str">
        <f t="shared" si="57"/>
        <v>RUIM</v>
      </c>
      <c r="U37" s="9" t="s">
        <v>59</v>
      </c>
      <c r="V37" s="16">
        <f>IFERROR(SUMIFS('Motivos De Parada'!K:K,'Motivos De Parada'!G:G,Disponibilidade!G37,'Motivos De Parada'!H:H,Disponibilidade!H37,'Motivos De Parada'!O:O,Disponibilidade!I37,'Motivos De Parada'!E:E,Disponibilidade!C37,'Motivos De Parada'!D:D,Disponibilidade!E37),"-")</f>
        <v>0</v>
      </c>
      <c r="W37" s="16">
        <f>IFERROR(SUMIFS('Motivos De Parada'!K:K,'Motivos De Parada'!G:G,Disponibilidade!G37,'Motivos De Parada'!H:H,Disponibilidade!H37,'Motivos De Parada'!O:O,Disponibilidade!O37,'Motivos De Parada'!E:E,Disponibilidade!C37,'Motivos De Parada'!D:D,Disponibilidade!E37),"-")</f>
        <v>0</v>
      </c>
      <c r="X37" s="16">
        <f t="shared" si="58"/>
        <v>0</v>
      </c>
      <c r="Y37" s="16">
        <f>IFERROR(SUMIFS('Motivos De Parada'!K:K,'Motivos De Parada'!G:G,Disponibilidade!G37,'Motivos De Parada'!H:H,Disponibilidade!H37,'Motivos De Parada'!E:E,Disponibilidade!C37,'Motivos De Parada'!D:D,Disponibilidade!E37),"-")</f>
        <v>0</v>
      </c>
      <c r="Z37" s="28" t="str">
        <f t="shared" si="73"/>
        <v>OK</v>
      </c>
      <c r="AA37" s="16">
        <f t="shared" si="59"/>
        <v>0</v>
      </c>
      <c r="AB37" s="16">
        <f>IFERROR(SUMIFS('Motivos De Parada'!K:K,'Motivos De Parada'!G:G,Disponibilidade!G37,'Motivos De Parada'!H:H,Disponibilidade!H37,'Motivos De Parada'!E:E,Disponibilidade!C37,'Motivos De Parada'!D:D,Disponibilidade!E37,'Motivos De Parada'!M:M,"REFEIÇÃO"),"-")</f>
        <v>0</v>
      </c>
      <c r="AC37" s="16">
        <f t="shared" si="60"/>
        <v>0</v>
      </c>
      <c r="AD37" s="28" t="str">
        <f t="shared" si="74"/>
        <v>OK</v>
      </c>
      <c r="AE37" s="16" cm="1">
        <f t="array" ref="AE37">IFERROR(SUM(SUMIFS('Motivos De Parada'!K:K,'Motivos De Parada'!G:G,Disponibilidade!G37,'Motivos De Parada'!H:H,Disponibilidade!H37,'Motivos De Parada'!E:E,Disponibilidade!C37,'Motivos De Parada'!D:D,Disponibilidade!E37,'Motivos De Parada'!O:O,{"DISPONIBILIDADE MECÂNICA";"DISPONIBILIDADE OPERACIONAL"},'Motivos De Parada'!P:P,"NÃO")),"-")</f>
        <v>0</v>
      </c>
      <c r="AF37" s="16" cm="1">
        <f t="array" ref="AF37">IFERROR(SUM(SUMIFS('Motivos De Parada'!K:K,'Motivos De Parada'!G:G,Disponibilidade!G37,'Motivos De Parada'!H:H,Disponibilidade!H37,'Motivos De Parada'!E:E,Disponibilidade!C37,'Motivos De Parada'!D:D,Disponibilidade!E37,'Motivos De Parada'!O:O,{"DISPONIBILIDADE MECÂNICA";"DISPONIBILIDADE OPERACIONAL"},'Motivos De Parada'!P:P,"SIM")),"-")</f>
        <v>0</v>
      </c>
      <c r="AG37" s="16">
        <f t="shared" si="61"/>
        <v>0</v>
      </c>
      <c r="AH37" s="28" t="str">
        <f t="shared" si="75"/>
        <v>OK</v>
      </c>
      <c r="AI37" s="16" t="str" cm="1">
        <f t="array" ref="AI37">IFERROR(INDEX('Metas DM &amp; DO'!$A:$AAD,MATCH(Disponibilidade!$G37,'Metas DM &amp; DO'!$A:$A,0),MATCH(Disponibilidade!$U37,'Metas DM &amp; DO'!$1:$1,0)+2),"-")</f>
        <v>-</v>
      </c>
      <c r="AJ37" s="16" t="str" cm="1">
        <f t="array" ref="AJ37">IFERROR(INDEX('Metas DM &amp; DO'!$A:$AAD,MATCH(Disponibilidade!$G37,'Metas DM &amp; DO'!$A:$A,0),MATCH(Disponibilidade!$U37,'Metas DM &amp; DO'!$1:$1,0)+3),"-")</f>
        <v>-</v>
      </c>
      <c r="AK37" s="16" t="str" cm="1">
        <f t="array" ref="AK37">IFERROR(INDEX('Metas DM &amp; DO'!$A:$AAD,MATCH(Disponibilidade!$G37,'Metas DM &amp; DO'!$A:$A,0),MATCH(Disponibilidade!$U37,'Metas DM &amp; DO'!$1:$1,0)+4),"-")</f>
        <v>-</v>
      </c>
      <c r="AL37" s="11" t="str">
        <f t="shared" si="62"/>
        <v>EXCELENTE</v>
      </c>
    </row>
    <row r="38" spans="1:38" x14ac:dyDescent="0.3">
      <c r="A38" s="11">
        <f t="shared" si="63"/>
        <v>2026</v>
      </c>
      <c r="B38" s="12">
        <f t="shared" si="64"/>
        <v>46023</v>
      </c>
      <c r="C38" s="19">
        <v>46026</v>
      </c>
      <c r="D38" s="3" t="s">
        <v>120</v>
      </c>
      <c r="E38" s="11" t="s">
        <v>80</v>
      </c>
      <c r="F38" s="11" t="str" cm="1">
        <f t="array" ref="F38">IFERROR(INDEX('Motivos De Parada'!C:C,MATCH(1,('Motivos De Parada'!E:E=Disponibilidade!C38)*('Motivos De Parada'!G:G=Disponibilidade!G38)*('Motivos De Parada'!D:D=Disponibilidade!E38),0)),"-")</f>
        <v>-</v>
      </c>
      <c r="G38" s="11" t="str">
        <f>IFERROR(VLOOKUP(D38,Cadastros!A:B,2,FALSE),"-")</f>
        <v>FELLER BUNCHER 1</v>
      </c>
      <c r="H38" s="11" t="str">
        <f>IFERROR(VLOOKUP(G38,Cadastros!B:D,3,FALSE),"-")</f>
        <v>CORTE</v>
      </c>
      <c r="I38" s="9" t="s">
        <v>20</v>
      </c>
      <c r="J38" s="26">
        <f>IFERROR(MAX(0,1 - (SUMIFS('Motivos De Parada'!K:K,'Motivos De Parada'!G:G,Disponibilidade!G38,'Motivos De Parada'!H:H,Disponibilidade!H38,'Motivos De Parada'!O:O,Disponibilidade!I38,'Motivos De Parada'!E:E,Disponibilidade!C38,'Motivos De Parada'!D:D,Disponibilidade!E38) / 24)),"-")</f>
        <v>1</v>
      </c>
      <c r="K38" s="24" cm="1">
        <f t="array" ref="K38">IFERROR(INDEX('Metas DM &amp; DO'!$A:$AAD,MATCH(Disponibilidade!$G38,'Metas DM &amp; DO'!$A:$A,0),MATCH(Disponibilidade!$I38,'Metas DM &amp; DO'!$1:$1,0)+1),"-")</f>
        <v>0.45882352941176474</v>
      </c>
      <c r="L38" s="24" cm="1">
        <f t="array" ref="L38">IFERROR(INDEX('Metas DM &amp; DO'!$A:$AAD,MATCH(Disponibilidade!$G38,'Metas DM &amp; DO'!$A:$A,0),MATCH(Disponibilidade!$I38,'Metas DM &amp; DO'!$1:$1,0)+2),"-")</f>
        <v>0.66341463414634161</v>
      </c>
      <c r="M38" s="24" cm="1">
        <f t="array" ref="M38">IFERROR(INDEX('Metas DM &amp; DO'!$A:$AAD,MATCH(Disponibilidade!$G38,'Metas DM &amp; DO'!$A:$A,0),MATCH(Disponibilidade!$I38,'Metas DM &amp; DO'!$1:$1,0)+3),"-")</f>
        <v>0.83333333333333337</v>
      </c>
      <c r="N38" s="11" t="str">
        <f t="shared" ref="N38:N44" si="76">IFERROR(IF(J38&lt;K38,"RUIM",IF(AND(J38&gt;=K38,J38&lt;L38),"MEDIA",IF(AND(J38&gt;=L38,J38&lt;M38),"BOA","-"))),"-")</f>
        <v>-</v>
      </c>
      <c r="O38" s="9" t="s">
        <v>19</v>
      </c>
      <c r="P38" s="26">
        <f>IFERROR(MAX(0,1 - (SUMIFS('Motivos De Parada'!K:K,'Motivos De Parada'!G:G,Disponibilidade!G38,'Motivos De Parada'!H:H,Disponibilidade!H38,'Motivos De Parada'!O:O,Disponibilidade!O38,'Motivos De Parada'!E:E,Disponibilidade!C38,'Motivos De Parada'!D:D,Disponibilidade!E38) / 24)),"-")</f>
        <v>1</v>
      </c>
      <c r="Q38" s="24" cm="1">
        <f t="array" ref="Q38">IFERROR(INDEX('Metas DM &amp; DO'!$A:$AAD,MATCH(Disponibilidade!$G38,'Metas DM &amp; DO'!$A:$A,0),MATCH(Disponibilidade!$O38,'Metas DM &amp; DO'!$1:$1,0)+1),"-")</f>
        <v>0.74117647058823533</v>
      </c>
      <c r="R38" s="24" cm="1">
        <f t="array" ref="R38">IFERROR(INDEX('Metas DM &amp; DO'!$A:$AAD,MATCH(Disponibilidade!$G38,'Metas DM &amp; DO'!$A:$A,0),MATCH(Disponibilidade!$O38,'Metas DM &amp; DO'!$1:$1,0)+2),"-")</f>
        <v>0.83902439024390252</v>
      </c>
      <c r="S38" s="24" cm="1">
        <f t="array" ref="S38">IFERROR(INDEX('Metas DM &amp; DO'!$A:$AAD,MATCH(Disponibilidade!$G38,'Metas DM &amp; DO'!$A:$A,0),MATCH(Disponibilidade!$O38,'Metas DM &amp; DO'!$1:$1,0)+3),"-")</f>
        <v>0.79166666666666674</v>
      </c>
      <c r="T38" s="11" t="str">
        <f t="shared" si="57"/>
        <v>-</v>
      </c>
      <c r="U38" s="9" t="s">
        <v>59</v>
      </c>
      <c r="V38" s="16">
        <f>IFERROR(SUMIFS('Motivos De Parada'!K:K,'Motivos De Parada'!G:G,Disponibilidade!G38,'Motivos De Parada'!H:H,Disponibilidade!H38,'Motivos De Parada'!O:O,Disponibilidade!I38,'Motivos De Parada'!E:E,Disponibilidade!C38,'Motivos De Parada'!D:D,Disponibilidade!E38),"-")</f>
        <v>0</v>
      </c>
      <c r="W38" s="16">
        <f>IFERROR(SUMIFS('Motivos De Parada'!K:K,'Motivos De Parada'!G:G,Disponibilidade!G38,'Motivos De Parada'!H:H,Disponibilidade!H38,'Motivos De Parada'!O:O,Disponibilidade!O38,'Motivos De Parada'!E:E,Disponibilidade!C38,'Motivos De Parada'!D:D,Disponibilidade!E38),"-")</f>
        <v>0</v>
      </c>
      <c r="X38" s="16">
        <f t="shared" si="58"/>
        <v>0</v>
      </c>
      <c r="Y38" s="16">
        <f>IFERROR(SUMIFS('Motivos De Parada'!K:K,'Motivos De Parada'!G:G,Disponibilidade!G38,'Motivos De Parada'!H:H,Disponibilidade!H38,'Motivos De Parada'!E:E,Disponibilidade!C38,'Motivos De Parada'!D:D,Disponibilidade!E38),"-")</f>
        <v>0</v>
      </c>
      <c r="Z38" s="28" t="str">
        <f>IFERROR(IF(Y38=0,"OK",IF(OR(Y38&gt;12,Y38&lt;12),"VERIFICAR","OK")),"-")</f>
        <v>OK</v>
      </c>
      <c r="AA38" s="16">
        <f t="shared" si="59"/>
        <v>0</v>
      </c>
      <c r="AB38" s="16">
        <f>IFERROR(SUMIFS('Motivos De Parada'!K:K,'Motivos De Parada'!G:G,Disponibilidade!G38,'Motivos De Parada'!H:H,Disponibilidade!H38,'Motivos De Parada'!E:E,Disponibilidade!C38,'Motivos De Parada'!D:D,Disponibilidade!E38,'Motivos De Parada'!M:M,"REFEIÇÃO"),"-")</f>
        <v>0</v>
      </c>
      <c r="AC38" s="16">
        <f t="shared" si="60"/>
        <v>0</v>
      </c>
      <c r="AD38" s="28" t="str">
        <f>IFERROR(IF(AC38&lt;0,"VERIFICAR","OK"),"-")</f>
        <v>OK</v>
      </c>
      <c r="AE38" s="16" cm="1">
        <f t="array" ref="AE38">IFERROR(SUM(SUMIFS('Motivos De Parada'!K:K,'Motivos De Parada'!G:G,Disponibilidade!G38,'Motivos De Parada'!H:H,Disponibilidade!H38,'Motivos De Parada'!E:E,Disponibilidade!C38,'Motivos De Parada'!D:D,Disponibilidade!E38,'Motivos De Parada'!O:O,{"DISPONIBILIDADE MECÂNICA";"DISPONIBILIDADE OPERACIONAL"},'Motivos De Parada'!P:P,"NÃO")),"-")</f>
        <v>0</v>
      </c>
      <c r="AF38" s="16" cm="1">
        <f t="array" ref="AF38">IFERROR(SUM(SUMIFS('Motivos De Parada'!K:K,'Motivos De Parada'!G:G,Disponibilidade!G38,'Motivos De Parada'!H:H,Disponibilidade!H38,'Motivos De Parada'!E:E,Disponibilidade!C38,'Motivos De Parada'!D:D,Disponibilidade!E38,'Motivos De Parada'!O:O,{"DISPONIBILIDADE MECÂNICA";"DISPONIBILIDADE OPERACIONAL"},'Motivos De Parada'!P:P,"SIM")),"-")</f>
        <v>0</v>
      </c>
      <c r="AG38" s="16">
        <f t="shared" si="61"/>
        <v>0</v>
      </c>
      <c r="AH38" s="28" t="str">
        <f>IFERROR(IF(AND(AG38=0,AC38=0),"OK",IF(AG38=AC38,"VERIFICAR","OK")),"-")</f>
        <v>OK</v>
      </c>
      <c r="AI38" s="16" cm="1">
        <f t="array" ref="AI38">IFERROR(INDEX('Metas DM &amp; DO'!$A:$AAD,MATCH(Disponibilidade!$G38,'Metas DM &amp; DO'!$A:$A,0),MATCH(Disponibilidade!$U38,'Metas DM &amp; DO'!$1:$1,0)+2),"-")</f>
        <v>4.8</v>
      </c>
      <c r="AJ38" s="16" cm="1">
        <f t="array" ref="AJ38">IFERROR(INDEX('Metas DM &amp; DO'!$A:$AAD,MATCH(Disponibilidade!$G38,'Metas DM &amp; DO'!$A:$A,0),MATCH(Disponibilidade!$U38,'Metas DM &amp; DO'!$1:$1,0)+3),"-")</f>
        <v>2.9853658536585361</v>
      </c>
      <c r="AK38" s="16" cm="1">
        <f t="array" ref="AK38">IFERROR(INDEX('Metas DM &amp; DO'!$A:$AAD,MATCH(Disponibilidade!$G38,'Metas DM &amp; DO'!$A:$A,0),MATCH(Disponibilidade!$U38,'Metas DM &amp; DO'!$1:$1,0)+4),"-")</f>
        <v>12</v>
      </c>
      <c r="AL38" s="11" t="str">
        <f t="shared" si="62"/>
        <v>EXCELENTE</v>
      </c>
    </row>
    <row r="39" spans="1:38" x14ac:dyDescent="0.3">
      <c r="A39" s="11">
        <f t="shared" si="63"/>
        <v>2026</v>
      </c>
      <c r="B39" s="12">
        <f t="shared" si="64"/>
        <v>46023</v>
      </c>
      <c r="C39" s="19">
        <v>46026</v>
      </c>
      <c r="D39" s="3" t="s">
        <v>120</v>
      </c>
      <c r="E39" s="11" t="s">
        <v>81</v>
      </c>
      <c r="F39" s="11" t="str" cm="1">
        <f t="array" ref="F39">IFERROR(INDEX('Motivos De Parada'!C:C,MATCH(1,('Motivos De Parada'!E:E=Disponibilidade!C39)*('Motivos De Parada'!G:G=Disponibilidade!G39)*('Motivos De Parada'!D:D=Disponibilidade!E39),0)),"-")</f>
        <v>-</v>
      </c>
      <c r="G39" s="11" t="str">
        <f>IFERROR(VLOOKUP(D39,Cadastros!A:B,2,FALSE),"-")</f>
        <v>FELLER BUNCHER 1</v>
      </c>
      <c r="H39" s="11" t="str">
        <f>IFERROR(VLOOKUP(G39,Cadastros!B:D,3,FALSE),"-")</f>
        <v>CORTE</v>
      </c>
      <c r="I39" s="9" t="s">
        <v>20</v>
      </c>
      <c r="J39" s="26">
        <f>IFERROR(MAX(0,1 - (SUMIFS('Motivos De Parada'!K:K,'Motivos De Parada'!G:G,Disponibilidade!G39,'Motivos De Parada'!H:H,Disponibilidade!H39,'Motivos De Parada'!O:O,Disponibilidade!I39,'Motivos De Parada'!E:E,Disponibilidade!C39,'Motivos De Parada'!D:D,Disponibilidade!E39) / 24)),"-")</f>
        <v>1</v>
      </c>
      <c r="K39" s="24" cm="1">
        <f t="array" ref="K39">IFERROR(INDEX('Metas DM &amp; DO'!$A:$AAD,MATCH(Disponibilidade!$G39,'Metas DM &amp; DO'!$A:$A,0),MATCH(Disponibilidade!$I39,'Metas DM &amp; DO'!$1:$1,0)+1),"-")</f>
        <v>0.45882352941176474</v>
      </c>
      <c r="L39" s="24" cm="1">
        <f t="array" ref="L39">IFERROR(INDEX('Metas DM &amp; DO'!$A:$AAD,MATCH(Disponibilidade!$G39,'Metas DM &amp; DO'!$A:$A,0),MATCH(Disponibilidade!$I39,'Metas DM &amp; DO'!$1:$1,0)+2),"-")</f>
        <v>0.66341463414634161</v>
      </c>
      <c r="M39" s="24" cm="1">
        <f t="array" ref="M39">IFERROR(INDEX('Metas DM &amp; DO'!$A:$AAD,MATCH(Disponibilidade!$G39,'Metas DM &amp; DO'!$A:$A,0),MATCH(Disponibilidade!$I39,'Metas DM &amp; DO'!$1:$1,0)+3),"-")</f>
        <v>0.83333333333333337</v>
      </c>
      <c r="N39" s="11" t="str">
        <f t="shared" si="76"/>
        <v>-</v>
      </c>
      <c r="O39" s="9" t="s">
        <v>19</v>
      </c>
      <c r="P39" s="26">
        <f>IFERROR(MAX(0,1 - (SUMIFS('Motivos De Parada'!K:K,'Motivos De Parada'!G:G,Disponibilidade!G39,'Motivos De Parada'!H:H,Disponibilidade!H39,'Motivos De Parada'!O:O,Disponibilidade!O39,'Motivos De Parada'!E:E,Disponibilidade!C39,'Motivos De Parada'!D:D,Disponibilidade!E39) / 24)),"-")</f>
        <v>1</v>
      </c>
      <c r="Q39" s="24" cm="1">
        <f t="array" ref="Q39">IFERROR(INDEX('Metas DM &amp; DO'!$A:$AAD,MATCH(Disponibilidade!$G39,'Metas DM &amp; DO'!$A:$A,0),MATCH(Disponibilidade!$O39,'Metas DM &amp; DO'!$1:$1,0)+1),"-")</f>
        <v>0.74117647058823533</v>
      </c>
      <c r="R39" s="24" cm="1">
        <f t="array" ref="R39">IFERROR(INDEX('Metas DM &amp; DO'!$A:$AAD,MATCH(Disponibilidade!$G39,'Metas DM &amp; DO'!$A:$A,0),MATCH(Disponibilidade!$O39,'Metas DM &amp; DO'!$1:$1,0)+2),"-")</f>
        <v>0.83902439024390252</v>
      </c>
      <c r="S39" s="24" cm="1">
        <f t="array" ref="S39">IFERROR(INDEX('Metas DM &amp; DO'!$A:$AAD,MATCH(Disponibilidade!$G39,'Metas DM &amp; DO'!$A:$A,0),MATCH(Disponibilidade!$O39,'Metas DM &amp; DO'!$1:$1,0)+3),"-")</f>
        <v>0.79166666666666674</v>
      </c>
      <c r="T39" s="11" t="str">
        <f t="shared" si="57"/>
        <v>-</v>
      </c>
      <c r="U39" s="9" t="s">
        <v>59</v>
      </c>
      <c r="V39" s="16">
        <f>IFERROR(SUMIFS('Motivos De Parada'!K:K,'Motivos De Parada'!G:G,Disponibilidade!G39,'Motivos De Parada'!H:H,Disponibilidade!H39,'Motivos De Parada'!O:O,Disponibilidade!I39,'Motivos De Parada'!E:E,Disponibilidade!C39,'Motivos De Parada'!D:D,Disponibilidade!E39),"-")</f>
        <v>0</v>
      </c>
      <c r="W39" s="16">
        <f>IFERROR(SUMIFS('Motivos De Parada'!K:K,'Motivos De Parada'!G:G,Disponibilidade!G39,'Motivos De Parada'!H:H,Disponibilidade!H39,'Motivos De Parada'!O:O,Disponibilidade!O39,'Motivos De Parada'!E:E,Disponibilidade!C39,'Motivos De Parada'!D:D,Disponibilidade!E39),"-")</f>
        <v>0</v>
      </c>
      <c r="X39" s="16">
        <f t="shared" si="58"/>
        <v>0</v>
      </c>
      <c r="Y39" s="16">
        <f>IFERROR(SUMIFS('Motivos De Parada'!K:K,'Motivos De Parada'!G:G,Disponibilidade!G39,'Motivos De Parada'!H:H,Disponibilidade!H39,'Motivos De Parada'!E:E,Disponibilidade!C39,'Motivos De Parada'!D:D,Disponibilidade!E39),"-")</f>
        <v>0</v>
      </c>
      <c r="Z39" s="28" t="str">
        <f t="shared" ref="Z39:Z45" si="77">IFERROR(IF(Y39=0,"OK",IF(OR(Y39&gt;12,Y39&lt;12),"VERIFICAR","OK")),"-")</f>
        <v>OK</v>
      </c>
      <c r="AA39" s="16">
        <f t="shared" si="59"/>
        <v>0</v>
      </c>
      <c r="AB39" s="16">
        <f>IFERROR(SUMIFS('Motivos De Parada'!K:K,'Motivos De Parada'!G:G,Disponibilidade!G39,'Motivos De Parada'!H:H,Disponibilidade!H39,'Motivos De Parada'!E:E,Disponibilidade!C39,'Motivos De Parada'!D:D,Disponibilidade!E39,'Motivos De Parada'!M:M,"REFEIÇÃO"),"-")</f>
        <v>0</v>
      </c>
      <c r="AC39" s="16">
        <f t="shared" si="60"/>
        <v>0</v>
      </c>
      <c r="AD39" s="28" t="str">
        <f t="shared" ref="AD39:AD45" si="78">IFERROR(IF(AC39&lt;0,"VERIFICAR","OK"),"-")</f>
        <v>OK</v>
      </c>
      <c r="AE39" s="16" cm="1">
        <f t="array" ref="AE39">IFERROR(SUM(SUMIFS('Motivos De Parada'!K:K,'Motivos De Parada'!G:G,Disponibilidade!G39,'Motivos De Parada'!H:H,Disponibilidade!H39,'Motivos De Parada'!E:E,Disponibilidade!C39,'Motivos De Parada'!D:D,Disponibilidade!E39,'Motivos De Parada'!O:O,{"DISPONIBILIDADE MECÂNICA";"DISPONIBILIDADE OPERACIONAL"},'Motivos De Parada'!P:P,"NÃO")),"-")</f>
        <v>0</v>
      </c>
      <c r="AF39" s="16" cm="1">
        <f t="array" ref="AF39">IFERROR(SUM(SUMIFS('Motivos De Parada'!K:K,'Motivos De Parada'!G:G,Disponibilidade!G39,'Motivos De Parada'!H:H,Disponibilidade!H39,'Motivos De Parada'!E:E,Disponibilidade!C39,'Motivos De Parada'!D:D,Disponibilidade!E39,'Motivos De Parada'!O:O,{"DISPONIBILIDADE MECÂNICA";"DISPONIBILIDADE OPERACIONAL"},'Motivos De Parada'!P:P,"SIM")),"-")</f>
        <v>0</v>
      </c>
      <c r="AG39" s="16">
        <f t="shared" si="61"/>
        <v>0</v>
      </c>
      <c r="AH39" s="28" t="str">
        <f t="shared" ref="AH39:AH45" si="79">IFERROR(IF(AND(AG39=0,AC39=0),"OK",IF(AG39=AC39,"VERIFICAR","OK")),"-")</f>
        <v>OK</v>
      </c>
      <c r="AI39" s="16" cm="1">
        <f t="array" ref="AI39">IFERROR(INDEX('Metas DM &amp; DO'!$A:$AAD,MATCH(Disponibilidade!$G39,'Metas DM &amp; DO'!$A:$A,0),MATCH(Disponibilidade!$U39,'Metas DM &amp; DO'!$1:$1,0)+2),"-")</f>
        <v>4.8</v>
      </c>
      <c r="AJ39" s="16" cm="1">
        <f t="array" ref="AJ39">IFERROR(INDEX('Metas DM &amp; DO'!$A:$AAD,MATCH(Disponibilidade!$G39,'Metas DM &amp; DO'!$A:$A,0),MATCH(Disponibilidade!$U39,'Metas DM &amp; DO'!$1:$1,0)+3),"-")</f>
        <v>2.9853658536585361</v>
      </c>
      <c r="AK39" s="16" cm="1">
        <f t="array" ref="AK39">IFERROR(INDEX('Metas DM &amp; DO'!$A:$AAD,MATCH(Disponibilidade!$G39,'Metas DM &amp; DO'!$A:$A,0),MATCH(Disponibilidade!$U39,'Metas DM &amp; DO'!$1:$1,0)+4),"-")</f>
        <v>12</v>
      </c>
      <c r="AL39" s="11" t="str">
        <f t="shared" si="62"/>
        <v>EXCELENTE</v>
      </c>
    </row>
    <row r="40" spans="1:38" x14ac:dyDescent="0.3">
      <c r="A40" s="11">
        <f t="shared" si="63"/>
        <v>2026</v>
      </c>
      <c r="B40" s="12">
        <f t="shared" si="64"/>
        <v>46023</v>
      </c>
      <c r="C40" s="19">
        <v>46026</v>
      </c>
      <c r="D40" s="3" t="s">
        <v>122</v>
      </c>
      <c r="E40" s="11" t="s">
        <v>80</v>
      </c>
      <c r="F40" s="11" t="str" cm="1">
        <f t="array" ref="F40">IFERROR(INDEX('Motivos De Parada'!C:C,MATCH(1,('Motivos De Parada'!E:E=Disponibilidade!C40)*('Motivos De Parada'!G:G=Disponibilidade!G40)*('Motivos De Parada'!D:D=Disponibilidade!E40),0)),"-")</f>
        <v>-</v>
      </c>
      <c r="G40" s="11" t="str">
        <f>IFERROR(VLOOKUP(D40,Cadastros!A:B,2,FALSE),"-")</f>
        <v>FELLER BUNCHER 2</v>
      </c>
      <c r="H40" s="11" t="str">
        <f>IFERROR(VLOOKUP(G40,Cadastros!B:D,3,FALSE),"-")</f>
        <v>CORTE</v>
      </c>
      <c r="I40" s="9" t="s">
        <v>20</v>
      </c>
      <c r="J40" s="26">
        <f>IFERROR(MAX(0,1 - (SUMIFS('Motivos De Parada'!K:K,'Motivos De Parada'!G:G,Disponibilidade!G40,'Motivos De Parada'!H:H,Disponibilidade!H40,'Motivos De Parada'!O:O,Disponibilidade!I40,'Motivos De Parada'!E:E,Disponibilidade!C40,'Motivos De Parada'!D:D,Disponibilidade!E40) / 24)),"-")</f>
        <v>1</v>
      </c>
      <c r="K40" s="24" cm="1">
        <f t="array" ref="K40">IFERROR(INDEX('Metas DM &amp; DO'!$A:$AAD,MATCH(Disponibilidade!$G40,'Metas DM &amp; DO'!$A:$A,0),MATCH(Disponibilidade!$I40,'Metas DM &amp; DO'!$1:$1,0)+1),"-")</f>
        <v>1</v>
      </c>
      <c r="L40" s="24" cm="1">
        <f t="array" ref="L40">IFERROR(INDEX('Metas DM &amp; DO'!$A:$AAD,MATCH(Disponibilidade!$G40,'Metas DM &amp; DO'!$A:$A,0),MATCH(Disponibilidade!$I40,'Metas DM &amp; DO'!$1:$1,0)+2),"-")</f>
        <v>1</v>
      </c>
      <c r="M40" s="24" t="str" cm="1">
        <f t="array" ref="M40">IFERROR(INDEX('Metas DM &amp; DO'!$A:$AAD,MATCH(Disponibilidade!$G40,'Metas DM &amp; DO'!$A:$A,0),MATCH(Disponibilidade!$I40,'Metas DM &amp; DO'!$1:$1,0)+3),"-")</f>
        <v>-</v>
      </c>
      <c r="N40" s="11" t="str">
        <f>IFERROR(IF(J40&lt;K40,"RUIM",IF(AND(J40&gt;=K40,J40&lt;L40),"MEDIA",IF(AND(J40&gt;=L40,J40&lt;M40),"BOA","-"))),"-")</f>
        <v>BOA</v>
      </c>
      <c r="O40" s="9" t="s">
        <v>19</v>
      </c>
      <c r="P40" s="26">
        <f>IFERROR(MAX(0,1 - (SUMIFS('Motivos De Parada'!K:K,'Motivos De Parada'!G:G,Disponibilidade!G40,'Motivos De Parada'!H:H,Disponibilidade!H40,'Motivos De Parada'!O:O,Disponibilidade!O40,'Motivos De Parada'!E:E,Disponibilidade!C40,'Motivos De Parada'!D:D,Disponibilidade!E40) / 24)),"-")</f>
        <v>1</v>
      </c>
      <c r="Q40" s="24" cm="1">
        <f t="array" ref="Q40">IFERROR(INDEX('Metas DM &amp; DO'!$A:$AAD,MATCH(Disponibilidade!$G40,'Metas DM &amp; DO'!$A:$A,0),MATCH(Disponibilidade!$O40,'Metas DM &amp; DO'!$1:$1,0)+1),"-")</f>
        <v>0.11999999999999977</v>
      </c>
      <c r="R40" s="24" cm="1">
        <f t="array" ref="R40">IFERROR(INDEX('Metas DM &amp; DO'!$A:$AAD,MATCH(Disponibilidade!$G40,'Metas DM &amp; DO'!$A:$A,0),MATCH(Disponibilidade!$O40,'Metas DM &amp; DO'!$1:$1,0)+2),"-")</f>
        <v>0.2584269662921348</v>
      </c>
      <c r="S40" s="24" cm="1">
        <f t="array" ref="S40">IFERROR(INDEX('Metas DM &amp; DO'!$A:$AAD,MATCH(Disponibilidade!$G40,'Metas DM &amp; DO'!$A:$A,0),MATCH(Disponibilidade!$O40,'Metas DM &amp; DO'!$1:$1,0)+3),"-")</f>
        <v>0.58333333333333348</v>
      </c>
      <c r="T40" s="11" t="str">
        <f t="shared" si="57"/>
        <v>-</v>
      </c>
      <c r="U40" s="9" t="s">
        <v>59</v>
      </c>
      <c r="V40" s="16">
        <f>IFERROR(SUMIFS('Motivos De Parada'!K:K,'Motivos De Parada'!G:G,Disponibilidade!G40,'Motivos De Parada'!H:H,Disponibilidade!H40,'Motivos De Parada'!O:O,Disponibilidade!I40,'Motivos De Parada'!E:E,Disponibilidade!C40,'Motivos De Parada'!D:D,Disponibilidade!E40),"-")</f>
        <v>0</v>
      </c>
      <c r="W40" s="16">
        <f>IFERROR(SUMIFS('Motivos De Parada'!K:K,'Motivos De Parada'!G:G,Disponibilidade!G40,'Motivos De Parada'!H:H,Disponibilidade!H40,'Motivos De Parada'!O:O,Disponibilidade!O40,'Motivos De Parada'!E:E,Disponibilidade!C40,'Motivos De Parada'!D:D,Disponibilidade!E40),"-")</f>
        <v>0</v>
      </c>
      <c r="X40" s="16">
        <f t="shared" si="58"/>
        <v>0</v>
      </c>
      <c r="Y40" s="16">
        <f>IFERROR(SUMIFS('Motivos De Parada'!K:K,'Motivos De Parada'!G:G,Disponibilidade!G40,'Motivos De Parada'!H:H,Disponibilidade!H40,'Motivos De Parada'!E:E,Disponibilidade!C40,'Motivos De Parada'!D:D,Disponibilidade!E40),"-")</f>
        <v>0</v>
      </c>
      <c r="Z40" s="28" t="str">
        <f t="shared" si="77"/>
        <v>OK</v>
      </c>
      <c r="AA40" s="16">
        <f t="shared" si="59"/>
        <v>0</v>
      </c>
      <c r="AB40" s="16">
        <f>IFERROR(SUMIFS('Motivos De Parada'!K:K,'Motivos De Parada'!G:G,Disponibilidade!G40,'Motivos De Parada'!H:H,Disponibilidade!H40,'Motivos De Parada'!E:E,Disponibilidade!C40,'Motivos De Parada'!D:D,Disponibilidade!E40,'Motivos De Parada'!M:M,"REFEIÇÃO"),"-")</f>
        <v>0</v>
      </c>
      <c r="AC40" s="16">
        <f t="shared" si="60"/>
        <v>0</v>
      </c>
      <c r="AD40" s="28" t="str">
        <f t="shared" si="78"/>
        <v>OK</v>
      </c>
      <c r="AE40" s="16" cm="1">
        <f t="array" ref="AE40">IFERROR(SUM(SUMIFS('Motivos De Parada'!K:K,'Motivos De Parada'!G:G,Disponibilidade!G40,'Motivos De Parada'!H:H,Disponibilidade!H40,'Motivos De Parada'!E:E,Disponibilidade!C40,'Motivos De Parada'!D:D,Disponibilidade!E40,'Motivos De Parada'!O:O,{"DISPONIBILIDADE MECÂNICA";"DISPONIBILIDADE OPERACIONAL"},'Motivos De Parada'!P:P,"NÃO")),"-")</f>
        <v>0</v>
      </c>
      <c r="AF40" s="16" cm="1">
        <f t="array" ref="AF40">IFERROR(SUM(SUMIFS('Motivos De Parada'!K:K,'Motivos De Parada'!G:G,Disponibilidade!G40,'Motivos De Parada'!H:H,Disponibilidade!H40,'Motivos De Parada'!E:E,Disponibilidade!C40,'Motivos De Parada'!D:D,Disponibilidade!E40,'Motivos De Parada'!O:O,{"DISPONIBILIDADE MECÂNICA";"DISPONIBILIDADE OPERACIONAL"},'Motivos De Parada'!P:P,"SIM")),"-")</f>
        <v>0</v>
      </c>
      <c r="AG40" s="16">
        <f t="shared" si="61"/>
        <v>0</v>
      </c>
      <c r="AH40" s="28" t="str">
        <f t="shared" si="79"/>
        <v>OK</v>
      </c>
      <c r="AI40" s="16" cm="1">
        <f t="array" ref="AI40">IFERROR(INDEX('Metas DM &amp; DO'!$A:$AAD,MATCH(Disponibilidade!$G40,'Metas DM &amp; DO'!$A:$A,0),MATCH(Disponibilidade!$U40,'Metas DM &amp; DO'!$1:$1,0)+2),"-")</f>
        <v>5.2800000000000011</v>
      </c>
      <c r="AJ40" s="16" cm="1">
        <f t="array" ref="AJ40">IFERROR(INDEX('Metas DM &amp; DO'!$A:$AAD,MATCH(Disponibilidade!$G40,'Metas DM &amp; DO'!$A:$A,0),MATCH(Disponibilidade!$U40,'Metas DM &amp; DO'!$1:$1,0)+3),"-")</f>
        <v>4.4494382022471912</v>
      </c>
      <c r="AK40" s="16" cm="1">
        <f t="array" ref="AK40">IFERROR(INDEX('Metas DM &amp; DO'!$A:$AAD,MATCH(Disponibilidade!$G40,'Metas DM &amp; DO'!$A:$A,0),MATCH(Disponibilidade!$U40,'Metas DM &amp; DO'!$1:$1,0)+4),"-")</f>
        <v>9</v>
      </c>
      <c r="AL40" s="11" t="str">
        <f t="shared" si="62"/>
        <v>EXCELENTE</v>
      </c>
    </row>
    <row r="41" spans="1:38" x14ac:dyDescent="0.3">
      <c r="A41" s="11">
        <f t="shared" si="63"/>
        <v>2026</v>
      </c>
      <c r="B41" s="12">
        <f t="shared" si="64"/>
        <v>46023</v>
      </c>
      <c r="C41" s="19">
        <v>46026</v>
      </c>
      <c r="D41" s="3" t="s">
        <v>122</v>
      </c>
      <c r="E41" s="11" t="s">
        <v>81</v>
      </c>
      <c r="F41" s="11" t="str" cm="1">
        <f t="array" ref="F41">IFERROR(INDEX('Motivos De Parada'!C:C,MATCH(1,('Motivos De Parada'!E:E=Disponibilidade!C41)*('Motivos De Parada'!G:G=Disponibilidade!G41)*('Motivos De Parada'!D:D=Disponibilidade!E41),0)),"-")</f>
        <v>-</v>
      </c>
      <c r="G41" s="11" t="str">
        <f>IFERROR(VLOOKUP(D41,Cadastros!A:B,2,FALSE),"-")</f>
        <v>FELLER BUNCHER 2</v>
      </c>
      <c r="H41" s="11" t="str">
        <f>IFERROR(VLOOKUP(G41,Cadastros!B:D,3,FALSE),"-")</f>
        <v>CORTE</v>
      </c>
      <c r="I41" s="9" t="s">
        <v>20</v>
      </c>
      <c r="J41" s="26">
        <f>IFERROR(MAX(0,1 - (SUMIFS('Motivos De Parada'!K:K,'Motivos De Parada'!G:G,Disponibilidade!G41,'Motivos De Parada'!H:H,Disponibilidade!H41,'Motivos De Parada'!O:O,Disponibilidade!I41,'Motivos De Parada'!E:E,Disponibilidade!C41,'Motivos De Parada'!D:D,Disponibilidade!E41) / 24)),"-")</f>
        <v>1</v>
      </c>
      <c r="K41" s="24" cm="1">
        <f t="array" ref="K41">IFERROR(INDEX('Metas DM &amp; DO'!$A:$AAD,MATCH(Disponibilidade!$G41,'Metas DM &amp; DO'!$A:$A,0),MATCH(Disponibilidade!$I41,'Metas DM &amp; DO'!$1:$1,0)+1),"-")</f>
        <v>1</v>
      </c>
      <c r="L41" s="24" cm="1">
        <f t="array" ref="L41">IFERROR(INDEX('Metas DM &amp; DO'!$A:$AAD,MATCH(Disponibilidade!$G41,'Metas DM &amp; DO'!$A:$A,0),MATCH(Disponibilidade!$I41,'Metas DM &amp; DO'!$1:$1,0)+2),"-")</f>
        <v>1</v>
      </c>
      <c r="M41" s="24" t="str" cm="1">
        <f t="array" ref="M41">IFERROR(INDEX('Metas DM &amp; DO'!$A:$AAD,MATCH(Disponibilidade!$G41,'Metas DM &amp; DO'!$A:$A,0),MATCH(Disponibilidade!$I41,'Metas DM &amp; DO'!$1:$1,0)+3),"-")</f>
        <v>-</v>
      </c>
      <c r="N41" s="11" t="str">
        <f>IFERROR(IF(J41&lt;K41,"RUIM",IF(AND(J41&gt;=K41,J41&lt;L41),"MEDIA",IF(AND(J41&gt;=L41,J41&lt;M41),"BOA","-"))),"-")</f>
        <v>BOA</v>
      </c>
      <c r="O41" s="9" t="s">
        <v>19</v>
      </c>
      <c r="P41" s="26">
        <f>IFERROR(MAX(0,1 - (SUMIFS('Motivos De Parada'!K:K,'Motivos De Parada'!G:G,Disponibilidade!G41,'Motivos De Parada'!H:H,Disponibilidade!H41,'Motivos De Parada'!O:O,Disponibilidade!O41,'Motivos De Parada'!E:E,Disponibilidade!C41,'Motivos De Parada'!D:D,Disponibilidade!E41) / 24)),"-")</f>
        <v>1</v>
      </c>
      <c r="Q41" s="24" cm="1">
        <f t="array" ref="Q41">IFERROR(INDEX('Metas DM &amp; DO'!$A:$AAD,MATCH(Disponibilidade!$G41,'Metas DM &amp; DO'!$A:$A,0),MATCH(Disponibilidade!$O41,'Metas DM &amp; DO'!$1:$1,0)+1),"-")</f>
        <v>0.11999999999999977</v>
      </c>
      <c r="R41" s="24" cm="1">
        <f t="array" ref="R41">IFERROR(INDEX('Metas DM &amp; DO'!$A:$AAD,MATCH(Disponibilidade!$G41,'Metas DM &amp; DO'!$A:$A,0),MATCH(Disponibilidade!$O41,'Metas DM &amp; DO'!$1:$1,0)+2),"-")</f>
        <v>0.2584269662921348</v>
      </c>
      <c r="S41" s="24" cm="1">
        <f t="array" ref="S41">IFERROR(INDEX('Metas DM &amp; DO'!$A:$AAD,MATCH(Disponibilidade!$G41,'Metas DM &amp; DO'!$A:$A,0),MATCH(Disponibilidade!$O41,'Metas DM &amp; DO'!$1:$1,0)+3),"-")</f>
        <v>0.58333333333333348</v>
      </c>
      <c r="T41" s="11" t="str">
        <f t="shared" si="57"/>
        <v>-</v>
      </c>
      <c r="U41" s="9" t="s">
        <v>59</v>
      </c>
      <c r="V41" s="16">
        <f>IFERROR(SUMIFS('Motivos De Parada'!K:K,'Motivos De Parada'!G:G,Disponibilidade!G41,'Motivos De Parada'!H:H,Disponibilidade!H41,'Motivos De Parada'!O:O,Disponibilidade!I41,'Motivos De Parada'!E:E,Disponibilidade!C41,'Motivos De Parada'!D:D,Disponibilidade!E41),"-")</f>
        <v>0</v>
      </c>
      <c r="W41" s="16">
        <f>IFERROR(SUMIFS('Motivos De Parada'!K:K,'Motivos De Parada'!G:G,Disponibilidade!G41,'Motivos De Parada'!H:H,Disponibilidade!H41,'Motivos De Parada'!O:O,Disponibilidade!O41,'Motivos De Parada'!E:E,Disponibilidade!C41,'Motivos De Parada'!D:D,Disponibilidade!E41),"-")</f>
        <v>0</v>
      </c>
      <c r="X41" s="16">
        <f t="shared" si="58"/>
        <v>0</v>
      </c>
      <c r="Y41" s="16">
        <f>IFERROR(SUMIFS('Motivos De Parada'!K:K,'Motivos De Parada'!G:G,Disponibilidade!G41,'Motivos De Parada'!H:H,Disponibilidade!H41,'Motivos De Parada'!E:E,Disponibilidade!C41,'Motivos De Parada'!D:D,Disponibilidade!E41),"-")</f>
        <v>0</v>
      </c>
      <c r="Z41" s="28" t="str">
        <f t="shared" si="77"/>
        <v>OK</v>
      </c>
      <c r="AA41" s="16">
        <f t="shared" si="59"/>
        <v>0</v>
      </c>
      <c r="AB41" s="16">
        <f>IFERROR(SUMIFS('Motivos De Parada'!K:K,'Motivos De Parada'!G:G,Disponibilidade!G41,'Motivos De Parada'!H:H,Disponibilidade!H41,'Motivos De Parada'!E:E,Disponibilidade!C41,'Motivos De Parada'!D:D,Disponibilidade!E41,'Motivos De Parada'!M:M,"REFEIÇÃO"),"-")</f>
        <v>0</v>
      </c>
      <c r="AC41" s="16">
        <f t="shared" si="60"/>
        <v>0</v>
      </c>
      <c r="AD41" s="28" t="str">
        <f t="shared" si="78"/>
        <v>OK</v>
      </c>
      <c r="AE41" s="16" cm="1">
        <f t="array" ref="AE41">IFERROR(SUM(SUMIFS('Motivos De Parada'!K:K,'Motivos De Parada'!G:G,Disponibilidade!G41,'Motivos De Parada'!H:H,Disponibilidade!H41,'Motivos De Parada'!E:E,Disponibilidade!C41,'Motivos De Parada'!D:D,Disponibilidade!E41,'Motivos De Parada'!O:O,{"DISPONIBILIDADE MECÂNICA";"DISPONIBILIDADE OPERACIONAL"},'Motivos De Parada'!P:P,"NÃO")),"-")</f>
        <v>0</v>
      </c>
      <c r="AF41" s="16" cm="1">
        <f t="array" ref="AF41">IFERROR(SUM(SUMIFS('Motivos De Parada'!K:K,'Motivos De Parada'!G:G,Disponibilidade!G41,'Motivos De Parada'!H:H,Disponibilidade!H41,'Motivos De Parada'!E:E,Disponibilidade!C41,'Motivos De Parada'!D:D,Disponibilidade!E41,'Motivos De Parada'!O:O,{"DISPONIBILIDADE MECÂNICA";"DISPONIBILIDADE OPERACIONAL"},'Motivos De Parada'!P:P,"SIM")),"-")</f>
        <v>0</v>
      </c>
      <c r="AG41" s="16">
        <f t="shared" si="61"/>
        <v>0</v>
      </c>
      <c r="AH41" s="28" t="str">
        <f t="shared" si="79"/>
        <v>OK</v>
      </c>
      <c r="AI41" s="16" cm="1">
        <f t="array" ref="AI41">IFERROR(INDEX('Metas DM &amp; DO'!$A:$AAD,MATCH(Disponibilidade!$G41,'Metas DM &amp; DO'!$A:$A,0),MATCH(Disponibilidade!$U41,'Metas DM &amp; DO'!$1:$1,0)+2),"-")</f>
        <v>5.2800000000000011</v>
      </c>
      <c r="AJ41" s="16" cm="1">
        <f t="array" ref="AJ41">IFERROR(INDEX('Metas DM &amp; DO'!$A:$AAD,MATCH(Disponibilidade!$G41,'Metas DM &amp; DO'!$A:$A,0),MATCH(Disponibilidade!$U41,'Metas DM &amp; DO'!$1:$1,0)+3),"-")</f>
        <v>4.4494382022471912</v>
      </c>
      <c r="AK41" s="16" cm="1">
        <f t="array" ref="AK41">IFERROR(INDEX('Metas DM &amp; DO'!$A:$AAD,MATCH(Disponibilidade!$G41,'Metas DM &amp; DO'!$A:$A,0),MATCH(Disponibilidade!$U41,'Metas DM &amp; DO'!$1:$1,0)+4),"-")</f>
        <v>9</v>
      </c>
      <c r="AL41" s="11" t="str">
        <f t="shared" si="62"/>
        <v>EXCELENTE</v>
      </c>
    </row>
    <row r="42" spans="1:38" x14ac:dyDescent="0.3">
      <c r="A42" s="11">
        <f t="shared" si="63"/>
        <v>2026</v>
      </c>
      <c r="B42" s="12">
        <f t="shared" si="64"/>
        <v>46023</v>
      </c>
      <c r="C42" s="19">
        <v>46026</v>
      </c>
      <c r="D42" s="3" t="s">
        <v>124</v>
      </c>
      <c r="E42" s="11" t="s">
        <v>80</v>
      </c>
      <c r="F42" s="11" t="str" cm="1">
        <f t="array" ref="F42">IFERROR(INDEX('Motivos De Parada'!C:C,MATCH(1,('Motivos De Parada'!E:E=Disponibilidade!C42)*('Motivos De Parada'!G:G=Disponibilidade!G42)*('Motivos De Parada'!D:D=Disponibilidade!E42),0)),"-")</f>
        <v>-</v>
      </c>
      <c r="G42" s="11" t="str">
        <f>IFERROR(VLOOKUP(D42,Cadastros!A:B,2,FALSE),"-")</f>
        <v>SKIDDER 1</v>
      </c>
      <c r="H42" s="11" t="str">
        <f>IFERROR(VLOOKUP(G42,Cadastros!B:D,3,FALSE),"-")</f>
        <v>ARRASTE</v>
      </c>
      <c r="I42" s="9" t="s">
        <v>20</v>
      </c>
      <c r="J42" s="26">
        <f>IFERROR(MAX(0,1 - (SUMIFS('Motivos De Parada'!K:K,'Motivos De Parada'!G:G,Disponibilidade!G42,'Motivos De Parada'!H:H,Disponibilidade!H42,'Motivos De Parada'!O:O,Disponibilidade!I42,'Motivos De Parada'!E:E,Disponibilidade!C42,'Motivos De Parada'!D:D,Disponibilidade!E42) / 24)),"-")</f>
        <v>1</v>
      </c>
      <c r="K42" s="24" t="str" cm="1">
        <f t="array" ref="K42">IFERROR(INDEX('Metas DM &amp; DO'!$A:$AAD,MATCH(Disponibilidade!$G42,'Metas DM &amp; DO'!$A:$A,0),MATCH(Disponibilidade!$I42,'Metas DM &amp; DO'!$1:$1,0)+1),"-")</f>
        <v>-</v>
      </c>
      <c r="L42" s="24" t="str" cm="1">
        <f t="array" ref="L42">IFERROR(INDEX('Metas DM &amp; DO'!$A:$AAD,MATCH(Disponibilidade!$G42,'Metas DM &amp; DO'!$A:$A,0),MATCH(Disponibilidade!$I42,'Metas DM &amp; DO'!$1:$1,0)+2),"-")</f>
        <v>-</v>
      </c>
      <c r="M42" s="24" t="str" cm="1">
        <f t="array" ref="M42">IFERROR(INDEX('Metas DM &amp; DO'!$A:$AAD,MATCH(Disponibilidade!$G42,'Metas DM &amp; DO'!$A:$A,0),MATCH(Disponibilidade!$I42,'Metas DM &amp; DO'!$1:$1,0)+3),"-")</f>
        <v>-</v>
      </c>
      <c r="N42" s="11" t="str">
        <f t="shared" ref="N42:N48" si="80">IFERROR(IF(J42&lt;K42,"RUIM",IF(AND(J42&gt;=K42,J42&lt;L42),"MEDIA",IF(AND(J42&gt;=L42,J42&lt;M42),"BOA","-"))),"-")</f>
        <v>RUIM</v>
      </c>
      <c r="O42" s="9" t="s">
        <v>19</v>
      </c>
      <c r="P42" s="26">
        <f>IFERROR(MAX(0,1 - (SUMIFS('Motivos De Parada'!K:K,'Motivos De Parada'!G:G,Disponibilidade!G42,'Motivos De Parada'!H:H,Disponibilidade!H42,'Motivos De Parada'!O:O,Disponibilidade!O42,'Motivos De Parada'!E:E,Disponibilidade!C42,'Motivos De Parada'!D:D,Disponibilidade!E42) / 24)),"-")</f>
        <v>1</v>
      </c>
      <c r="Q42" s="24" t="str" cm="1">
        <f t="array" ref="Q42">IFERROR(INDEX('Metas DM &amp; DO'!$A:$AAD,MATCH(Disponibilidade!$G42,'Metas DM &amp; DO'!$A:$A,0),MATCH(Disponibilidade!$O42,'Metas DM &amp; DO'!$1:$1,0)+1),"-")</f>
        <v>-</v>
      </c>
      <c r="R42" s="24" t="str" cm="1">
        <f t="array" ref="R42">IFERROR(INDEX('Metas DM &amp; DO'!$A:$AAD,MATCH(Disponibilidade!$G42,'Metas DM &amp; DO'!$A:$A,0),MATCH(Disponibilidade!$O42,'Metas DM &amp; DO'!$1:$1,0)+2),"-")</f>
        <v>-</v>
      </c>
      <c r="S42" s="24" t="str" cm="1">
        <f t="array" ref="S42">IFERROR(INDEX('Metas DM &amp; DO'!$A:$AAD,MATCH(Disponibilidade!$G42,'Metas DM &amp; DO'!$A:$A,0),MATCH(Disponibilidade!$O42,'Metas DM &amp; DO'!$1:$1,0)+3),"-")</f>
        <v>-</v>
      </c>
      <c r="T42" s="11" t="str">
        <f t="shared" si="57"/>
        <v>RUIM</v>
      </c>
      <c r="U42" s="9" t="s">
        <v>59</v>
      </c>
      <c r="V42" s="16">
        <f>IFERROR(SUMIFS('Motivos De Parada'!K:K,'Motivos De Parada'!G:G,Disponibilidade!G42,'Motivos De Parada'!H:H,Disponibilidade!H42,'Motivos De Parada'!O:O,Disponibilidade!I42,'Motivos De Parada'!E:E,Disponibilidade!C42,'Motivos De Parada'!D:D,Disponibilidade!E42),"-")</f>
        <v>0</v>
      </c>
      <c r="W42" s="16">
        <f>IFERROR(SUMIFS('Motivos De Parada'!K:K,'Motivos De Parada'!G:G,Disponibilidade!G42,'Motivos De Parada'!H:H,Disponibilidade!H42,'Motivos De Parada'!O:O,Disponibilidade!O42,'Motivos De Parada'!E:E,Disponibilidade!C42,'Motivos De Parada'!D:D,Disponibilidade!E42),"-")</f>
        <v>0</v>
      </c>
      <c r="X42" s="16">
        <f t="shared" si="58"/>
        <v>0</v>
      </c>
      <c r="Y42" s="16">
        <f>IFERROR(SUMIFS('Motivos De Parada'!K:K,'Motivos De Parada'!G:G,Disponibilidade!G42,'Motivos De Parada'!H:H,Disponibilidade!H42,'Motivos De Parada'!E:E,Disponibilidade!C42,'Motivos De Parada'!D:D,Disponibilidade!E42),"-")</f>
        <v>0</v>
      </c>
      <c r="Z42" s="28" t="str">
        <f t="shared" si="77"/>
        <v>OK</v>
      </c>
      <c r="AA42" s="16">
        <f t="shared" si="59"/>
        <v>0</v>
      </c>
      <c r="AB42" s="16">
        <f>IFERROR(SUMIFS('Motivos De Parada'!K:K,'Motivos De Parada'!G:G,Disponibilidade!G42,'Motivos De Parada'!H:H,Disponibilidade!H42,'Motivos De Parada'!E:E,Disponibilidade!C42,'Motivos De Parada'!D:D,Disponibilidade!E42,'Motivos De Parada'!M:M,"REFEIÇÃO"),"-")</f>
        <v>0</v>
      </c>
      <c r="AC42" s="16">
        <f t="shared" si="60"/>
        <v>0</v>
      </c>
      <c r="AD42" s="28" t="str">
        <f t="shared" si="78"/>
        <v>OK</v>
      </c>
      <c r="AE42" s="16" cm="1">
        <f t="array" ref="AE42">IFERROR(SUM(SUMIFS('Motivos De Parada'!K:K,'Motivos De Parada'!G:G,Disponibilidade!G42,'Motivos De Parada'!H:H,Disponibilidade!H42,'Motivos De Parada'!E:E,Disponibilidade!C42,'Motivos De Parada'!D:D,Disponibilidade!E42,'Motivos De Parada'!O:O,{"DISPONIBILIDADE MECÂNICA";"DISPONIBILIDADE OPERACIONAL"},'Motivos De Parada'!P:P,"NÃO")),"-")</f>
        <v>0</v>
      </c>
      <c r="AF42" s="16" cm="1">
        <f t="array" ref="AF42">IFERROR(SUM(SUMIFS('Motivos De Parada'!K:K,'Motivos De Parada'!G:G,Disponibilidade!G42,'Motivos De Parada'!H:H,Disponibilidade!H42,'Motivos De Parada'!E:E,Disponibilidade!C42,'Motivos De Parada'!D:D,Disponibilidade!E42,'Motivos De Parada'!O:O,{"DISPONIBILIDADE MECÂNICA";"DISPONIBILIDADE OPERACIONAL"},'Motivos De Parada'!P:P,"SIM")),"-")</f>
        <v>0</v>
      </c>
      <c r="AG42" s="16">
        <f t="shared" si="61"/>
        <v>0</v>
      </c>
      <c r="AH42" s="28" t="str">
        <f t="shared" si="79"/>
        <v>OK</v>
      </c>
      <c r="AI42" s="16" t="str" cm="1">
        <f t="array" ref="AI42">IFERROR(INDEX('Metas DM &amp; DO'!$A:$AAD,MATCH(Disponibilidade!$G42,'Metas DM &amp; DO'!$A:$A,0),MATCH(Disponibilidade!$U42,'Metas DM &amp; DO'!$1:$1,0)+2),"-")</f>
        <v>-</v>
      </c>
      <c r="AJ42" s="16" t="str" cm="1">
        <f t="array" ref="AJ42">IFERROR(INDEX('Metas DM &amp; DO'!$A:$AAD,MATCH(Disponibilidade!$G42,'Metas DM &amp; DO'!$A:$A,0),MATCH(Disponibilidade!$U42,'Metas DM &amp; DO'!$1:$1,0)+3),"-")</f>
        <v>-</v>
      </c>
      <c r="AK42" s="16" t="str" cm="1">
        <f t="array" ref="AK42">IFERROR(INDEX('Metas DM &amp; DO'!$A:$AAD,MATCH(Disponibilidade!$G42,'Metas DM &amp; DO'!$A:$A,0),MATCH(Disponibilidade!$U42,'Metas DM &amp; DO'!$1:$1,0)+4),"-")</f>
        <v>-</v>
      </c>
      <c r="AL42" s="11" t="str">
        <f t="shared" si="62"/>
        <v>EXCELENTE</v>
      </c>
    </row>
    <row r="43" spans="1:38" x14ac:dyDescent="0.3">
      <c r="A43" s="11">
        <f t="shared" si="63"/>
        <v>2026</v>
      </c>
      <c r="B43" s="12">
        <f t="shared" si="64"/>
        <v>46023</v>
      </c>
      <c r="C43" s="19">
        <v>46026</v>
      </c>
      <c r="D43" s="3" t="s">
        <v>124</v>
      </c>
      <c r="E43" s="11" t="s">
        <v>81</v>
      </c>
      <c r="F43" s="11" t="str" cm="1">
        <f t="array" ref="F43">IFERROR(INDEX('Motivos De Parada'!C:C,MATCH(1,('Motivos De Parada'!E:E=Disponibilidade!C43)*('Motivos De Parada'!G:G=Disponibilidade!G43)*('Motivos De Parada'!D:D=Disponibilidade!E43),0)),"-")</f>
        <v>-</v>
      </c>
      <c r="G43" s="11" t="str">
        <f>IFERROR(VLOOKUP(D43,Cadastros!A:B,2,FALSE),"-")</f>
        <v>SKIDDER 1</v>
      </c>
      <c r="H43" s="11" t="str">
        <f>IFERROR(VLOOKUP(G43,Cadastros!B:D,3,FALSE),"-")</f>
        <v>ARRASTE</v>
      </c>
      <c r="I43" s="9" t="s">
        <v>20</v>
      </c>
      <c r="J43" s="26">
        <f>IFERROR(MAX(0,1 - (SUMIFS('Motivos De Parada'!K:K,'Motivos De Parada'!G:G,Disponibilidade!G43,'Motivos De Parada'!H:H,Disponibilidade!H43,'Motivos De Parada'!O:O,Disponibilidade!I43,'Motivos De Parada'!E:E,Disponibilidade!C43,'Motivos De Parada'!D:D,Disponibilidade!E43) / 24)),"-")</f>
        <v>1</v>
      </c>
      <c r="K43" s="24" t="str" cm="1">
        <f t="array" ref="K43">IFERROR(INDEX('Metas DM &amp; DO'!$A:$AAD,MATCH(Disponibilidade!$G43,'Metas DM &amp; DO'!$A:$A,0),MATCH(Disponibilidade!$I43,'Metas DM &amp; DO'!$1:$1,0)+1),"-")</f>
        <v>-</v>
      </c>
      <c r="L43" s="24" t="str" cm="1">
        <f t="array" ref="L43">IFERROR(INDEX('Metas DM &amp; DO'!$A:$AAD,MATCH(Disponibilidade!$G43,'Metas DM &amp; DO'!$A:$A,0),MATCH(Disponibilidade!$I43,'Metas DM &amp; DO'!$1:$1,0)+2),"-")</f>
        <v>-</v>
      </c>
      <c r="M43" s="24" t="str" cm="1">
        <f t="array" ref="M43">IFERROR(INDEX('Metas DM &amp; DO'!$A:$AAD,MATCH(Disponibilidade!$G43,'Metas DM &amp; DO'!$A:$A,0),MATCH(Disponibilidade!$I43,'Metas DM &amp; DO'!$1:$1,0)+3),"-")</f>
        <v>-</v>
      </c>
      <c r="N43" s="11" t="str">
        <f t="shared" si="80"/>
        <v>RUIM</v>
      </c>
      <c r="O43" s="9" t="s">
        <v>19</v>
      </c>
      <c r="P43" s="26">
        <f>IFERROR(MAX(0,1 - (SUMIFS('Motivos De Parada'!K:K,'Motivos De Parada'!G:G,Disponibilidade!G43,'Motivos De Parada'!H:H,Disponibilidade!H43,'Motivos De Parada'!O:O,Disponibilidade!O43,'Motivos De Parada'!E:E,Disponibilidade!C43,'Motivos De Parada'!D:D,Disponibilidade!E43) / 24)),"-")</f>
        <v>1</v>
      </c>
      <c r="Q43" s="24" t="str" cm="1">
        <f t="array" ref="Q43">IFERROR(INDEX('Metas DM &amp; DO'!$A:$AAD,MATCH(Disponibilidade!$G43,'Metas DM &amp; DO'!$A:$A,0),MATCH(Disponibilidade!$O43,'Metas DM &amp; DO'!$1:$1,0)+1),"-")</f>
        <v>-</v>
      </c>
      <c r="R43" s="24" t="str" cm="1">
        <f t="array" ref="R43">IFERROR(INDEX('Metas DM &amp; DO'!$A:$AAD,MATCH(Disponibilidade!$G43,'Metas DM &amp; DO'!$A:$A,0),MATCH(Disponibilidade!$O43,'Metas DM &amp; DO'!$1:$1,0)+2),"-")</f>
        <v>-</v>
      </c>
      <c r="S43" s="24" t="str" cm="1">
        <f t="array" ref="S43">IFERROR(INDEX('Metas DM &amp; DO'!$A:$AAD,MATCH(Disponibilidade!$G43,'Metas DM &amp; DO'!$A:$A,0),MATCH(Disponibilidade!$O43,'Metas DM &amp; DO'!$1:$1,0)+3),"-")</f>
        <v>-</v>
      </c>
      <c r="T43" s="11" t="str">
        <f t="shared" si="57"/>
        <v>RUIM</v>
      </c>
      <c r="U43" s="9" t="s">
        <v>59</v>
      </c>
      <c r="V43" s="16">
        <f>IFERROR(SUMIFS('Motivos De Parada'!K:K,'Motivos De Parada'!G:G,Disponibilidade!G43,'Motivos De Parada'!H:H,Disponibilidade!H43,'Motivos De Parada'!O:O,Disponibilidade!I43,'Motivos De Parada'!E:E,Disponibilidade!C43,'Motivos De Parada'!D:D,Disponibilidade!E43),"-")</f>
        <v>0</v>
      </c>
      <c r="W43" s="16">
        <f>IFERROR(SUMIFS('Motivos De Parada'!K:K,'Motivos De Parada'!G:G,Disponibilidade!G43,'Motivos De Parada'!H:H,Disponibilidade!H43,'Motivos De Parada'!O:O,Disponibilidade!O43,'Motivos De Parada'!E:E,Disponibilidade!C43,'Motivos De Parada'!D:D,Disponibilidade!E43),"-")</f>
        <v>0</v>
      </c>
      <c r="X43" s="16">
        <f t="shared" si="58"/>
        <v>0</v>
      </c>
      <c r="Y43" s="16">
        <f>IFERROR(SUMIFS('Motivos De Parada'!K:K,'Motivos De Parada'!G:G,Disponibilidade!G43,'Motivos De Parada'!H:H,Disponibilidade!H43,'Motivos De Parada'!E:E,Disponibilidade!C43,'Motivos De Parada'!D:D,Disponibilidade!E43),"-")</f>
        <v>0</v>
      </c>
      <c r="Z43" s="28" t="str">
        <f t="shared" si="77"/>
        <v>OK</v>
      </c>
      <c r="AA43" s="16">
        <f t="shared" si="59"/>
        <v>0</v>
      </c>
      <c r="AB43" s="16">
        <f>IFERROR(SUMIFS('Motivos De Parada'!K:K,'Motivos De Parada'!G:G,Disponibilidade!G43,'Motivos De Parada'!H:H,Disponibilidade!H43,'Motivos De Parada'!E:E,Disponibilidade!C43,'Motivos De Parada'!D:D,Disponibilidade!E43,'Motivos De Parada'!M:M,"REFEIÇÃO"),"-")</f>
        <v>0</v>
      </c>
      <c r="AC43" s="16">
        <f t="shared" si="60"/>
        <v>0</v>
      </c>
      <c r="AD43" s="28" t="str">
        <f t="shared" si="78"/>
        <v>OK</v>
      </c>
      <c r="AE43" s="16" cm="1">
        <f t="array" ref="AE43">IFERROR(SUM(SUMIFS('Motivos De Parada'!K:K,'Motivos De Parada'!G:G,Disponibilidade!G43,'Motivos De Parada'!H:H,Disponibilidade!H43,'Motivos De Parada'!E:E,Disponibilidade!C43,'Motivos De Parada'!D:D,Disponibilidade!E43,'Motivos De Parada'!O:O,{"DISPONIBILIDADE MECÂNICA";"DISPONIBILIDADE OPERACIONAL"},'Motivos De Parada'!P:P,"NÃO")),"-")</f>
        <v>0</v>
      </c>
      <c r="AF43" s="16" cm="1">
        <f t="array" ref="AF43">IFERROR(SUM(SUMIFS('Motivos De Parada'!K:K,'Motivos De Parada'!G:G,Disponibilidade!G43,'Motivos De Parada'!H:H,Disponibilidade!H43,'Motivos De Parada'!E:E,Disponibilidade!C43,'Motivos De Parada'!D:D,Disponibilidade!E43,'Motivos De Parada'!O:O,{"DISPONIBILIDADE MECÂNICA";"DISPONIBILIDADE OPERACIONAL"},'Motivos De Parada'!P:P,"SIM")),"-")</f>
        <v>0</v>
      </c>
      <c r="AG43" s="16">
        <f t="shared" si="61"/>
        <v>0</v>
      </c>
      <c r="AH43" s="28" t="str">
        <f t="shared" si="79"/>
        <v>OK</v>
      </c>
      <c r="AI43" s="16" t="str" cm="1">
        <f t="array" ref="AI43">IFERROR(INDEX('Metas DM &amp; DO'!$A:$AAD,MATCH(Disponibilidade!$G43,'Metas DM &amp; DO'!$A:$A,0),MATCH(Disponibilidade!$U43,'Metas DM &amp; DO'!$1:$1,0)+2),"-")</f>
        <v>-</v>
      </c>
      <c r="AJ43" s="16" t="str" cm="1">
        <f t="array" ref="AJ43">IFERROR(INDEX('Metas DM &amp; DO'!$A:$AAD,MATCH(Disponibilidade!$G43,'Metas DM &amp; DO'!$A:$A,0),MATCH(Disponibilidade!$U43,'Metas DM &amp; DO'!$1:$1,0)+3),"-")</f>
        <v>-</v>
      </c>
      <c r="AK43" s="16" t="str" cm="1">
        <f t="array" ref="AK43">IFERROR(INDEX('Metas DM &amp; DO'!$A:$AAD,MATCH(Disponibilidade!$G43,'Metas DM &amp; DO'!$A:$A,0),MATCH(Disponibilidade!$U43,'Metas DM &amp; DO'!$1:$1,0)+4),"-")</f>
        <v>-</v>
      </c>
      <c r="AL43" s="11" t="str">
        <f t="shared" si="62"/>
        <v>EXCELENTE</v>
      </c>
    </row>
    <row r="44" spans="1:38" x14ac:dyDescent="0.3">
      <c r="A44" s="11">
        <f t="shared" si="63"/>
        <v>2026</v>
      </c>
      <c r="B44" s="12">
        <f t="shared" si="64"/>
        <v>46023</v>
      </c>
      <c r="C44" s="19">
        <v>46026</v>
      </c>
      <c r="D44" s="3" t="s">
        <v>126</v>
      </c>
      <c r="E44" s="11" t="s">
        <v>80</v>
      </c>
      <c r="F44" s="11" t="str" cm="1">
        <f t="array" ref="F44">IFERROR(INDEX('Motivos De Parada'!C:C,MATCH(1,('Motivos De Parada'!E:E=Disponibilidade!C44)*('Motivos De Parada'!G:G=Disponibilidade!G44)*('Motivos De Parada'!D:D=Disponibilidade!E44),0)),"-")</f>
        <v>OPERADOR 3</v>
      </c>
      <c r="G44" s="11" t="str">
        <f>IFERROR(VLOOKUP(D44,Cadastros!A:B,2,FALSE),"-")</f>
        <v>SKIDDER 2</v>
      </c>
      <c r="H44" s="11" t="str">
        <f>IFERROR(VLOOKUP(G44,Cadastros!B:D,3,FALSE),"-")</f>
        <v>ARRASTE</v>
      </c>
      <c r="I44" s="9" t="s">
        <v>20</v>
      </c>
      <c r="J44" s="26">
        <f>IFERROR(MAX(0,1 - (SUMIFS('Motivos De Parada'!K:K,'Motivos De Parada'!G:G,Disponibilidade!G44,'Motivos De Parada'!H:H,Disponibilidade!H44,'Motivos De Parada'!O:O,Disponibilidade!I44,'Motivos De Parada'!E:E,Disponibilidade!C44,'Motivos De Parada'!D:D,Disponibilidade!E44) / 24)),"-")</f>
        <v>1</v>
      </c>
      <c r="K44" s="24" cm="1">
        <f t="array" ref="K44">IFERROR(INDEX('Metas DM &amp; DO'!$A:$AAD,MATCH(Disponibilidade!$G44,'Metas DM &amp; DO'!$A:$A,0),MATCH(Disponibilidade!$I44,'Metas DM &amp; DO'!$1:$1,0)+1),"-")</f>
        <v>0.5</v>
      </c>
      <c r="L44" s="24" cm="1">
        <f t="array" ref="L44">IFERROR(INDEX('Metas DM &amp; DO'!$A:$AAD,MATCH(Disponibilidade!$G44,'Metas DM &amp; DO'!$A:$A,0),MATCH(Disponibilidade!$I44,'Metas DM &amp; DO'!$1:$1,0)+2),"-")</f>
        <v>0.5</v>
      </c>
      <c r="M44" s="24" cm="1">
        <f t="array" ref="M44">IFERROR(INDEX('Metas DM &amp; DO'!$A:$AAD,MATCH(Disponibilidade!$G44,'Metas DM &amp; DO'!$A:$A,0),MATCH(Disponibilidade!$I44,'Metas DM &amp; DO'!$1:$1,0)+3),"-")</f>
        <v>0.5</v>
      </c>
      <c r="N44" s="11" t="str">
        <f t="shared" si="80"/>
        <v>-</v>
      </c>
      <c r="O44" s="9" t="s">
        <v>19</v>
      </c>
      <c r="P44" s="26">
        <f>IFERROR(MAX(0,1 - (SUMIFS('Motivos De Parada'!K:K,'Motivos De Parada'!G:G,Disponibilidade!G44,'Motivos De Parada'!H:H,Disponibilidade!H44,'Motivos De Parada'!O:O,Disponibilidade!O44,'Motivos De Parada'!E:E,Disponibilidade!C44,'Motivos De Parada'!D:D,Disponibilidade!E44) / 24)),"-")</f>
        <v>0.5</v>
      </c>
      <c r="Q44" s="24" cm="1">
        <f t="array" ref="Q44">IFERROR(INDEX('Metas DM &amp; DO'!$A:$AAD,MATCH(Disponibilidade!$G44,'Metas DM &amp; DO'!$A:$A,0),MATCH(Disponibilidade!$O44,'Metas DM &amp; DO'!$1:$1,0)+1),"-")</f>
        <v>0.5</v>
      </c>
      <c r="R44" s="24" cm="1">
        <f t="array" ref="R44">IFERROR(INDEX('Metas DM &amp; DO'!$A:$AAD,MATCH(Disponibilidade!$G44,'Metas DM &amp; DO'!$A:$A,0),MATCH(Disponibilidade!$O44,'Metas DM &amp; DO'!$1:$1,0)+2),"-")</f>
        <v>0.5</v>
      </c>
      <c r="S44" s="24" cm="1">
        <f t="array" ref="S44">IFERROR(INDEX('Metas DM &amp; DO'!$A:$AAD,MATCH(Disponibilidade!$G44,'Metas DM &amp; DO'!$A:$A,0),MATCH(Disponibilidade!$O44,'Metas DM &amp; DO'!$1:$1,0)+3),"-")</f>
        <v>0.5</v>
      </c>
      <c r="T44" s="11" t="str">
        <f t="shared" si="57"/>
        <v>-</v>
      </c>
      <c r="U44" s="9" t="s">
        <v>59</v>
      </c>
      <c r="V44" s="16">
        <f>IFERROR(SUMIFS('Motivos De Parada'!K:K,'Motivos De Parada'!G:G,Disponibilidade!G44,'Motivos De Parada'!H:H,Disponibilidade!H44,'Motivos De Parada'!O:O,Disponibilidade!I44,'Motivos De Parada'!E:E,Disponibilidade!C44,'Motivos De Parada'!D:D,Disponibilidade!E44),"-")</f>
        <v>0</v>
      </c>
      <c r="W44" s="16">
        <f>IFERROR(SUMIFS('Motivos De Parada'!K:K,'Motivos De Parada'!G:G,Disponibilidade!G44,'Motivos De Parada'!H:H,Disponibilidade!H44,'Motivos De Parada'!O:O,Disponibilidade!O44,'Motivos De Parada'!E:E,Disponibilidade!C44,'Motivos De Parada'!D:D,Disponibilidade!E44),"-")</f>
        <v>12</v>
      </c>
      <c r="X44" s="16">
        <f t="shared" si="58"/>
        <v>6</v>
      </c>
      <c r="Y44" s="16">
        <f>IFERROR(SUMIFS('Motivos De Parada'!K:K,'Motivos De Parada'!G:G,Disponibilidade!G44,'Motivos De Parada'!H:H,Disponibilidade!H44,'Motivos De Parada'!E:E,Disponibilidade!C44,'Motivos De Parada'!D:D,Disponibilidade!E44),"-")</f>
        <v>12</v>
      </c>
      <c r="Z44" s="28" t="str">
        <f t="shared" si="77"/>
        <v>OK</v>
      </c>
      <c r="AA44" s="16">
        <f t="shared" si="59"/>
        <v>12</v>
      </c>
      <c r="AB44" s="16">
        <f>IFERROR(SUMIFS('Motivos De Parada'!K:K,'Motivos De Parada'!G:G,Disponibilidade!G44,'Motivos De Parada'!H:H,Disponibilidade!H44,'Motivos De Parada'!E:E,Disponibilidade!C44,'Motivos De Parada'!D:D,Disponibilidade!E44,'Motivos De Parada'!M:M,"REFEIÇÃO"),"-")</f>
        <v>0</v>
      </c>
      <c r="AC44" s="16">
        <f t="shared" si="60"/>
        <v>0</v>
      </c>
      <c r="AD44" s="28" t="str">
        <f t="shared" si="78"/>
        <v>OK</v>
      </c>
      <c r="AE44" s="16" cm="1">
        <f t="array" ref="AE44">IFERROR(SUM(SUMIFS('Motivos De Parada'!K:K,'Motivos De Parada'!G:G,Disponibilidade!G44,'Motivos De Parada'!H:H,Disponibilidade!H44,'Motivos De Parada'!E:E,Disponibilidade!C44,'Motivos De Parada'!D:D,Disponibilidade!E44,'Motivos De Parada'!O:O,{"DISPONIBILIDADE MECÂNICA";"DISPONIBILIDADE OPERACIONAL"},'Motivos De Parada'!P:P,"NÃO")),"-")</f>
        <v>12</v>
      </c>
      <c r="AF44" s="16" cm="1">
        <f t="array" ref="AF44">IFERROR(SUM(SUMIFS('Motivos De Parada'!K:K,'Motivos De Parada'!G:G,Disponibilidade!G44,'Motivos De Parada'!H:H,Disponibilidade!H44,'Motivos De Parada'!E:E,Disponibilidade!C44,'Motivos De Parada'!D:D,Disponibilidade!E44,'Motivos De Parada'!O:O,{"DISPONIBILIDADE MECÂNICA";"DISPONIBILIDADE OPERACIONAL"},'Motivos De Parada'!P:P,"SIM")),"-")</f>
        <v>0</v>
      </c>
      <c r="AG44" s="16">
        <f t="shared" si="61"/>
        <v>0</v>
      </c>
      <c r="AH44" s="28" t="str">
        <f t="shared" si="79"/>
        <v>OK</v>
      </c>
      <c r="AI44" s="16" cm="1">
        <f t="array" ref="AI44">IFERROR(INDEX('Metas DM &amp; DO'!$A:$AAD,MATCH(Disponibilidade!$G44,'Metas DM &amp; DO'!$A:$A,0),MATCH(Disponibilidade!$U44,'Metas DM &amp; DO'!$1:$1,0)+2),"-")</f>
        <v>12</v>
      </c>
      <c r="AJ44" s="16" cm="1">
        <f t="array" ref="AJ44">IFERROR(INDEX('Metas DM &amp; DO'!$A:$AAD,MATCH(Disponibilidade!$G44,'Metas DM &amp; DO'!$A:$A,0),MATCH(Disponibilidade!$U44,'Metas DM &amp; DO'!$1:$1,0)+3),"-")</f>
        <v>12</v>
      </c>
      <c r="AK44" s="16" cm="1">
        <f t="array" ref="AK44">IFERROR(INDEX('Metas DM &amp; DO'!$A:$AAD,MATCH(Disponibilidade!$G44,'Metas DM &amp; DO'!$A:$A,0),MATCH(Disponibilidade!$U44,'Metas DM &amp; DO'!$1:$1,0)+4),"-")</f>
        <v>12</v>
      </c>
      <c r="AL44" s="11" t="str">
        <f t="shared" si="62"/>
        <v>EXCELENTE</v>
      </c>
    </row>
    <row r="45" spans="1:38" x14ac:dyDescent="0.3">
      <c r="A45" s="11">
        <f t="shared" si="63"/>
        <v>2026</v>
      </c>
      <c r="B45" s="12">
        <f t="shared" si="64"/>
        <v>46023</v>
      </c>
      <c r="C45" s="19">
        <v>46026</v>
      </c>
      <c r="D45" s="3" t="s">
        <v>126</v>
      </c>
      <c r="E45" s="11" t="s">
        <v>81</v>
      </c>
      <c r="F45" s="11" t="str" cm="1">
        <f t="array" ref="F45">IFERROR(INDEX('Motivos De Parada'!C:C,MATCH(1,('Motivos De Parada'!E:E=Disponibilidade!C45)*('Motivos De Parada'!G:G=Disponibilidade!G45)*('Motivos De Parada'!D:D=Disponibilidade!E45),0)),"-")</f>
        <v>OPERADOR 4</v>
      </c>
      <c r="G45" s="11" t="str">
        <f>IFERROR(VLOOKUP(D45,Cadastros!A:B,2,FALSE),"-")</f>
        <v>SKIDDER 2</v>
      </c>
      <c r="H45" s="11" t="str">
        <f>IFERROR(VLOOKUP(G45,Cadastros!B:D,3,FALSE),"-")</f>
        <v>ARRASTE</v>
      </c>
      <c r="I45" s="9" t="s">
        <v>20</v>
      </c>
      <c r="J45" s="26">
        <f>IFERROR(MAX(0,1 - (SUMIFS('Motivos De Parada'!K:K,'Motivos De Parada'!G:G,Disponibilidade!G45,'Motivos De Parada'!H:H,Disponibilidade!H45,'Motivos De Parada'!O:O,Disponibilidade!I45,'Motivos De Parada'!E:E,Disponibilidade!C45,'Motivos De Parada'!D:D,Disponibilidade!E45) / 24)),"-")</f>
        <v>0.5</v>
      </c>
      <c r="K45" s="24" cm="1">
        <f t="array" ref="K45">IFERROR(INDEX('Metas DM &amp; DO'!$A:$AAD,MATCH(Disponibilidade!$G45,'Metas DM &amp; DO'!$A:$A,0),MATCH(Disponibilidade!$I45,'Metas DM &amp; DO'!$1:$1,0)+1),"-")</f>
        <v>0.5</v>
      </c>
      <c r="L45" s="24" cm="1">
        <f t="array" ref="L45">IFERROR(INDEX('Metas DM &amp; DO'!$A:$AAD,MATCH(Disponibilidade!$G45,'Metas DM &amp; DO'!$A:$A,0),MATCH(Disponibilidade!$I45,'Metas DM &amp; DO'!$1:$1,0)+2),"-")</f>
        <v>0.5</v>
      </c>
      <c r="M45" s="24" cm="1">
        <f t="array" ref="M45">IFERROR(INDEX('Metas DM &amp; DO'!$A:$AAD,MATCH(Disponibilidade!$G45,'Metas DM &amp; DO'!$A:$A,0),MATCH(Disponibilidade!$I45,'Metas DM &amp; DO'!$1:$1,0)+3),"-")</f>
        <v>0.5</v>
      </c>
      <c r="N45" s="11" t="str">
        <f t="shared" si="80"/>
        <v>-</v>
      </c>
      <c r="O45" s="9" t="s">
        <v>19</v>
      </c>
      <c r="P45" s="26">
        <f>IFERROR(MAX(0,1 - (SUMIFS('Motivos De Parada'!K:K,'Motivos De Parada'!G:G,Disponibilidade!G45,'Motivos De Parada'!H:H,Disponibilidade!H45,'Motivos De Parada'!O:O,Disponibilidade!O45,'Motivos De Parada'!E:E,Disponibilidade!C45,'Motivos De Parada'!D:D,Disponibilidade!E45) / 24)),"-")</f>
        <v>1</v>
      </c>
      <c r="Q45" s="24" cm="1">
        <f t="array" ref="Q45">IFERROR(INDEX('Metas DM &amp; DO'!$A:$AAD,MATCH(Disponibilidade!$G45,'Metas DM &amp; DO'!$A:$A,0),MATCH(Disponibilidade!$O45,'Metas DM &amp; DO'!$1:$1,0)+1),"-")</f>
        <v>0.5</v>
      </c>
      <c r="R45" s="24" cm="1">
        <f t="array" ref="R45">IFERROR(INDEX('Metas DM &amp; DO'!$A:$AAD,MATCH(Disponibilidade!$G45,'Metas DM &amp; DO'!$A:$A,0),MATCH(Disponibilidade!$O45,'Metas DM &amp; DO'!$1:$1,0)+2),"-")</f>
        <v>0.5</v>
      </c>
      <c r="S45" s="24" cm="1">
        <f t="array" ref="S45">IFERROR(INDEX('Metas DM &amp; DO'!$A:$AAD,MATCH(Disponibilidade!$G45,'Metas DM &amp; DO'!$A:$A,0),MATCH(Disponibilidade!$O45,'Metas DM &amp; DO'!$1:$1,0)+3),"-")</f>
        <v>0.5</v>
      </c>
      <c r="T45" s="11" t="str">
        <f t="shared" si="57"/>
        <v>-</v>
      </c>
      <c r="U45" s="9" t="s">
        <v>59</v>
      </c>
      <c r="V45" s="16">
        <f>IFERROR(SUMIFS('Motivos De Parada'!K:K,'Motivos De Parada'!G:G,Disponibilidade!G45,'Motivos De Parada'!H:H,Disponibilidade!H45,'Motivos De Parada'!O:O,Disponibilidade!I45,'Motivos De Parada'!E:E,Disponibilidade!C45,'Motivos De Parada'!D:D,Disponibilidade!E45),"-")</f>
        <v>12</v>
      </c>
      <c r="W45" s="16">
        <f>IFERROR(SUMIFS('Motivos De Parada'!K:K,'Motivos De Parada'!G:G,Disponibilidade!G45,'Motivos De Parada'!H:H,Disponibilidade!H45,'Motivos De Parada'!O:O,Disponibilidade!O45,'Motivos De Parada'!E:E,Disponibilidade!C45,'Motivos De Parada'!D:D,Disponibilidade!E45),"-")</f>
        <v>0</v>
      </c>
      <c r="X45" s="16">
        <f t="shared" si="58"/>
        <v>6</v>
      </c>
      <c r="Y45" s="16">
        <f>IFERROR(SUMIFS('Motivos De Parada'!K:K,'Motivos De Parada'!G:G,Disponibilidade!G45,'Motivos De Parada'!H:H,Disponibilidade!H45,'Motivos De Parada'!E:E,Disponibilidade!C45,'Motivos De Parada'!D:D,Disponibilidade!E45),"-")</f>
        <v>12</v>
      </c>
      <c r="Z45" s="28" t="str">
        <f t="shared" si="77"/>
        <v>OK</v>
      </c>
      <c r="AA45" s="16">
        <f t="shared" si="59"/>
        <v>12</v>
      </c>
      <c r="AB45" s="16">
        <f>IFERROR(SUMIFS('Motivos De Parada'!K:K,'Motivos De Parada'!G:G,Disponibilidade!G45,'Motivos De Parada'!H:H,Disponibilidade!H45,'Motivos De Parada'!E:E,Disponibilidade!C45,'Motivos De Parada'!D:D,Disponibilidade!E45,'Motivos De Parada'!M:M,"REFEIÇÃO"),"-")</f>
        <v>0</v>
      </c>
      <c r="AC45" s="16">
        <f t="shared" si="60"/>
        <v>0</v>
      </c>
      <c r="AD45" s="28" t="str">
        <f t="shared" si="78"/>
        <v>OK</v>
      </c>
      <c r="AE45" s="16" cm="1">
        <f t="array" ref="AE45">IFERROR(SUM(SUMIFS('Motivos De Parada'!K:K,'Motivos De Parada'!G:G,Disponibilidade!G45,'Motivos De Parada'!H:H,Disponibilidade!H45,'Motivos De Parada'!E:E,Disponibilidade!C45,'Motivos De Parada'!D:D,Disponibilidade!E45,'Motivos De Parada'!O:O,{"DISPONIBILIDADE MECÂNICA";"DISPONIBILIDADE OPERACIONAL"},'Motivos De Parada'!P:P,"NÃO")),"-")</f>
        <v>12</v>
      </c>
      <c r="AF45" s="16" cm="1">
        <f t="array" ref="AF45">IFERROR(SUM(SUMIFS('Motivos De Parada'!K:K,'Motivos De Parada'!G:G,Disponibilidade!G45,'Motivos De Parada'!H:H,Disponibilidade!H45,'Motivos De Parada'!E:E,Disponibilidade!C45,'Motivos De Parada'!D:D,Disponibilidade!E45,'Motivos De Parada'!O:O,{"DISPONIBILIDADE MECÂNICA";"DISPONIBILIDADE OPERACIONAL"},'Motivos De Parada'!P:P,"SIM")),"-")</f>
        <v>0</v>
      </c>
      <c r="AG45" s="16">
        <f t="shared" si="61"/>
        <v>0</v>
      </c>
      <c r="AH45" s="28" t="str">
        <f t="shared" si="79"/>
        <v>OK</v>
      </c>
      <c r="AI45" s="16" cm="1">
        <f t="array" ref="AI45">IFERROR(INDEX('Metas DM &amp; DO'!$A:$AAD,MATCH(Disponibilidade!$G45,'Metas DM &amp; DO'!$A:$A,0),MATCH(Disponibilidade!$U45,'Metas DM &amp; DO'!$1:$1,0)+2),"-")</f>
        <v>12</v>
      </c>
      <c r="AJ45" s="16" cm="1">
        <f t="array" ref="AJ45">IFERROR(INDEX('Metas DM &amp; DO'!$A:$AAD,MATCH(Disponibilidade!$G45,'Metas DM &amp; DO'!$A:$A,0),MATCH(Disponibilidade!$U45,'Metas DM &amp; DO'!$1:$1,0)+3),"-")</f>
        <v>12</v>
      </c>
      <c r="AK45" s="16" cm="1">
        <f t="array" ref="AK45">IFERROR(INDEX('Metas DM &amp; DO'!$A:$AAD,MATCH(Disponibilidade!$G45,'Metas DM &amp; DO'!$A:$A,0),MATCH(Disponibilidade!$U45,'Metas DM &amp; DO'!$1:$1,0)+4),"-")</f>
        <v>12</v>
      </c>
      <c r="AL45" s="11" t="str">
        <f t="shared" si="62"/>
        <v>EXCELENTE</v>
      </c>
    </row>
    <row r="46" spans="1:38" x14ac:dyDescent="0.3">
      <c r="A46" s="11">
        <f t="shared" si="63"/>
        <v>2026</v>
      </c>
      <c r="B46" s="12">
        <f t="shared" si="64"/>
        <v>46023</v>
      </c>
      <c r="C46" s="19">
        <v>46026</v>
      </c>
      <c r="D46" s="3" t="s">
        <v>128</v>
      </c>
      <c r="E46" s="11" t="s">
        <v>80</v>
      </c>
      <c r="F46" s="11" t="str" cm="1">
        <f t="array" ref="F46">IFERROR(INDEX('Motivos De Parada'!C:C,MATCH(1,('Motivos De Parada'!E:E=Disponibilidade!C46)*('Motivos De Parada'!G:G=Disponibilidade!G46)*('Motivos De Parada'!D:D=Disponibilidade!E46),0)),"-")</f>
        <v>-</v>
      </c>
      <c r="G46" s="11" t="str">
        <f>IFERROR(VLOOKUP(D46,Cadastros!A:B,2,FALSE),"-")</f>
        <v>GARRA TRAÇADORA 1</v>
      </c>
      <c r="H46" s="11" t="str">
        <f>IFERROR(VLOOKUP(G46,Cadastros!B:D,3,FALSE),"-")</f>
        <v>TRAÇAMENTO</v>
      </c>
      <c r="I46" s="9" t="s">
        <v>20</v>
      </c>
      <c r="J46" s="26">
        <f>IFERROR(MAX(0,1 - (SUMIFS('Motivos De Parada'!K:K,'Motivos De Parada'!G:G,Disponibilidade!G46,'Motivos De Parada'!H:H,Disponibilidade!H46,'Motivos De Parada'!O:O,Disponibilidade!I46,'Motivos De Parada'!E:E,Disponibilidade!C46,'Motivos De Parada'!D:D,Disponibilidade!E46) / 24)),"-")</f>
        <v>1</v>
      </c>
      <c r="K46" s="24" cm="1">
        <f t="array" ref="K46">IFERROR(INDEX('Metas DM &amp; DO'!$A:$AAD,MATCH(Disponibilidade!$G46,'Metas DM &amp; DO'!$A:$A,0),MATCH(Disponibilidade!$I46,'Metas DM &amp; DO'!$1:$1,0)+1),"-")</f>
        <v>0.91724137931034488</v>
      </c>
      <c r="L46" s="24" cm="1">
        <f t="array" ref="L46">IFERROR(INDEX('Metas DM &amp; DO'!$A:$AAD,MATCH(Disponibilidade!$G46,'Metas DM &amp; DO'!$A:$A,0),MATCH(Disponibilidade!$I46,'Metas DM &amp; DO'!$1:$1,0)+2),"-")</f>
        <v>0.92489568845618919</v>
      </c>
      <c r="M46" s="24" cm="1">
        <f t="array" ref="M46">IFERROR(INDEX('Metas DM &amp; DO'!$A:$AAD,MATCH(Disponibilidade!$G46,'Metas DM &amp; DO'!$A:$A,0),MATCH(Disponibilidade!$I46,'Metas DM &amp; DO'!$1:$1,0)+3),"-")</f>
        <v>0.90625</v>
      </c>
      <c r="N46" s="11" t="str">
        <f t="shared" si="80"/>
        <v>-</v>
      </c>
      <c r="O46" s="9" t="s">
        <v>19</v>
      </c>
      <c r="P46" s="26">
        <f>IFERROR(MAX(0,1 - (SUMIFS('Motivos De Parada'!K:K,'Motivos De Parada'!G:G,Disponibilidade!G46,'Motivos De Parada'!H:H,Disponibilidade!H46,'Motivos De Parada'!O:O,Disponibilidade!O46,'Motivos De Parada'!E:E,Disponibilidade!C46,'Motivos De Parada'!D:D,Disponibilidade!E46) / 24)),"-")</f>
        <v>1</v>
      </c>
      <c r="Q46" s="24" cm="1">
        <f t="array" ref="Q46">IFERROR(INDEX('Metas DM &amp; DO'!$A:$AAD,MATCH(Disponibilidade!$G46,'Metas DM &amp; DO'!$A:$A,0),MATCH(Disponibilidade!$O46,'Metas DM &amp; DO'!$1:$1,0)+1),"-")</f>
        <v>0.43601532567049806</v>
      </c>
      <c r="R46" s="24" cm="1">
        <f t="array" ref="R46">IFERROR(INDEX('Metas DM &amp; DO'!$A:$AAD,MATCH(Disponibilidade!$G46,'Metas DM &amp; DO'!$A:$A,0),MATCH(Disponibilidade!$O46,'Metas DM &amp; DO'!$1:$1,0)+2),"-")</f>
        <v>0.48817802503477059</v>
      </c>
      <c r="S46" s="24" cm="1">
        <f t="array" ref="S46">IFERROR(INDEX('Metas DM &amp; DO'!$A:$AAD,MATCH(Disponibilidade!$G46,'Metas DM &amp; DO'!$A:$A,0),MATCH(Disponibilidade!$O46,'Metas DM &amp; DO'!$1:$1,0)+3),"-")</f>
        <v>0.71875</v>
      </c>
      <c r="T46" s="11" t="str">
        <f t="shared" si="57"/>
        <v>-</v>
      </c>
      <c r="U46" s="9" t="s">
        <v>59</v>
      </c>
      <c r="V46" s="16">
        <f>IFERROR(SUMIFS('Motivos De Parada'!K:K,'Motivos De Parada'!G:G,Disponibilidade!G46,'Motivos De Parada'!H:H,Disponibilidade!H46,'Motivos De Parada'!O:O,Disponibilidade!I46,'Motivos De Parada'!E:E,Disponibilidade!C46,'Motivos De Parada'!D:D,Disponibilidade!E46),"-")</f>
        <v>0</v>
      </c>
      <c r="W46" s="16">
        <f>IFERROR(SUMIFS('Motivos De Parada'!K:K,'Motivos De Parada'!G:G,Disponibilidade!G46,'Motivos De Parada'!H:H,Disponibilidade!H46,'Motivos De Parada'!O:O,Disponibilidade!O46,'Motivos De Parada'!E:E,Disponibilidade!C46,'Motivos De Parada'!D:D,Disponibilidade!E46),"-")</f>
        <v>0</v>
      </c>
      <c r="X46" s="16">
        <f t="shared" si="58"/>
        <v>0</v>
      </c>
      <c r="Y46" s="16">
        <f>IFERROR(SUMIFS('Motivos De Parada'!K:K,'Motivos De Parada'!G:G,Disponibilidade!G46,'Motivos De Parada'!H:H,Disponibilidade!H46,'Motivos De Parada'!E:E,Disponibilidade!C46,'Motivos De Parada'!D:D,Disponibilidade!E46),"-")</f>
        <v>0</v>
      </c>
      <c r="Z46" s="28" t="str">
        <f>IFERROR(IF(Y46=0,"OK",IF(OR(Y46&gt;12,Y46&lt;12),"VERIFICAR","OK")),"-")</f>
        <v>OK</v>
      </c>
      <c r="AA46" s="16">
        <f t="shared" si="59"/>
        <v>0</v>
      </c>
      <c r="AB46" s="16">
        <f>IFERROR(SUMIFS('Motivos De Parada'!K:K,'Motivos De Parada'!G:G,Disponibilidade!G46,'Motivos De Parada'!H:H,Disponibilidade!H46,'Motivos De Parada'!E:E,Disponibilidade!C46,'Motivos De Parada'!D:D,Disponibilidade!E46,'Motivos De Parada'!M:M,"REFEIÇÃO"),"-")</f>
        <v>0</v>
      </c>
      <c r="AC46" s="16">
        <f t="shared" si="60"/>
        <v>0</v>
      </c>
      <c r="AD46" s="28" t="str">
        <f>IFERROR(IF(AC46&lt;0,"VERIFICAR","OK"),"-")</f>
        <v>OK</v>
      </c>
      <c r="AE46" s="16" cm="1">
        <f t="array" ref="AE46">IFERROR(SUM(SUMIFS('Motivos De Parada'!K:K,'Motivos De Parada'!G:G,Disponibilidade!G46,'Motivos De Parada'!H:H,Disponibilidade!H46,'Motivos De Parada'!E:E,Disponibilidade!C46,'Motivos De Parada'!D:D,Disponibilidade!E46,'Motivos De Parada'!O:O,{"DISPONIBILIDADE MECÂNICA";"DISPONIBILIDADE OPERACIONAL"},'Motivos De Parada'!P:P,"NÃO")),"-")</f>
        <v>0</v>
      </c>
      <c r="AF46" s="16" cm="1">
        <f t="array" ref="AF46">IFERROR(SUM(SUMIFS('Motivos De Parada'!K:K,'Motivos De Parada'!G:G,Disponibilidade!G46,'Motivos De Parada'!H:H,Disponibilidade!H46,'Motivos De Parada'!E:E,Disponibilidade!C46,'Motivos De Parada'!D:D,Disponibilidade!E46,'Motivos De Parada'!O:O,{"DISPONIBILIDADE MECÂNICA";"DISPONIBILIDADE OPERACIONAL"},'Motivos De Parada'!P:P,"SIM")),"-")</f>
        <v>0</v>
      </c>
      <c r="AG46" s="16">
        <f t="shared" si="61"/>
        <v>0</v>
      </c>
      <c r="AH46" s="28" t="str">
        <f>IFERROR(IF(AND(AG46=0,AC46=0),"OK",IF(AG46=AC46,"VERIFICAR","OK")),"-")</f>
        <v>OK</v>
      </c>
      <c r="AI46" s="16" cm="1">
        <f t="array" ref="AI46">IFERROR(INDEX('Metas DM &amp; DO'!$A:$AAD,MATCH(Disponibilidade!$G46,'Metas DM &amp; DO'!$A:$A,0),MATCH(Disponibilidade!$U46,'Metas DM &amp; DO'!$1:$1,0)+2),"-")</f>
        <v>2.2174055829228245</v>
      </c>
      <c r="AJ46" s="16" cm="1">
        <f t="array" ref="AJ46">IFERROR(INDEX('Metas DM &amp; DO'!$A:$AAD,MATCH(Disponibilidade!$G46,'Metas DM &amp; DO'!$A:$A,0),MATCH(Disponibilidade!$U46,'Metas DM &amp; DO'!$1:$1,0)+3),"-")</f>
        <v>2.0123186966024238</v>
      </c>
      <c r="AK46" s="16" cm="1">
        <f t="array" ref="AK46">IFERROR(INDEX('Metas DM &amp; DO'!$A:$AAD,MATCH(Disponibilidade!$G46,'Metas DM &amp; DO'!$A:$A,0),MATCH(Disponibilidade!$U46,'Metas DM &amp; DO'!$1:$1,0)+4),"-")</f>
        <v>3.9999999999999991</v>
      </c>
      <c r="AL46" s="11" t="str">
        <f t="shared" si="62"/>
        <v>EXCELENTE</v>
      </c>
    </row>
    <row r="47" spans="1:38" x14ac:dyDescent="0.3">
      <c r="A47" s="11">
        <f t="shared" si="63"/>
        <v>2026</v>
      </c>
      <c r="B47" s="12">
        <f t="shared" si="64"/>
        <v>46023</v>
      </c>
      <c r="C47" s="19">
        <v>46026</v>
      </c>
      <c r="D47" s="3" t="s">
        <v>128</v>
      </c>
      <c r="E47" s="11" t="s">
        <v>81</v>
      </c>
      <c r="F47" s="11" t="str" cm="1">
        <f t="array" ref="F47">IFERROR(INDEX('Motivos De Parada'!C:C,MATCH(1,('Motivos De Parada'!E:E=Disponibilidade!C47)*('Motivos De Parada'!G:G=Disponibilidade!G47)*('Motivos De Parada'!D:D=Disponibilidade!E47),0)),"-")</f>
        <v>-</v>
      </c>
      <c r="G47" s="11" t="str">
        <f>IFERROR(VLOOKUP(D47,Cadastros!A:B,2,FALSE),"-")</f>
        <v>GARRA TRAÇADORA 1</v>
      </c>
      <c r="H47" s="11" t="str">
        <f>IFERROR(VLOOKUP(G47,Cadastros!B:D,3,FALSE),"-")</f>
        <v>TRAÇAMENTO</v>
      </c>
      <c r="I47" s="9" t="s">
        <v>20</v>
      </c>
      <c r="J47" s="26">
        <f>IFERROR(MAX(0,1 - (SUMIFS('Motivos De Parada'!K:K,'Motivos De Parada'!G:G,Disponibilidade!G47,'Motivos De Parada'!H:H,Disponibilidade!H47,'Motivos De Parada'!O:O,Disponibilidade!I47,'Motivos De Parada'!E:E,Disponibilidade!C47,'Motivos De Parada'!D:D,Disponibilidade!E47) / 24)),"-")</f>
        <v>1</v>
      </c>
      <c r="K47" s="24" cm="1">
        <f t="array" ref="K47">IFERROR(INDEX('Metas DM &amp; DO'!$A:$AAD,MATCH(Disponibilidade!$G47,'Metas DM &amp; DO'!$A:$A,0),MATCH(Disponibilidade!$I47,'Metas DM &amp; DO'!$1:$1,0)+1),"-")</f>
        <v>0.91724137931034488</v>
      </c>
      <c r="L47" s="24" cm="1">
        <f t="array" ref="L47">IFERROR(INDEX('Metas DM &amp; DO'!$A:$AAD,MATCH(Disponibilidade!$G47,'Metas DM &amp; DO'!$A:$A,0),MATCH(Disponibilidade!$I47,'Metas DM &amp; DO'!$1:$1,0)+2),"-")</f>
        <v>0.92489568845618919</v>
      </c>
      <c r="M47" s="24" cm="1">
        <f t="array" ref="M47">IFERROR(INDEX('Metas DM &amp; DO'!$A:$AAD,MATCH(Disponibilidade!$G47,'Metas DM &amp; DO'!$A:$A,0),MATCH(Disponibilidade!$I47,'Metas DM &amp; DO'!$1:$1,0)+3),"-")</f>
        <v>0.90625</v>
      </c>
      <c r="N47" s="11" t="str">
        <f t="shared" si="80"/>
        <v>-</v>
      </c>
      <c r="O47" s="9" t="s">
        <v>19</v>
      </c>
      <c r="P47" s="26">
        <f>IFERROR(MAX(0,1 - (SUMIFS('Motivos De Parada'!K:K,'Motivos De Parada'!G:G,Disponibilidade!G47,'Motivos De Parada'!H:H,Disponibilidade!H47,'Motivos De Parada'!O:O,Disponibilidade!O47,'Motivos De Parada'!E:E,Disponibilidade!C47,'Motivos De Parada'!D:D,Disponibilidade!E47) / 24)),"-")</f>
        <v>1</v>
      </c>
      <c r="Q47" s="24" cm="1">
        <f t="array" ref="Q47">IFERROR(INDEX('Metas DM &amp; DO'!$A:$AAD,MATCH(Disponibilidade!$G47,'Metas DM &amp; DO'!$A:$A,0),MATCH(Disponibilidade!$O47,'Metas DM &amp; DO'!$1:$1,0)+1),"-")</f>
        <v>0.43601532567049806</v>
      </c>
      <c r="R47" s="24" cm="1">
        <f t="array" ref="R47">IFERROR(INDEX('Metas DM &amp; DO'!$A:$AAD,MATCH(Disponibilidade!$G47,'Metas DM &amp; DO'!$A:$A,0),MATCH(Disponibilidade!$O47,'Metas DM &amp; DO'!$1:$1,0)+2),"-")</f>
        <v>0.48817802503477059</v>
      </c>
      <c r="S47" s="24" cm="1">
        <f t="array" ref="S47">IFERROR(INDEX('Metas DM &amp; DO'!$A:$AAD,MATCH(Disponibilidade!$G47,'Metas DM &amp; DO'!$A:$A,0),MATCH(Disponibilidade!$O47,'Metas DM &amp; DO'!$1:$1,0)+3),"-")</f>
        <v>0.71875</v>
      </c>
      <c r="T47" s="11" t="str">
        <f t="shared" si="57"/>
        <v>-</v>
      </c>
      <c r="U47" s="9" t="s">
        <v>59</v>
      </c>
      <c r="V47" s="16">
        <f>IFERROR(SUMIFS('Motivos De Parada'!K:K,'Motivos De Parada'!G:G,Disponibilidade!G47,'Motivos De Parada'!H:H,Disponibilidade!H47,'Motivos De Parada'!O:O,Disponibilidade!I47,'Motivos De Parada'!E:E,Disponibilidade!C47,'Motivos De Parada'!D:D,Disponibilidade!E47),"-")</f>
        <v>0</v>
      </c>
      <c r="W47" s="16">
        <f>IFERROR(SUMIFS('Motivos De Parada'!K:K,'Motivos De Parada'!G:G,Disponibilidade!G47,'Motivos De Parada'!H:H,Disponibilidade!H47,'Motivos De Parada'!O:O,Disponibilidade!O47,'Motivos De Parada'!E:E,Disponibilidade!C47,'Motivos De Parada'!D:D,Disponibilidade!E47),"-")</f>
        <v>0</v>
      </c>
      <c r="X47" s="16">
        <f t="shared" si="58"/>
        <v>0</v>
      </c>
      <c r="Y47" s="16">
        <f>IFERROR(SUMIFS('Motivos De Parada'!K:K,'Motivos De Parada'!G:G,Disponibilidade!G47,'Motivos De Parada'!H:H,Disponibilidade!H47,'Motivos De Parada'!E:E,Disponibilidade!C47,'Motivos De Parada'!D:D,Disponibilidade!E47),"-")</f>
        <v>0</v>
      </c>
      <c r="Z47" s="28" t="str">
        <f t="shared" ref="Z47:Z49" si="81">IFERROR(IF(Y47=0,"OK",IF(OR(Y47&gt;12,Y47&lt;12),"VERIFICAR","OK")),"-")</f>
        <v>OK</v>
      </c>
      <c r="AA47" s="16">
        <f t="shared" si="59"/>
        <v>0</v>
      </c>
      <c r="AB47" s="16">
        <f>IFERROR(SUMIFS('Motivos De Parada'!K:K,'Motivos De Parada'!G:G,Disponibilidade!G47,'Motivos De Parada'!H:H,Disponibilidade!H47,'Motivos De Parada'!E:E,Disponibilidade!C47,'Motivos De Parada'!D:D,Disponibilidade!E47,'Motivos De Parada'!M:M,"REFEIÇÃO"),"-")</f>
        <v>0</v>
      </c>
      <c r="AC47" s="16">
        <f t="shared" si="60"/>
        <v>0</v>
      </c>
      <c r="AD47" s="28" t="str">
        <f t="shared" ref="AD47:AD49" si="82">IFERROR(IF(AC47&lt;0,"VERIFICAR","OK"),"-")</f>
        <v>OK</v>
      </c>
      <c r="AE47" s="16" cm="1">
        <f t="array" ref="AE47">IFERROR(SUM(SUMIFS('Motivos De Parada'!K:K,'Motivos De Parada'!G:G,Disponibilidade!G47,'Motivos De Parada'!H:H,Disponibilidade!H47,'Motivos De Parada'!E:E,Disponibilidade!C47,'Motivos De Parada'!D:D,Disponibilidade!E47,'Motivos De Parada'!O:O,{"DISPONIBILIDADE MECÂNICA";"DISPONIBILIDADE OPERACIONAL"},'Motivos De Parada'!P:P,"NÃO")),"-")</f>
        <v>0</v>
      </c>
      <c r="AF47" s="16" cm="1">
        <f t="array" ref="AF47">IFERROR(SUM(SUMIFS('Motivos De Parada'!K:K,'Motivos De Parada'!G:G,Disponibilidade!G47,'Motivos De Parada'!H:H,Disponibilidade!H47,'Motivos De Parada'!E:E,Disponibilidade!C47,'Motivos De Parada'!D:D,Disponibilidade!E47,'Motivos De Parada'!O:O,{"DISPONIBILIDADE MECÂNICA";"DISPONIBILIDADE OPERACIONAL"},'Motivos De Parada'!P:P,"SIM")),"-")</f>
        <v>0</v>
      </c>
      <c r="AG47" s="16">
        <f t="shared" si="61"/>
        <v>0</v>
      </c>
      <c r="AH47" s="28" t="str">
        <f t="shared" ref="AH47:AH49" si="83">IFERROR(IF(AND(AG47=0,AC47=0),"OK",IF(AG47=AC47,"VERIFICAR","OK")),"-")</f>
        <v>OK</v>
      </c>
      <c r="AI47" s="16" cm="1">
        <f t="array" ref="AI47">IFERROR(INDEX('Metas DM &amp; DO'!$A:$AAD,MATCH(Disponibilidade!$G47,'Metas DM &amp; DO'!$A:$A,0),MATCH(Disponibilidade!$U47,'Metas DM &amp; DO'!$1:$1,0)+2),"-")</f>
        <v>2.2174055829228245</v>
      </c>
      <c r="AJ47" s="16" cm="1">
        <f t="array" ref="AJ47">IFERROR(INDEX('Metas DM &amp; DO'!$A:$AAD,MATCH(Disponibilidade!$G47,'Metas DM &amp; DO'!$A:$A,0),MATCH(Disponibilidade!$U47,'Metas DM &amp; DO'!$1:$1,0)+3),"-")</f>
        <v>2.0123186966024238</v>
      </c>
      <c r="AK47" s="16" cm="1">
        <f t="array" ref="AK47">IFERROR(INDEX('Metas DM &amp; DO'!$A:$AAD,MATCH(Disponibilidade!$G47,'Metas DM &amp; DO'!$A:$A,0),MATCH(Disponibilidade!$U47,'Metas DM &amp; DO'!$1:$1,0)+4),"-")</f>
        <v>3.9999999999999991</v>
      </c>
      <c r="AL47" s="11" t="str">
        <f t="shared" si="62"/>
        <v>EXCELENTE</v>
      </c>
    </row>
    <row r="48" spans="1:38" x14ac:dyDescent="0.3">
      <c r="A48" s="11">
        <f t="shared" si="63"/>
        <v>2026</v>
      </c>
      <c r="B48" s="12">
        <f t="shared" si="64"/>
        <v>46023</v>
      </c>
      <c r="C48" s="19">
        <v>46026</v>
      </c>
      <c r="D48" s="3" t="s">
        <v>130</v>
      </c>
      <c r="E48" s="11" t="s">
        <v>80</v>
      </c>
      <c r="F48" s="11" t="str" cm="1">
        <f t="array" ref="F48">IFERROR(INDEX('Motivos De Parada'!C:C,MATCH(1,('Motivos De Parada'!E:E=Disponibilidade!C48)*('Motivos De Parada'!G:G=Disponibilidade!G48)*('Motivos De Parada'!D:D=Disponibilidade!E48),0)),"-")</f>
        <v>-</v>
      </c>
      <c r="G48" s="11" t="str">
        <f>IFERROR(VLOOKUP(D48,Cadastros!A:B,2,FALSE),"-")</f>
        <v>GARRA TRAÇADORA 2</v>
      </c>
      <c r="H48" s="11" t="str">
        <f>IFERROR(VLOOKUP(G48,Cadastros!B:D,3,FALSE),"-")</f>
        <v>TRAÇAMENTO</v>
      </c>
      <c r="I48" s="9" t="s">
        <v>20</v>
      </c>
      <c r="J48" s="26">
        <f>IFERROR(MAX(0,1 - (SUMIFS('Motivos De Parada'!K:K,'Motivos De Parada'!G:G,Disponibilidade!G48,'Motivos De Parada'!H:H,Disponibilidade!H48,'Motivos De Parada'!O:O,Disponibilidade!I48,'Motivos De Parada'!E:E,Disponibilidade!C48,'Motivos De Parada'!D:D,Disponibilidade!E48) / 24)),"-")</f>
        <v>1</v>
      </c>
      <c r="K48" s="24" t="str" cm="1">
        <f t="array" ref="K48">IFERROR(INDEX('Metas DM &amp; DO'!$A:$AAD,MATCH(Disponibilidade!$G48,'Metas DM &amp; DO'!$A:$A,0),MATCH(Disponibilidade!$I48,'Metas DM &amp; DO'!$1:$1,0)+1),"-")</f>
        <v>-</v>
      </c>
      <c r="L48" s="24" t="str" cm="1">
        <f t="array" ref="L48">IFERROR(INDEX('Metas DM &amp; DO'!$A:$AAD,MATCH(Disponibilidade!$G48,'Metas DM &amp; DO'!$A:$A,0),MATCH(Disponibilidade!$I48,'Metas DM &amp; DO'!$1:$1,0)+2),"-")</f>
        <v>-</v>
      </c>
      <c r="M48" s="24" t="str" cm="1">
        <f t="array" ref="M48">IFERROR(INDEX('Metas DM &amp; DO'!$A:$AAD,MATCH(Disponibilidade!$G48,'Metas DM &amp; DO'!$A:$A,0),MATCH(Disponibilidade!$I48,'Metas DM &amp; DO'!$1:$1,0)+3),"-")</f>
        <v>-</v>
      </c>
      <c r="N48" s="11" t="str">
        <f>IFERROR(IF(J48&lt;K48,"RUIM",IF(AND(J48&gt;=K48,J48&lt;L48),"MEDIA",IF(AND(J48&gt;=L48,J48&lt;M48),"BOA","-"))),"-")</f>
        <v>RUIM</v>
      </c>
      <c r="O48" s="9" t="s">
        <v>19</v>
      </c>
      <c r="P48" s="26">
        <f>IFERROR(MAX(0,1 - (SUMIFS('Motivos De Parada'!K:K,'Motivos De Parada'!G:G,Disponibilidade!G48,'Motivos De Parada'!H:H,Disponibilidade!H48,'Motivos De Parada'!O:O,Disponibilidade!O48,'Motivos De Parada'!E:E,Disponibilidade!C48,'Motivos De Parada'!D:D,Disponibilidade!E48) / 24)),"-")</f>
        <v>1</v>
      </c>
      <c r="Q48" s="24" t="str" cm="1">
        <f t="array" ref="Q48">IFERROR(INDEX('Metas DM &amp; DO'!$A:$AAD,MATCH(Disponibilidade!$G48,'Metas DM &amp; DO'!$A:$A,0),MATCH(Disponibilidade!$O48,'Metas DM &amp; DO'!$1:$1,0)+1),"-")</f>
        <v>-</v>
      </c>
      <c r="R48" s="24" t="str" cm="1">
        <f t="array" ref="R48">IFERROR(INDEX('Metas DM &amp; DO'!$A:$AAD,MATCH(Disponibilidade!$G48,'Metas DM &amp; DO'!$A:$A,0),MATCH(Disponibilidade!$O48,'Metas DM &amp; DO'!$1:$1,0)+2),"-")</f>
        <v>-</v>
      </c>
      <c r="S48" s="24" t="str" cm="1">
        <f t="array" ref="S48">IFERROR(INDEX('Metas DM &amp; DO'!$A:$AAD,MATCH(Disponibilidade!$G48,'Metas DM &amp; DO'!$A:$A,0),MATCH(Disponibilidade!$O48,'Metas DM &amp; DO'!$1:$1,0)+3),"-")</f>
        <v>-</v>
      </c>
      <c r="T48" s="11" t="str">
        <f t="shared" si="57"/>
        <v>RUIM</v>
      </c>
      <c r="U48" s="9" t="s">
        <v>59</v>
      </c>
      <c r="V48" s="16">
        <f>IFERROR(SUMIFS('Motivos De Parada'!K:K,'Motivos De Parada'!G:G,Disponibilidade!G48,'Motivos De Parada'!H:H,Disponibilidade!H48,'Motivos De Parada'!O:O,Disponibilidade!I48,'Motivos De Parada'!E:E,Disponibilidade!C48,'Motivos De Parada'!D:D,Disponibilidade!E48),"-")</f>
        <v>0</v>
      </c>
      <c r="W48" s="16">
        <f>IFERROR(SUMIFS('Motivos De Parada'!K:K,'Motivos De Parada'!G:G,Disponibilidade!G48,'Motivos De Parada'!H:H,Disponibilidade!H48,'Motivos De Parada'!O:O,Disponibilidade!O48,'Motivos De Parada'!E:E,Disponibilidade!C48,'Motivos De Parada'!D:D,Disponibilidade!E48),"-")</f>
        <v>0</v>
      </c>
      <c r="X48" s="16">
        <f t="shared" si="58"/>
        <v>0</v>
      </c>
      <c r="Y48" s="16">
        <f>IFERROR(SUMIFS('Motivos De Parada'!K:K,'Motivos De Parada'!G:G,Disponibilidade!G48,'Motivos De Parada'!H:H,Disponibilidade!H48,'Motivos De Parada'!E:E,Disponibilidade!C48,'Motivos De Parada'!D:D,Disponibilidade!E48),"-")</f>
        <v>0</v>
      </c>
      <c r="Z48" s="28" t="str">
        <f t="shared" si="81"/>
        <v>OK</v>
      </c>
      <c r="AA48" s="16">
        <f t="shared" si="59"/>
        <v>0</v>
      </c>
      <c r="AB48" s="16">
        <f>IFERROR(SUMIFS('Motivos De Parada'!K:K,'Motivos De Parada'!G:G,Disponibilidade!G48,'Motivos De Parada'!H:H,Disponibilidade!H48,'Motivos De Parada'!E:E,Disponibilidade!C48,'Motivos De Parada'!D:D,Disponibilidade!E48,'Motivos De Parada'!M:M,"REFEIÇÃO"),"-")</f>
        <v>0</v>
      </c>
      <c r="AC48" s="16">
        <f t="shared" si="60"/>
        <v>0</v>
      </c>
      <c r="AD48" s="28" t="str">
        <f t="shared" si="82"/>
        <v>OK</v>
      </c>
      <c r="AE48" s="16" cm="1">
        <f t="array" ref="AE48">IFERROR(SUM(SUMIFS('Motivos De Parada'!K:K,'Motivos De Parada'!G:G,Disponibilidade!G48,'Motivos De Parada'!H:H,Disponibilidade!H48,'Motivos De Parada'!E:E,Disponibilidade!C48,'Motivos De Parada'!D:D,Disponibilidade!E48,'Motivos De Parada'!O:O,{"DISPONIBILIDADE MECÂNICA";"DISPONIBILIDADE OPERACIONAL"},'Motivos De Parada'!P:P,"NÃO")),"-")</f>
        <v>0</v>
      </c>
      <c r="AF48" s="16" cm="1">
        <f t="array" ref="AF48">IFERROR(SUM(SUMIFS('Motivos De Parada'!K:K,'Motivos De Parada'!G:G,Disponibilidade!G48,'Motivos De Parada'!H:H,Disponibilidade!H48,'Motivos De Parada'!E:E,Disponibilidade!C48,'Motivos De Parada'!D:D,Disponibilidade!E48,'Motivos De Parada'!O:O,{"DISPONIBILIDADE MECÂNICA";"DISPONIBILIDADE OPERACIONAL"},'Motivos De Parada'!P:P,"SIM")),"-")</f>
        <v>0</v>
      </c>
      <c r="AG48" s="16">
        <f t="shared" si="61"/>
        <v>0</v>
      </c>
      <c r="AH48" s="28" t="str">
        <f t="shared" si="83"/>
        <v>OK</v>
      </c>
      <c r="AI48" s="16" t="str" cm="1">
        <f t="array" ref="AI48">IFERROR(INDEX('Metas DM &amp; DO'!$A:$AAD,MATCH(Disponibilidade!$G48,'Metas DM &amp; DO'!$A:$A,0),MATCH(Disponibilidade!$U48,'Metas DM &amp; DO'!$1:$1,0)+2),"-")</f>
        <v>-</v>
      </c>
      <c r="AJ48" s="16" t="str" cm="1">
        <f t="array" ref="AJ48">IFERROR(INDEX('Metas DM &amp; DO'!$A:$AAD,MATCH(Disponibilidade!$G48,'Metas DM &amp; DO'!$A:$A,0),MATCH(Disponibilidade!$U48,'Metas DM &amp; DO'!$1:$1,0)+3),"-")</f>
        <v>-</v>
      </c>
      <c r="AK48" s="16" t="str" cm="1">
        <f t="array" ref="AK48">IFERROR(INDEX('Metas DM &amp; DO'!$A:$AAD,MATCH(Disponibilidade!$G48,'Metas DM &amp; DO'!$A:$A,0),MATCH(Disponibilidade!$U48,'Metas DM &amp; DO'!$1:$1,0)+4),"-")</f>
        <v>-</v>
      </c>
      <c r="AL48" s="11" t="str">
        <f t="shared" si="62"/>
        <v>EXCELENTE</v>
      </c>
    </row>
    <row r="49" spans="1:38" x14ac:dyDescent="0.3">
      <c r="A49" s="11">
        <f t="shared" si="63"/>
        <v>2026</v>
      </c>
      <c r="B49" s="12">
        <f t="shared" si="64"/>
        <v>46023</v>
      </c>
      <c r="C49" s="19">
        <v>46026</v>
      </c>
      <c r="D49" s="3" t="s">
        <v>130</v>
      </c>
      <c r="E49" s="11" t="s">
        <v>81</v>
      </c>
      <c r="F49" s="11" t="str" cm="1">
        <f t="array" ref="F49">IFERROR(INDEX('Motivos De Parada'!C:C,MATCH(1,('Motivos De Parada'!E:E=Disponibilidade!C49)*('Motivos De Parada'!G:G=Disponibilidade!G49)*('Motivos De Parada'!D:D=Disponibilidade!E49),0)),"-")</f>
        <v>-</v>
      </c>
      <c r="G49" s="11" t="str">
        <f>IFERROR(VLOOKUP(D49,Cadastros!A:B,2,FALSE),"-")</f>
        <v>GARRA TRAÇADORA 2</v>
      </c>
      <c r="H49" s="11" t="str">
        <f>IFERROR(VLOOKUP(G49,Cadastros!B:D,3,FALSE),"-")</f>
        <v>TRAÇAMENTO</v>
      </c>
      <c r="I49" s="9" t="s">
        <v>20</v>
      </c>
      <c r="J49" s="26">
        <f>IFERROR(MAX(0,1 - (SUMIFS('Motivos De Parada'!K:K,'Motivos De Parada'!G:G,Disponibilidade!G49,'Motivos De Parada'!H:H,Disponibilidade!H49,'Motivos De Parada'!O:O,Disponibilidade!I49,'Motivos De Parada'!E:E,Disponibilidade!C49,'Motivos De Parada'!D:D,Disponibilidade!E49) / 24)),"-")</f>
        <v>1</v>
      </c>
      <c r="K49" s="24" t="str" cm="1">
        <f t="array" ref="K49">IFERROR(INDEX('Metas DM &amp; DO'!$A:$AAD,MATCH(Disponibilidade!$G49,'Metas DM &amp; DO'!$A:$A,0),MATCH(Disponibilidade!$I49,'Metas DM &amp; DO'!$1:$1,0)+1),"-")</f>
        <v>-</v>
      </c>
      <c r="L49" s="24" t="str" cm="1">
        <f t="array" ref="L49">IFERROR(INDEX('Metas DM &amp; DO'!$A:$AAD,MATCH(Disponibilidade!$G49,'Metas DM &amp; DO'!$A:$A,0),MATCH(Disponibilidade!$I49,'Metas DM &amp; DO'!$1:$1,0)+2),"-")</f>
        <v>-</v>
      </c>
      <c r="M49" s="24" t="str" cm="1">
        <f t="array" ref="M49">IFERROR(INDEX('Metas DM &amp; DO'!$A:$AAD,MATCH(Disponibilidade!$G49,'Metas DM &amp; DO'!$A:$A,0),MATCH(Disponibilidade!$I49,'Metas DM &amp; DO'!$1:$1,0)+3),"-")</f>
        <v>-</v>
      </c>
      <c r="N49" s="11" t="str">
        <f>IFERROR(IF(J49&lt;K49,"RUIM",IF(AND(J49&gt;=K49,J49&lt;L49),"MEDIA",IF(AND(J49&gt;=L49,J49&lt;M49),"BOA","-"))),"-")</f>
        <v>RUIM</v>
      </c>
      <c r="O49" s="9" t="s">
        <v>19</v>
      </c>
      <c r="P49" s="26">
        <f>IFERROR(MAX(0,1 - (SUMIFS('Motivos De Parada'!K:K,'Motivos De Parada'!G:G,Disponibilidade!G49,'Motivos De Parada'!H:H,Disponibilidade!H49,'Motivos De Parada'!O:O,Disponibilidade!O49,'Motivos De Parada'!E:E,Disponibilidade!C49,'Motivos De Parada'!D:D,Disponibilidade!E49) / 24)),"-")</f>
        <v>1</v>
      </c>
      <c r="Q49" s="24" t="str" cm="1">
        <f t="array" ref="Q49">IFERROR(INDEX('Metas DM &amp; DO'!$A:$AAD,MATCH(Disponibilidade!$G49,'Metas DM &amp; DO'!$A:$A,0),MATCH(Disponibilidade!$O49,'Metas DM &amp; DO'!$1:$1,0)+1),"-")</f>
        <v>-</v>
      </c>
      <c r="R49" s="24" t="str" cm="1">
        <f t="array" ref="R49">IFERROR(INDEX('Metas DM &amp; DO'!$A:$AAD,MATCH(Disponibilidade!$G49,'Metas DM &amp; DO'!$A:$A,0),MATCH(Disponibilidade!$O49,'Metas DM &amp; DO'!$1:$1,0)+2),"-")</f>
        <v>-</v>
      </c>
      <c r="S49" s="24" t="str" cm="1">
        <f t="array" ref="S49">IFERROR(INDEX('Metas DM &amp; DO'!$A:$AAD,MATCH(Disponibilidade!$G49,'Metas DM &amp; DO'!$A:$A,0),MATCH(Disponibilidade!$O49,'Metas DM &amp; DO'!$1:$1,0)+3),"-")</f>
        <v>-</v>
      </c>
      <c r="T49" s="11" t="str">
        <f t="shared" si="57"/>
        <v>RUIM</v>
      </c>
      <c r="U49" s="9" t="s">
        <v>59</v>
      </c>
      <c r="V49" s="16">
        <f>IFERROR(SUMIFS('Motivos De Parada'!K:K,'Motivos De Parada'!G:G,Disponibilidade!G49,'Motivos De Parada'!H:H,Disponibilidade!H49,'Motivos De Parada'!O:O,Disponibilidade!I49,'Motivos De Parada'!E:E,Disponibilidade!C49,'Motivos De Parada'!D:D,Disponibilidade!E49),"-")</f>
        <v>0</v>
      </c>
      <c r="W49" s="16">
        <f>IFERROR(SUMIFS('Motivos De Parada'!K:K,'Motivos De Parada'!G:G,Disponibilidade!G49,'Motivos De Parada'!H:H,Disponibilidade!H49,'Motivos De Parada'!O:O,Disponibilidade!O49,'Motivos De Parada'!E:E,Disponibilidade!C49,'Motivos De Parada'!D:D,Disponibilidade!E49),"-")</f>
        <v>0</v>
      </c>
      <c r="X49" s="16">
        <f t="shared" si="58"/>
        <v>0</v>
      </c>
      <c r="Y49" s="16">
        <f>IFERROR(SUMIFS('Motivos De Parada'!K:K,'Motivos De Parada'!G:G,Disponibilidade!G49,'Motivos De Parada'!H:H,Disponibilidade!H49,'Motivos De Parada'!E:E,Disponibilidade!C49,'Motivos De Parada'!D:D,Disponibilidade!E49),"-")</f>
        <v>0</v>
      </c>
      <c r="Z49" s="28" t="str">
        <f t="shared" si="81"/>
        <v>OK</v>
      </c>
      <c r="AA49" s="16">
        <f t="shared" si="59"/>
        <v>0</v>
      </c>
      <c r="AB49" s="16">
        <f>IFERROR(SUMIFS('Motivos De Parada'!K:K,'Motivos De Parada'!G:G,Disponibilidade!G49,'Motivos De Parada'!H:H,Disponibilidade!H49,'Motivos De Parada'!E:E,Disponibilidade!C49,'Motivos De Parada'!D:D,Disponibilidade!E49,'Motivos De Parada'!M:M,"REFEIÇÃO"),"-")</f>
        <v>0</v>
      </c>
      <c r="AC49" s="16">
        <f t="shared" si="60"/>
        <v>0</v>
      </c>
      <c r="AD49" s="28" t="str">
        <f t="shared" si="82"/>
        <v>OK</v>
      </c>
      <c r="AE49" s="16" cm="1">
        <f t="array" ref="AE49">IFERROR(SUM(SUMIFS('Motivos De Parada'!K:K,'Motivos De Parada'!G:G,Disponibilidade!G49,'Motivos De Parada'!H:H,Disponibilidade!H49,'Motivos De Parada'!E:E,Disponibilidade!C49,'Motivos De Parada'!D:D,Disponibilidade!E49,'Motivos De Parada'!O:O,{"DISPONIBILIDADE MECÂNICA";"DISPONIBILIDADE OPERACIONAL"},'Motivos De Parada'!P:P,"NÃO")),"-")</f>
        <v>0</v>
      </c>
      <c r="AF49" s="16" cm="1">
        <f t="array" ref="AF49">IFERROR(SUM(SUMIFS('Motivos De Parada'!K:K,'Motivos De Parada'!G:G,Disponibilidade!G49,'Motivos De Parada'!H:H,Disponibilidade!H49,'Motivos De Parada'!E:E,Disponibilidade!C49,'Motivos De Parada'!D:D,Disponibilidade!E49,'Motivos De Parada'!O:O,{"DISPONIBILIDADE MECÂNICA";"DISPONIBILIDADE OPERACIONAL"},'Motivos De Parada'!P:P,"SIM")),"-")</f>
        <v>0</v>
      </c>
      <c r="AG49" s="16">
        <f t="shared" si="61"/>
        <v>0</v>
      </c>
      <c r="AH49" s="28" t="str">
        <f t="shared" si="83"/>
        <v>OK</v>
      </c>
      <c r="AI49" s="16" t="str" cm="1">
        <f t="array" ref="AI49">IFERROR(INDEX('Metas DM &amp; DO'!$A:$AAD,MATCH(Disponibilidade!$G49,'Metas DM &amp; DO'!$A:$A,0),MATCH(Disponibilidade!$U49,'Metas DM &amp; DO'!$1:$1,0)+2),"-")</f>
        <v>-</v>
      </c>
      <c r="AJ49" s="16" t="str" cm="1">
        <f t="array" ref="AJ49">IFERROR(INDEX('Metas DM &amp; DO'!$A:$AAD,MATCH(Disponibilidade!$G49,'Metas DM &amp; DO'!$A:$A,0),MATCH(Disponibilidade!$U49,'Metas DM &amp; DO'!$1:$1,0)+3),"-")</f>
        <v>-</v>
      </c>
      <c r="AK49" s="16" t="str" cm="1">
        <f t="array" ref="AK49">IFERROR(INDEX('Metas DM &amp; DO'!$A:$AAD,MATCH(Disponibilidade!$G49,'Metas DM &amp; DO'!$A:$A,0),MATCH(Disponibilidade!$U49,'Metas DM &amp; DO'!$1:$1,0)+4),"-")</f>
        <v>-</v>
      </c>
      <c r="AL49" s="11" t="str">
        <f t="shared" si="62"/>
        <v>EXCELENTE</v>
      </c>
    </row>
    <row r="50" spans="1:38" x14ac:dyDescent="0.3">
      <c r="A50" s="11">
        <f t="shared" si="63"/>
        <v>2026</v>
      </c>
      <c r="B50" s="12">
        <f t="shared" si="64"/>
        <v>46023</v>
      </c>
      <c r="C50" s="19">
        <v>46027</v>
      </c>
      <c r="D50" s="3" t="s">
        <v>120</v>
      </c>
      <c r="E50" s="11" t="s">
        <v>80</v>
      </c>
      <c r="F50" s="11" t="str" cm="1">
        <f t="array" ref="F50">IFERROR(INDEX('Motivos De Parada'!C:C,MATCH(1,('Motivos De Parada'!E:E=Disponibilidade!C50)*('Motivos De Parada'!G:G=Disponibilidade!G50)*('Motivos De Parada'!D:D=Disponibilidade!E50),0)),"-")</f>
        <v>-</v>
      </c>
      <c r="G50" s="11" t="str">
        <f>IFERROR(VLOOKUP(D50,Cadastros!A:B,2,FALSE),"-")</f>
        <v>FELLER BUNCHER 1</v>
      </c>
      <c r="H50" s="11" t="str">
        <f>IFERROR(VLOOKUP(G50,Cadastros!B:D,3,FALSE),"-")</f>
        <v>CORTE</v>
      </c>
      <c r="I50" s="9" t="s">
        <v>20</v>
      </c>
      <c r="J50" s="26">
        <f>IFERROR(MAX(0,1 - (SUMIFS('Motivos De Parada'!K:K,'Motivos De Parada'!G:G,Disponibilidade!G50,'Motivos De Parada'!H:H,Disponibilidade!H50,'Motivos De Parada'!O:O,Disponibilidade!I50,'Motivos De Parada'!E:E,Disponibilidade!C50,'Motivos De Parada'!D:D,Disponibilidade!E50) / 24)),"-")</f>
        <v>1</v>
      </c>
      <c r="K50" s="24" cm="1">
        <f t="array" ref="K50">IFERROR(INDEX('Metas DM &amp; DO'!$A:$AAD,MATCH(Disponibilidade!$G50,'Metas DM &amp; DO'!$A:$A,0),MATCH(Disponibilidade!$I50,'Metas DM &amp; DO'!$1:$1,0)+1),"-")</f>
        <v>0.45882352941176474</v>
      </c>
      <c r="L50" s="24" cm="1">
        <f t="array" ref="L50">IFERROR(INDEX('Metas DM &amp; DO'!$A:$AAD,MATCH(Disponibilidade!$G50,'Metas DM &amp; DO'!$A:$A,0),MATCH(Disponibilidade!$I50,'Metas DM &amp; DO'!$1:$1,0)+2),"-")</f>
        <v>0.66341463414634161</v>
      </c>
      <c r="M50" s="24" cm="1">
        <f t="array" ref="M50">IFERROR(INDEX('Metas DM &amp; DO'!$A:$AAD,MATCH(Disponibilidade!$G50,'Metas DM &amp; DO'!$A:$A,0),MATCH(Disponibilidade!$I50,'Metas DM &amp; DO'!$1:$1,0)+3),"-")</f>
        <v>0.83333333333333337</v>
      </c>
      <c r="N50" s="11" t="str">
        <f t="shared" ref="N50:N56" si="84">IFERROR(IF(J50&lt;K50,"RUIM",IF(AND(J50&gt;=K50,J50&lt;L50),"MEDIA",IF(AND(J50&gt;=L50,J50&lt;M50),"BOA","-"))),"-")</f>
        <v>-</v>
      </c>
      <c r="O50" s="9" t="s">
        <v>19</v>
      </c>
      <c r="P50" s="26">
        <f>IFERROR(MAX(0,1 - (SUMIFS('Motivos De Parada'!K:K,'Motivos De Parada'!G:G,Disponibilidade!G50,'Motivos De Parada'!H:H,Disponibilidade!H50,'Motivos De Parada'!O:O,Disponibilidade!O50,'Motivos De Parada'!E:E,Disponibilidade!C50,'Motivos De Parada'!D:D,Disponibilidade!E50) / 24)),"-")</f>
        <v>1</v>
      </c>
      <c r="Q50" s="24" cm="1">
        <f t="array" ref="Q50">IFERROR(INDEX('Metas DM &amp; DO'!$A:$AAD,MATCH(Disponibilidade!$G50,'Metas DM &amp; DO'!$A:$A,0),MATCH(Disponibilidade!$O50,'Metas DM &amp; DO'!$1:$1,0)+1),"-")</f>
        <v>0.74117647058823533</v>
      </c>
      <c r="R50" s="24" cm="1">
        <f t="array" ref="R50">IFERROR(INDEX('Metas DM &amp; DO'!$A:$AAD,MATCH(Disponibilidade!$G50,'Metas DM &amp; DO'!$A:$A,0),MATCH(Disponibilidade!$O50,'Metas DM &amp; DO'!$1:$1,0)+2),"-")</f>
        <v>0.83902439024390252</v>
      </c>
      <c r="S50" s="24" cm="1">
        <f t="array" ref="S50">IFERROR(INDEX('Metas DM &amp; DO'!$A:$AAD,MATCH(Disponibilidade!$G50,'Metas DM &amp; DO'!$A:$A,0),MATCH(Disponibilidade!$O50,'Metas DM &amp; DO'!$1:$1,0)+3),"-")</f>
        <v>0.79166666666666674</v>
      </c>
      <c r="T50" s="11" t="str">
        <f t="shared" si="57"/>
        <v>-</v>
      </c>
      <c r="U50" s="9" t="s">
        <v>59</v>
      </c>
      <c r="V50" s="16">
        <f>IFERROR(SUMIFS('Motivos De Parada'!K:K,'Motivos De Parada'!G:G,Disponibilidade!G50,'Motivos De Parada'!H:H,Disponibilidade!H50,'Motivos De Parada'!O:O,Disponibilidade!I50,'Motivos De Parada'!E:E,Disponibilidade!C50,'Motivos De Parada'!D:D,Disponibilidade!E50),"-")</f>
        <v>0</v>
      </c>
      <c r="W50" s="16">
        <f>IFERROR(SUMIFS('Motivos De Parada'!K:K,'Motivos De Parada'!G:G,Disponibilidade!G50,'Motivos De Parada'!H:H,Disponibilidade!H50,'Motivos De Parada'!O:O,Disponibilidade!O50,'Motivos De Parada'!E:E,Disponibilidade!C50,'Motivos De Parada'!D:D,Disponibilidade!E50),"-")</f>
        <v>0</v>
      </c>
      <c r="X50" s="16">
        <f t="shared" si="58"/>
        <v>0</v>
      </c>
      <c r="Y50" s="16">
        <f>IFERROR(SUMIFS('Motivos De Parada'!K:K,'Motivos De Parada'!G:G,Disponibilidade!G50,'Motivos De Parada'!H:H,Disponibilidade!H50,'Motivos De Parada'!E:E,Disponibilidade!C50,'Motivos De Parada'!D:D,Disponibilidade!E50),"-")</f>
        <v>0</v>
      </c>
      <c r="Z50" s="28" t="str">
        <f>IFERROR(IF(Y50=0,"OK",IF(OR(Y50&gt;12,Y50&lt;12),"VERIFICAR","OK")),"-")</f>
        <v>OK</v>
      </c>
      <c r="AA50" s="16">
        <f t="shared" si="59"/>
        <v>0</v>
      </c>
      <c r="AB50" s="16">
        <f>IFERROR(SUMIFS('Motivos De Parada'!K:K,'Motivos De Parada'!G:G,Disponibilidade!G50,'Motivos De Parada'!H:H,Disponibilidade!H50,'Motivos De Parada'!E:E,Disponibilidade!C50,'Motivos De Parada'!D:D,Disponibilidade!E50,'Motivos De Parada'!M:M,"REFEIÇÃO"),"-")</f>
        <v>0</v>
      </c>
      <c r="AC50" s="16">
        <f t="shared" si="60"/>
        <v>0</v>
      </c>
      <c r="AD50" s="28" t="str">
        <f>IFERROR(IF(AC50&lt;0,"VERIFICAR","OK"),"-")</f>
        <v>OK</v>
      </c>
      <c r="AE50" s="16" cm="1">
        <f t="array" ref="AE50">IFERROR(SUM(SUMIFS('Motivos De Parada'!K:K,'Motivos De Parada'!G:G,Disponibilidade!G50,'Motivos De Parada'!H:H,Disponibilidade!H50,'Motivos De Parada'!E:E,Disponibilidade!C50,'Motivos De Parada'!D:D,Disponibilidade!E50,'Motivos De Parada'!O:O,{"DISPONIBILIDADE MECÂNICA";"DISPONIBILIDADE OPERACIONAL"},'Motivos De Parada'!P:P,"NÃO")),"-")</f>
        <v>0</v>
      </c>
      <c r="AF50" s="16" cm="1">
        <f t="array" ref="AF50">IFERROR(SUM(SUMIFS('Motivos De Parada'!K:K,'Motivos De Parada'!G:G,Disponibilidade!G50,'Motivos De Parada'!H:H,Disponibilidade!H50,'Motivos De Parada'!E:E,Disponibilidade!C50,'Motivos De Parada'!D:D,Disponibilidade!E50,'Motivos De Parada'!O:O,{"DISPONIBILIDADE MECÂNICA";"DISPONIBILIDADE OPERACIONAL"},'Motivos De Parada'!P:P,"SIM")),"-")</f>
        <v>0</v>
      </c>
      <c r="AG50" s="16">
        <f t="shared" si="61"/>
        <v>0</v>
      </c>
      <c r="AH50" s="28" t="str">
        <f>IFERROR(IF(AND(AG50=0,AC50=0),"OK",IF(AG50=AC50,"VERIFICAR","OK")),"-")</f>
        <v>OK</v>
      </c>
      <c r="AI50" s="16" cm="1">
        <f t="array" ref="AI50">IFERROR(INDEX('Metas DM &amp; DO'!$A:$AAD,MATCH(Disponibilidade!$G50,'Metas DM &amp; DO'!$A:$A,0),MATCH(Disponibilidade!$U50,'Metas DM &amp; DO'!$1:$1,0)+2),"-")</f>
        <v>4.8</v>
      </c>
      <c r="AJ50" s="16" cm="1">
        <f t="array" ref="AJ50">IFERROR(INDEX('Metas DM &amp; DO'!$A:$AAD,MATCH(Disponibilidade!$G50,'Metas DM &amp; DO'!$A:$A,0),MATCH(Disponibilidade!$U50,'Metas DM &amp; DO'!$1:$1,0)+3),"-")</f>
        <v>2.9853658536585361</v>
      </c>
      <c r="AK50" s="16" cm="1">
        <f t="array" ref="AK50">IFERROR(INDEX('Metas DM &amp; DO'!$A:$AAD,MATCH(Disponibilidade!$G50,'Metas DM &amp; DO'!$A:$A,0),MATCH(Disponibilidade!$U50,'Metas DM &amp; DO'!$1:$1,0)+4),"-")</f>
        <v>12</v>
      </c>
      <c r="AL50" s="11" t="str">
        <f t="shared" si="62"/>
        <v>EXCELENTE</v>
      </c>
    </row>
    <row r="51" spans="1:38" x14ac:dyDescent="0.3">
      <c r="A51" s="11">
        <f t="shared" si="63"/>
        <v>2026</v>
      </c>
      <c r="B51" s="12">
        <f t="shared" si="64"/>
        <v>46023</v>
      </c>
      <c r="C51" s="19">
        <v>46027</v>
      </c>
      <c r="D51" s="3" t="s">
        <v>120</v>
      </c>
      <c r="E51" s="11" t="s">
        <v>81</v>
      </c>
      <c r="F51" s="11" t="str" cm="1">
        <f t="array" ref="F51">IFERROR(INDEX('Motivos De Parada'!C:C,MATCH(1,('Motivos De Parada'!E:E=Disponibilidade!C51)*('Motivos De Parada'!G:G=Disponibilidade!G51)*('Motivos De Parada'!D:D=Disponibilidade!E51),0)),"-")</f>
        <v>-</v>
      </c>
      <c r="G51" s="11" t="str">
        <f>IFERROR(VLOOKUP(D51,Cadastros!A:B,2,FALSE),"-")</f>
        <v>FELLER BUNCHER 1</v>
      </c>
      <c r="H51" s="11" t="str">
        <f>IFERROR(VLOOKUP(G51,Cadastros!B:D,3,FALSE),"-")</f>
        <v>CORTE</v>
      </c>
      <c r="I51" s="9" t="s">
        <v>20</v>
      </c>
      <c r="J51" s="26">
        <f>IFERROR(MAX(0,1 - (SUMIFS('Motivos De Parada'!K:K,'Motivos De Parada'!G:G,Disponibilidade!G51,'Motivos De Parada'!H:H,Disponibilidade!H51,'Motivos De Parada'!O:O,Disponibilidade!I51,'Motivos De Parada'!E:E,Disponibilidade!C51,'Motivos De Parada'!D:D,Disponibilidade!E51) / 24)),"-")</f>
        <v>1</v>
      </c>
      <c r="K51" s="24" cm="1">
        <f t="array" ref="K51">IFERROR(INDEX('Metas DM &amp; DO'!$A:$AAD,MATCH(Disponibilidade!$G51,'Metas DM &amp; DO'!$A:$A,0),MATCH(Disponibilidade!$I51,'Metas DM &amp; DO'!$1:$1,0)+1),"-")</f>
        <v>0.45882352941176474</v>
      </c>
      <c r="L51" s="24" cm="1">
        <f t="array" ref="L51">IFERROR(INDEX('Metas DM &amp; DO'!$A:$AAD,MATCH(Disponibilidade!$G51,'Metas DM &amp; DO'!$A:$A,0),MATCH(Disponibilidade!$I51,'Metas DM &amp; DO'!$1:$1,0)+2),"-")</f>
        <v>0.66341463414634161</v>
      </c>
      <c r="M51" s="24" cm="1">
        <f t="array" ref="M51">IFERROR(INDEX('Metas DM &amp; DO'!$A:$AAD,MATCH(Disponibilidade!$G51,'Metas DM &amp; DO'!$A:$A,0),MATCH(Disponibilidade!$I51,'Metas DM &amp; DO'!$1:$1,0)+3),"-")</f>
        <v>0.83333333333333337</v>
      </c>
      <c r="N51" s="11" t="str">
        <f t="shared" si="84"/>
        <v>-</v>
      </c>
      <c r="O51" s="9" t="s">
        <v>19</v>
      </c>
      <c r="P51" s="26">
        <f>IFERROR(MAX(0,1 - (SUMIFS('Motivos De Parada'!K:K,'Motivos De Parada'!G:G,Disponibilidade!G51,'Motivos De Parada'!H:H,Disponibilidade!H51,'Motivos De Parada'!O:O,Disponibilidade!O51,'Motivos De Parada'!E:E,Disponibilidade!C51,'Motivos De Parada'!D:D,Disponibilidade!E51) / 24)),"-")</f>
        <v>1</v>
      </c>
      <c r="Q51" s="24" cm="1">
        <f t="array" ref="Q51">IFERROR(INDEX('Metas DM &amp; DO'!$A:$AAD,MATCH(Disponibilidade!$G51,'Metas DM &amp; DO'!$A:$A,0),MATCH(Disponibilidade!$O51,'Metas DM &amp; DO'!$1:$1,0)+1),"-")</f>
        <v>0.74117647058823533</v>
      </c>
      <c r="R51" s="24" cm="1">
        <f t="array" ref="R51">IFERROR(INDEX('Metas DM &amp; DO'!$A:$AAD,MATCH(Disponibilidade!$G51,'Metas DM &amp; DO'!$A:$A,0),MATCH(Disponibilidade!$O51,'Metas DM &amp; DO'!$1:$1,0)+2),"-")</f>
        <v>0.83902439024390252</v>
      </c>
      <c r="S51" s="24" cm="1">
        <f t="array" ref="S51">IFERROR(INDEX('Metas DM &amp; DO'!$A:$AAD,MATCH(Disponibilidade!$G51,'Metas DM &amp; DO'!$A:$A,0),MATCH(Disponibilidade!$O51,'Metas DM &amp; DO'!$1:$1,0)+3),"-")</f>
        <v>0.79166666666666674</v>
      </c>
      <c r="T51" s="11" t="str">
        <f t="shared" si="57"/>
        <v>-</v>
      </c>
      <c r="U51" s="9" t="s">
        <v>59</v>
      </c>
      <c r="V51" s="16">
        <f>IFERROR(SUMIFS('Motivos De Parada'!K:K,'Motivos De Parada'!G:G,Disponibilidade!G51,'Motivos De Parada'!H:H,Disponibilidade!H51,'Motivos De Parada'!O:O,Disponibilidade!I51,'Motivos De Parada'!E:E,Disponibilidade!C51,'Motivos De Parada'!D:D,Disponibilidade!E51),"-")</f>
        <v>0</v>
      </c>
      <c r="W51" s="16">
        <f>IFERROR(SUMIFS('Motivos De Parada'!K:K,'Motivos De Parada'!G:G,Disponibilidade!G51,'Motivos De Parada'!H:H,Disponibilidade!H51,'Motivos De Parada'!O:O,Disponibilidade!O51,'Motivos De Parada'!E:E,Disponibilidade!C51,'Motivos De Parada'!D:D,Disponibilidade!E51),"-")</f>
        <v>0</v>
      </c>
      <c r="X51" s="16">
        <f t="shared" si="58"/>
        <v>0</v>
      </c>
      <c r="Y51" s="16">
        <f>IFERROR(SUMIFS('Motivos De Parada'!K:K,'Motivos De Parada'!G:G,Disponibilidade!G51,'Motivos De Parada'!H:H,Disponibilidade!H51,'Motivos De Parada'!E:E,Disponibilidade!C51,'Motivos De Parada'!D:D,Disponibilidade!E51),"-")</f>
        <v>0</v>
      </c>
      <c r="Z51" s="28" t="str">
        <f t="shared" ref="Z51:Z57" si="85">IFERROR(IF(Y51=0,"OK",IF(OR(Y51&gt;12,Y51&lt;12),"VERIFICAR","OK")),"-")</f>
        <v>OK</v>
      </c>
      <c r="AA51" s="16">
        <f t="shared" si="59"/>
        <v>0</v>
      </c>
      <c r="AB51" s="16">
        <f>IFERROR(SUMIFS('Motivos De Parada'!K:K,'Motivos De Parada'!G:G,Disponibilidade!G51,'Motivos De Parada'!H:H,Disponibilidade!H51,'Motivos De Parada'!E:E,Disponibilidade!C51,'Motivos De Parada'!D:D,Disponibilidade!E51,'Motivos De Parada'!M:M,"REFEIÇÃO"),"-")</f>
        <v>0</v>
      </c>
      <c r="AC51" s="16">
        <f t="shared" si="60"/>
        <v>0</v>
      </c>
      <c r="AD51" s="28" t="str">
        <f t="shared" ref="AD51:AD57" si="86">IFERROR(IF(AC51&lt;0,"VERIFICAR","OK"),"-")</f>
        <v>OK</v>
      </c>
      <c r="AE51" s="16" cm="1">
        <f t="array" ref="AE51">IFERROR(SUM(SUMIFS('Motivos De Parada'!K:K,'Motivos De Parada'!G:G,Disponibilidade!G51,'Motivos De Parada'!H:H,Disponibilidade!H51,'Motivos De Parada'!E:E,Disponibilidade!C51,'Motivos De Parada'!D:D,Disponibilidade!E51,'Motivos De Parada'!O:O,{"DISPONIBILIDADE MECÂNICA";"DISPONIBILIDADE OPERACIONAL"},'Motivos De Parada'!P:P,"NÃO")),"-")</f>
        <v>0</v>
      </c>
      <c r="AF51" s="16" cm="1">
        <f t="array" ref="AF51">IFERROR(SUM(SUMIFS('Motivos De Parada'!K:K,'Motivos De Parada'!G:G,Disponibilidade!G51,'Motivos De Parada'!H:H,Disponibilidade!H51,'Motivos De Parada'!E:E,Disponibilidade!C51,'Motivos De Parada'!D:D,Disponibilidade!E51,'Motivos De Parada'!O:O,{"DISPONIBILIDADE MECÂNICA";"DISPONIBILIDADE OPERACIONAL"},'Motivos De Parada'!P:P,"SIM")),"-")</f>
        <v>0</v>
      </c>
      <c r="AG51" s="16">
        <f t="shared" si="61"/>
        <v>0</v>
      </c>
      <c r="AH51" s="28" t="str">
        <f t="shared" ref="AH51:AH57" si="87">IFERROR(IF(AND(AG51=0,AC51=0),"OK",IF(AG51=AC51,"VERIFICAR","OK")),"-")</f>
        <v>OK</v>
      </c>
      <c r="AI51" s="16" cm="1">
        <f t="array" ref="AI51">IFERROR(INDEX('Metas DM &amp; DO'!$A:$AAD,MATCH(Disponibilidade!$G51,'Metas DM &amp; DO'!$A:$A,0),MATCH(Disponibilidade!$U51,'Metas DM &amp; DO'!$1:$1,0)+2),"-")</f>
        <v>4.8</v>
      </c>
      <c r="AJ51" s="16" cm="1">
        <f t="array" ref="AJ51">IFERROR(INDEX('Metas DM &amp; DO'!$A:$AAD,MATCH(Disponibilidade!$G51,'Metas DM &amp; DO'!$A:$A,0),MATCH(Disponibilidade!$U51,'Metas DM &amp; DO'!$1:$1,0)+3),"-")</f>
        <v>2.9853658536585361</v>
      </c>
      <c r="AK51" s="16" cm="1">
        <f t="array" ref="AK51">IFERROR(INDEX('Metas DM &amp; DO'!$A:$AAD,MATCH(Disponibilidade!$G51,'Metas DM &amp; DO'!$A:$A,0),MATCH(Disponibilidade!$U51,'Metas DM &amp; DO'!$1:$1,0)+4),"-")</f>
        <v>12</v>
      </c>
      <c r="AL51" s="11" t="str">
        <f t="shared" si="62"/>
        <v>EXCELENTE</v>
      </c>
    </row>
    <row r="52" spans="1:38" x14ac:dyDescent="0.3">
      <c r="A52" s="11">
        <f t="shared" si="63"/>
        <v>2026</v>
      </c>
      <c r="B52" s="12">
        <f t="shared" si="64"/>
        <v>46023</v>
      </c>
      <c r="C52" s="19">
        <v>46027</v>
      </c>
      <c r="D52" s="3" t="s">
        <v>122</v>
      </c>
      <c r="E52" s="11" t="s">
        <v>80</v>
      </c>
      <c r="F52" s="11" t="str" cm="1">
        <f t="array" ref="F52">IFERROR(INDEX('Motivos De Parada'!C:C,MATCH(1,('Motivos De Parada'!E:E=Disponibilidade!C52)*('Motivos De Parada'!G:G=Disponibilidade!G52)*('Motivos De Parada'!D:D=Disponibilidade!E52),0)),"-")</f>
        <v>-</v>
      </c>
      <c r="G52" s="11" t="str">
        <f>IFERROR(VLOOKUP(D52,Cadastros!A:B,2,FALSE),"-")</f>
        <v>FELLER BUNCHER 2</v>
      </c>
      <c r="H52" s="11" t="str">
        <f>IFERROR(VLOOKUP(G52,Cadastros!B:D,3,FALSE),"-")</f>
        <v>CORTE</v>
      </c>
      <c r="I52" s="9" t="s">
        <v>20</v>
      </c>
      <c r="J52" s="26">
        <f>IFERROR(MAX(0,1 - (SUMIFS('Motivos De Parada'!K:K,'Motivos De Parada'!G:G,Disponibilidade!G52,'Motivos De Parada'!H:H,Disponibilidade!H52,'Motivos De Parada'!O:O,Disponibilidade!I52,'Motivos De Parada'!E:E,Disponibilidade!C52,'Motivos De Parada'!D:D,Disponibilidade!E52) / 24)),"-")</f>
        <v>1</v>
      </c>
      <c r="K52" s="24" cm="1">
        <f t="array" ref="K52">IFERROR(INDEX('Metas DM &amp; DO'!$A:$AAD,MATCH(Disponibilidade!$G52,'Metas DM &amp; DO'!$A:$A,0),MATCH(Disponibilidade!$I52,'Metas DM &amp; DO'!$1:$1,0)+1),"-")</f>
        <v>1</v>
      </c>
      <c r="L52" s="24" cm="1">
        <f t="array" ref="L52">IFERROR(INDEX('Metas DM &amp; DO'!$A:$AAD,MATCH(Disponibilidade!$G52,'Metas DM &amp; DO'!$A:$A,0),MATCH(Disponibilidade!$I52,'Metas DM &amp; DO'!$1:$1,0)+2),"-")</f>
        <v>1</v>
      </c>
      <c r="M52" s="24" t="str" cm="1">
        <f t="array" ref="M52">IFERROR(INDEX('Metas DM &amp; DO'!$A:$AAD,MATCH(Disponibilidade!$G52,'Metas DM &amp; DO'!$A:$A,0),MATCH(Disponibilidade!$I52,'Metas DM &amp; DO'!$1:$1,0)+3),"-")</f>
        <v>-</v>
      </c>
      <c r="N52" s="11" t="str">
        <f>IFERROR(IF(J52&lt;K52,"RUIM",IF(AND(J52&gt;=K52,J52&lt;L52),"MEDIA",IF(AND(J52&gt;=L52,J52&lt;M52),"BOA","-"))),"-")</f>
        <v>BOA</v>
      </c>
      <c r="O52" s="9" t="s">
        <v>19</v>
      </c>
      <c r="P52" s="26">
        <f>IFERROR(MAX(0,1 - (SUMIFS('Motivos De Parada'!K:K,'Motivos De Parada'!G:G,Disponibilidade!G52,'Motivos De Parada'!H:H,Disponibilidade!H52,'Motivos De Parada'!O:O,Disponibilidade!O52,'Motivos De Parada'!E:E,Disponibilidade!C52,'Motivos De Parada'!D:D,Disponibilidade!E52) / 24)),"-")</f>
        <v>1</v>
      </c>
      <c r="Q52" s="24" cm="1">
        <f t="array" ref="Q52">IFERROR(INDEX('Metas DM &amp; DO'!$A:$AAD,MATCH(Disponibilidade!$G52,'Metas DM &amp; DO'!$A:$A,0),MATCH(Disponibilidade!$O52,'Metas DM &amp; DO'!$1:$1,0)+1),"-")</f>
        <v>0.11999999999999977</v>
      </c>
      <c r="R52" s="24" cm="1">
        <f t="array" ref="R52">IFERROR(INDEX('Metas DM &amp; DO'!$A:$AAD,MATCH(Disponibilidade!$G52,'Metas DM &amp; DO'!$A:$A,0),MATCH(Disponibilidade!$O52,'Metas DM &amp; DO'!$1:$1,0)+2),"-")</f>
        <v>0.2584269662921348</v>
      </c>
      <c r="S52" s="24" cm="1">
        <f t="array" ref="S52">IFERROR(INDEX('Metas DM &amp; DO'!$A:$AAD,MATCH(Disponibilidade!$G52,'Metas DM &amp; DO'!$A:$A,0),MATCH(Disponibilidade!$O52,'Metas DM &amp; DO'!$1:$1,0)+3),"-")</f>
        <v>0.58333333333333348</v>
      </c>
      <c r="T52" s="11" t="str">
        <f t="shared" si="57"/>
        <v>-</v>
      </c>
      <c r="U52" s="9" t="s">
        <v>59</v>
      </c>
      <c r="V52" s="16">
        <f>IFERROR(SUMIFS('Motivos De Parada'!K:K,'Motivos De Parada'!G:G,Disponibilidade!G52,'Motivos De Parada'!H:H,Disponibilidade!H52,'Motivos De Parada'!O:O,Disponibilidade!I52,'Motivos De Parada'!E:E,Disponibilidade!C52,'Motivos De Parada'!D:D,Disponibilidade!E52),"-")</f>
        <v>0</v>
      </c>
      <c r="W52" s="16">
        <f>IFERROR(SUMIFS('Motivos De Parada'!K:K,'Motivos De Parada'!G:G,Disponibilidade!G52,'Motivos De Parada'!H:H,Disponibilidade!H52,'Motivos De Parada'!O:O,Disponibilidade!O52,'Motivos De Parada'!E:E,Disponibilidade!C52,'Motivos De Parada'!D:D,Disponibilidade!E52),"-")</f>
        <v>0</v>
      </c>
      <c r="X52" s="16">
        <f t="shared" si="58"/>
        <v>0</v>
      </c>
      <c r="Y52" s="16">
        <f>IFERROR(SUMIFS('Motivos De Parada'!K:K,'Motivos De Parada'!G:G,Disponibilidade!G52,'Motivos De Parada'!H:H,Disponibilidade!H52,'Motivos De Parada'!E:E,Disponibilidade!C52,'Motivos De Parada'!D:D,Disponibilidade!E52),"-")</f>
        <v>0</v>
      </c>
      <c r="Z52" s="28" t="str">
        <f t="shared" si="85"/>
        <v>OK</v>
      </c>
      <c r="AA52" s="16">
        <f t="shared" si="59"/>
        <v>0</v>
      </c>
      <c r="AB52" s="16">
        <f>IFERROR(SUMIFS('Motivos De Parada'!K:K,'Motivos De Parada'!G:G,Disponibilidade!G52,'Motivos De Parada'!H:H,Disponibilidade!H52,'Motivos De Parada'!E:E,Disponibilidade!C52,'Motivos De Parada'!D:D,Disponibilidade!E52,'Motivos De Parada'!M:M,"REFEIÇÃO"),"-")</f>
        <v>0</v>
      </c>
      <c r="AC52" s="16">
        <f t="shared" si="60"/>
        <v>0</v>
      </c>
      <c r="AD52" s="28" t="str">
        <f t="shared" si="86"/>
        <v>OK</v>
      </c>
      <c r="AE52" s="16" cm="1">
        <f t="array" ref="AE52">IFERROR(SUM(SUMIFS('Motivos De Parada'!K:K,'Motivos De Parada'!G:G,Disponibilidade!G52,'Motivos De Parada'!H:H,Disponibilidade!H52,'Motivos De Parada'!E:E,Disponibilidade!C52,'Motivos De Parada'!D:D,Disponibilidade!E52,'Motivos De Parada'!O:O,{"DISPONIBILIDADE MECÂNICA";"DISPONIBILIDADE OPERACIONAL"},'Motivos De Parada'!P:P,"NÃO")),"-")</f>
        <v>0</v>
      </c>
      <c r="AF52" s="16" cm="1">
        <f t="array" ref="AF52">IFERROR(SUM(SUMIFS('Motivos De Parada'!K:K,'Motivos De Parada'!G:G,Disponibilidade!G52,'Motivos De Parada'!H:H,Disponibilidade!H52,'Motivos De Parada'!E:E,Disponibilidade!C52,'Motivos De Parada'!D:D,Disponibilidade!E52,'Motivos De Parada'!O:O,{"DISPONIBILIDADE MECÂNICA";"DISPONIBILIDADE OPERACIONAL"},'Motivos De Parada'!P:P,"SIM")),"-")</f>
        <v>0</v>
      </c>
      <c r="AG52" s="16">
        <f t="shared" si="61"/>
        <v>0</v>
      </c>
      <c r="AH52" s="28" t="str">
        <f t="shared" si="87"/>
        <v>OK</v>
      </c>
      <c r="AI52" s="16" cm="1">
        <f t="array" ref="AI52">IFERROR(INDEX('Metas DM &amp; DO'!$A:$AAD,MATCH(Disponibilidade!$G52,'Metas DM &amp; DO'!$A:$A,0),MATCH(Disponibilidade!$U52,'Metas DM &amp; DO'!$1:$1,0)+2),"-")</f>
        <v>5.2800000000000011</v>
      </c>
      <c r="AJ52" s="16" cm="1">
        <f t="array" ref="AJ52">IFERROR(INDEX('Metas DM &amp; DO'!$A:$AAD,MATCH(Disponibilidade!$G52,'Metas DM &amp; DO'!$A:$A,0),MATCH(Disponibilidade!$U52,'Metas DM &amp; DO'!$1:$1,0)+3),"-")</f>
        <v>4.4494382022471912</v>
      </c>
      <c r="AK52" s="16" cm="1">
        <f t="array" ref="AK52">IFERROR(INDEX('Metas DM &amp; DO'!$A:$AAD,MATCH(Disponibilidade!$G52,'Metas DM &amp; DO'!$A:$A,0),MATCH(Disponibilidade!$U52,'Metas DM &amp; DO'!$1:$1,0)+4),"-")</f>
        <v>9</v>
      </c>
      <c r="AL52" s="11" t="str">
        <f t="shared" si="62"/>
        <v>EXCELENTE</v>
      </c>
    </row>
    <row r="53" spans="1:38" x14ac:dyDescent="0.3">
      <c r="A53" s="11">
        <f t="shared" si="63"/>
        <v>2026</v>
      </c>
      <c r="B53" s="12">
        <f t="shared" si="64"/>
        <v>46023</v>
      </c>
      <c r="C53" s="19">
        <v>46027</v>
      </c>
      <c r="D53" s="3" t="s">
        <v>122</v>
      </c>
      <c r="E53" s="11" t="s">
        <v>81</v>
      </c>
      <c r="F53" s="11" t="str" cm="1">
        <f t="array" ref="F53">IFERROR(INDEX('Motivos De Parada'!C:C,MATCH(1,('Motivos De Parada'!E:E=Disponibilidade!C53)*('Motivos De Parada'!G:G=Disponibilidade!G53)*('Motivos De Parada'!D:D=Disponibilidade!E53),0)),"-")</f>
        <v>-</v>
      </c>
      <c r="G53" s="11" t="str">
        <f>IFERROR(VLOOKUP(D53,Cadastros!A:B,2,FALSE),"-")</f>
        <v>FELLER BUNCHER 2</v>
      </c>
      <c r="H53" s="11" t="str">
        <f>IFERROR(VLOOKUP(G53,Cadastros!B:D,3,FALSE),"-")</f>
        <v>CORTE</v>
      </c>
      <c r="I53" s="9" t="s">
        <v>20</v>
      </c>
      <c r="J53" s="26">
        <f>IFERROR(MAX(0,1 - (SUMIFS('Motivos De Parada'!K:K,'Motivos De Parada'!G:G,Disponibilidade!G53,'Motivos De Parada'!H:H,Disponibilidade!H53,'Motivos De Parada'!O:O,Disponibilidade!I53,'Motivos De Parada'!E:E,Disponibilidade!C53,'Motivos De Parada'!D:D,Disponibilidade!E53) / 24)),"-")</f>
        <v>1</v>
      </c>
      <c r="K53" s="24" cm="1">
        <f t="array" ref="K53">IFERROR(INDEX('Metas DM &amp; DO'!$A:$AAD,MATCH(Disponibilidade!$G53,'Metas DM &amp; DO'!$A:$A,0),MATCH(Disponibilidade!$I53,'Metas DM &amp; DO'!$1:$1,0)+1),"-")</f>
        <v>1</v>
      </c>
      <c r="L53" s="24" cm="1">
        <f t="array" ref="L53">IFERROR(INDEX('Metas DM &amp; DO'!$A:$AAD,MATCH(Disponibilidade!$G53,'Metas DM &amp; DO'!$A:$A,0),MATCH(Disponibilidade!$I53,'Metas DM &amp; DO'!$1:$1,0)+2),"-")</f>
        <v>1</v>
      </c>
      <c r="M53" s="24" t="str" cm="1">
        <f t="array" ref="M53">IFERROR(INDEX('Metas DM &amp; DO'!$A:$AAD,MATCH(Disponibilidade!$G53,'Metas DM &amp; DO'!$A:$A,0),MATCH(Disponibilidade!$I53,'Metas DM &amp; DO'!$1:$1,0)+3),"-")</f>
        <v>-</v>
      </c>
      <c r="N53" s="11" t="str">
        <f>IFERROR(IF(J53&lt;K53,"RUIM",IF(AND(J53&gt;=K53,J53&lt;L53),"MEDIA",IF(AND(J53&gt;=L53,J53&lt;M53),"BOA","-"))),"-")</f>
        <v>BOA</v>
      </c>
      <c r="O53" s="9" t="s">
        <v>19</v>
      </c>
      <c r="P53" s="26">
        <f>IFERROR(MAX(0,1 - (SUMIFS('Motivos De Parada'!K:K,'Motivos De Parada'!G:G,Disponibilidade!G53,'Motivos De Parada'!H:H,Disponibilidade!H53,'Motivos De Parada'!O:O,Disponibilidade!O53,'Motivos De Parada'!E:E,Disponibilidade!C53,'Motivos De Parada'!D:D,Disponibilidade!E53) / 24)),"-")</f>
        <v>1</v>
      </c>
      <c r="Q53" s="24" cm="1">
        <f t="array" ref="Q53">IFERROR(INDEX('Metas DM &amp; DO'!$A:$AAD,MATCH(Disponibilidade!$G53,'Metas DM &amp; DO'!$A:$A,0),MATCH(Disponibilidade!$O53,'Metas DM &amp; DO'!$1:$1,0)+1),"-")</f>
        <v>0.11999999999999977</v>
      </c>
      <c r="R53" s="24" cm="1">
        <f t="array" ref="R53">IFERROR(INDEX('Metas DM &amp; DO'!$A:$AAD,MATCH(Disponibilidade!$G53,'Metas DM &amp; DO'!$A:$A,0),MATCH(Disponibilidade!$O53,'Metas DM &amp; DO'!$1:$1,0)+2),"-")</f>
        <v>0.2584269662921348</v>
      </c>
      <c r="S53" s="24" cm="1">
        <f t="array" ref="S53">IFERROR(INDEX('Metas DM &amp; DO'!$A:$AAD,MATCH(Disponibilidade!$G53,'Metas DM &amp; DO'!$A:$A,0),MATCH(Disponibilidade!$O53,'Metas DM &amp; DO'!$1:$1,0)+3),"-")</f>
        <v>0.58333333333333348</v>
      </c>
      <c r="T53" s="11" t="str">
        <f t="shared" si="57"/>
        <v>-</v>
      </c>
      <c r="U53" s="9" t="s">
        <v>59</v>
      </c>
      <c r="V53" s="16">
        <f>IFERROR(SUMIFS('Motivos De Parada'!K:K,'Motivos De Parada'!G:G,Disponibilidade!G53,'Motivos De Parada'!H:H,Disponibilidade!H53,'Motivos De Parada'!O:O,Disponibilidade!I53,'Motivos De Parada'!E:E,Disponibilidade!C53,'Motivos De Parada'!D:D,Disponibilidade!E53),"-")</f>
        <v>0</v>
      </c>
      <c r="W53" s="16">
        <f>IFERROR(SUMIFS('Motivos De Parada'!K:K,'Motivos De Parada'!G:G,Disponibilidade!G53,'Motivos De Parada'!H:H,Disponibilidade!H53,'Motivos De Parada'!O:O,Disponibilidade!O53,'Motivos De Parada'!E:E,Disponibilidade!C53,'Motivos De Parada'!D:D,Disponibilidade!E53),"-")</f>
        <v>0</v>
      </c>
      <c r="X53" s="16">
        <f t="shared" si="58"/>
        <v>0</v>
      </c>
      <c r="Y53" s="16">
        <f>IFERROR(SUMIFS('Motivos De Parada'!K:K,'Motivos De Parada'!G:G,Disponibilidade!G53,'Motivos De Parada'!H:H,Disponibilidade!H53,'Motivos De Parada'!E:E,Disponibilidade!C53,'Motivos De Parada'!D:D,Disponibilidade!E53),"-")</f>
        <v>0</v>
      </c>
      <c r="Z53" s="28" t="str">
        <f t="shared" si="85"/>
        <v>OK</v>
      </c>
      <c r="AA53" s="16">
        <f t="shared" si="59"/>
        <v>0</v>
      </c>
      <c r="AB53" s="16">
        <f>IFERROR(SUMIFS('Motivos De Parada'!K:K,'Motivos De Parada'!G:G,Disponibilidade!G53,'Motivos De Parada'!H:H,Disponibilidade!H53,'Motivos De Parada'!E:E,Disponibilidade!C53,'Motivos De Parada'!D:D,Disponibilidade!E53,'Motivos De Parada'!M:M,"REFEIÇÃO"),"-")</f>
        <v>0</v>
      </c>
      <c r="AC53" s="16">
        <f t="shared" si="60"/>
        <v>0</v>
      </c>
      <c r="AD53" s="28" t="str">
        <f t="shared" si="86"/>
        <v>OK</v>
      </c>
      <c r="AE53" s="16" cm="1">
        <f t="array" ref="AE53">IFERROR(SUM(SUMIFS('Motivos De Parada'!K:K,'Motivos De Parada'!G:G,Disponibilidade!G53,'Motivos De Parada'!H:H,Disponibilidade!H53,'Motivos De Parada'!E:E,Disponibilidade!C53,'Motivos De Parada'!D:D,Disponibilidade!E53,'Motivos De Parada'!O:O,{"DISPONIBILIDADE MECÂNICA";"DISPONIBILIDADE OPERACIONAL"},'Motivos De Parada'!P:P,"NÃO")),"-")</f>
        <v>0</v>
      </c>
      <c r="AF53" s="16" cm="1">
        <f t="array" ref="AF53">IFERROR(SUM(SUMIFS('Motivos De Parada'!K:K,'Motivos De Parada'!G:G,Disponibilidade!G53,'Motivos De Parada'!H:H,Disponibilidade!H53,'Motivos De Parada'!E:E,Disponibilidade!C53,'Motivos De Parada'!D:D,Disponibilidade!E53,'Motivos De Parada'!O:O,{"DISPONIBILIDADE MECÂNICA";"DISPONIBILIDADE OPERACIONAL"},'Motivos De Parada'!P:P,"SIM")),"-")</f>
        <v>0</v>
      </c>
      <c r="AG53" s="16">
        <f t="shared" si="61"/>
        <v>0</v>
      </c>
      <c r="AH53" s="28" t="str">
        <f t="shared" si="87"/>
        <v>OK</v>
      </c>
      <c r="AI53" s="16" cm="1">
        <f t="array" ref="AI53">IFERROR(INDEX('Metas DM &amp; DO'!$A:$AAD,MATCH(Disponibilidade!$G53,'Metas DM &amp; DO'!$A:$A,0),MATCH(Disponibilidade!$U53,'Metas DM &amp; DO'!$1:$1,0)+2),"-")</f>
        <v>5.2800000000000011</v>
      </c>
      <c r="AJ53" s="16" cm="1">
        <f t="array" ref="AJ53">IFERROR(INDEX('Metas DM &amp; DO'!$A:$AAD,MATCH(Disponibilidade!$G53,'Metas DM &amp; DO'!$A:$A,0),MATCH(Disponibilidade!$U53,'Metas DM &amp; DO'!$1:$1,0)+3),"-")</f>
        <v>4.4494382022471912</v>
      </c>
      <c r="AK53" s="16" cm="1">
        <f t="array" ref="AK53">IFERROR(INDEX('Metas DM &amp; DO'!$A:$AAD,MATCH(Disponibilidade!$G53,'Metas DM &amp; DO'!$A:$A,0),MATCH(Disponibilidade!$U53,'Metas DM &amp; DO'!$1:$1,0)+4),"-")</f>
        <v>9</v>
      </c>
      <c r="AL53" s="11" t="str">
        <f t="shared" si="62"/>
        <v>EXCELENTE</v>
      </c>
    </row>
    <row r="54" spans="1:38" x14ac:dyDescent="0.3">
      <c r="A54" s="11">
        <f t="shared" si="63"/>
        <v>2026</v>
      </c>
      <c r="B54" s="12">
        <f t="shared" si="64"/>
        <v>46023</v>
      </c>
      <c r="C54" s="19">
        <v>46027</v>
      </c>
      <c r="D54" s="3" t="s">
        <v>124</v>
      </c>
      <c r="E54" s="11" t="s">
        <v>80</v>
      </c>
      <c r="F54" s="11" t="str" cm="1">
        <f t="array" ref="F54">IFERROR(INDEX('Motivos De Parada'!C:C,MATCH(1,('Motivos De Parada'!E:E=Disponibilidade!C54)*('Motivos De Parada'!G:G=Disponibilidade!G54)*('Motivos De Parada'!D:D=Disponibilidade!E54),0)),"-")</f>
        <v>-</v>
      </c>
      <c r="G54" s="11" t="str">
        <f>IFERROR(VLOOKUP(D54,Cadastros!A:B,2,FALSE),"-")</f>
        <v>SKIDDER 1</v>
      </c>
      <c r="H54" s="11" t="str">
        <f>IFERROR(VLOOKUP(G54,Cadastros!B:D,3,FALSE),"-")</f>
        <v>ARRASTE</v>
      </c>
      <c r="I54" s="9" t="s">
        <v>20</v>
      </c>
      <c r="J54" s="26">
        <f>IFERROR(MAX(0,1 - (SUMIFS('Motivos De Parada'!K:K,'Motivos De Parada'!G:G,Disponibilidade!G54,'Motivos De Parada'!H:H,Disponibilidade!H54,'Motivos De Parada'!O:O,Disponibilidade!I54,'Motivos De Parada'!E:E,Disponibilidade!C54,'Motivos De Parada'!D:D,Disponibilidade!E54) / 24)),"-")</f>
        <v>1</v>
      </c>
      <c r="K54" s="24" t="str" cm="1">
        <f t="array" ref="K54">IFERROR(INDEX('Metas DM &amp; DO'!$A:$AAD,MATCH(Disponibilidade!$G54,'Metas DM &amp; DO'!$A:$A,0),MATCH(Disponibilidade!$I54,'Metas DM &amp; DO'!$1:$1,0)+1),"-")</f>
        <v>-</v>
      </c>
      <c r="L54" s="24" t="str" cm="1">
        <f t="array" ref="L54">IFERROR(INDEX('Metas DM &amp; DO'!$A:$AAD,MATCH(Disponibilidade!$G54,'Metas DM &amp; DO'!$A:$A,0),MATCH(Disponibilidade!$I54,'Metas DM &amp; DO'!$1:$1,0)+2),"-")</f>
        <v>-</v>
      </c>
      <c r="M54" s="24" t="str" cm="1">
        <f t="array" ref="M54">IFERROR(INDEX('Metas DM &amp; DO'!$A:$AAD,MATCH(Disponibilidade!$G54,'Metas DM &amp; DO'!$A:$A,0),MATCH(Disponibilidade!$I54,'Metas DM &amp; DO'!$1:$1,0)+3),"-")</f>
        <v>-</v>
      </c>
      <c r="N54" s="11" t="str">
        <f t="shared" ref="N54:N60" si="88">IFERROR(IF(J54&lt;K54,"RUIM",IF(AND(J54&gt;=K54,J54&lt;L54),"MEDIA",IF(AND(J54&gt;=L54,J54&lt;M54),"BOA","-"))),"-")</f>
        <v>RUIM</v>
      </c>
      <c r="O54" s="9" t="s">
        <v>19</v>
      </c>
      <c r="P54" s="26">
        <f>IFERROR(MAX(0,1 - (SUMIFS('Motivos De Parada'!K:K,'Motivos De Parada'!G:G,Disponibilidade!G54,'Motivos De Parada'!H:H,Disponibilidade!H54,'Motivos De Parada'!O:O,Disponibilidade!O54,'Motivos De Parada'!E:E,Disponibilidade!C54,'Motivos De Parada'!D:D,Disponibilidade!E54) / 24)),"-")</f>
        <v>1</v>
      </c>
      <c r="Q54" s="24" t="str" cm="1">
        <f t="array" ref="Q54">IFERROR(INDEX('Metas DM &amp; DO'!$A:$AAD,MATCH(Disponibilidade!$G54,'Metas DM &amp; DO'!$A:$A,0),MATCH(Disponibilidade!$O54,'Metas DM &amp; DO'!$1:$1,0)+1),"-")</f>
        <v>-</v>
      </c>
      <c r="R54" s="24" t="str" cm="1">
        <f t="array" ref="R54">IFERROR(INDEX('Metas DM &amp; DO'!$A:$AAD,MATCH(Disponibilidade!$G54,'Metas DM &amp; DO'!$A:$A,0),MATCH(Disponibilidade!$O54,'Metas DM &amp; DO'!$1:$1,0)+2),"-")</f>
        <v>-</v>
      </c>
      <c r="S54" s="24" t="str" cm="1">
        <f t="array" ref="S54">IFERROR(INDEX('Metas DM &amp; DO'!$A:$AAD,MATCH(Disponibilidade!$G54,'Metas DM &amp; DO'!$A:$A,0),MATCH(Disponibilidade!$O54,'Metas DM &amp; DO'!$1:$1,0)+3),"-")</f>
        <v>-</v>
      </c>
      <c r="T54" s="11" t="str">
        <f t="shared" si="57"/>
        <v>RUIM</v>
      </c>
      <c r="U54" s="9" t="s">
        <v>59</v>
      </c>
      <c r="V54" s="16">
        <f>IFERROR(SUMIFS('Motivos De Parada'!K:K,'Motivos De Parada'!G:G,Disponibilidade!G54,'Motivos De Parada'!H:H,Disponibilidade!H54,'Motivos De Parada'!O:O,Disponibilidade!I54,'Motivos De Parada'!E:E,Disponibilidade!C54,'Motivos De Parada'!D:D,Disponibilidade!E54),"-")</f>
        <v>0</v>
      </c>
      <c r="W54" s="16">
        <f>IFERROR(SUMIFS('Motivos De Parada'!K:K,'Motivos De Parada'!G:G,Disponibilidade!G54,'Motivos De Parada'!H:H,Disponibilidade!H54,'Motivos De Parada'!O:O,Disponibilidade!O54,'Motivos De Parada'!E:E,Disponibilidade!C54,'Motivos De Parada'!D:D,Disponibilidade!E54),"-")</f>
        <v>0</v>
      </c>
      <c r="X54" s="16">
        <f t="shared" si="58"/>
        <v>0</v>
      </c>
      <c r="Y54" s="16">
        <f>IFERROR(SUMIFS('Motivos De Parada'!K:K,'Motivos De Parada'!G:G,Disponibilidade!G54,'Motivos De Parada'!H:H,Disponibilidade!H54,'Motivos De Parada'!E:E,Disponibilidade!C54,'Motivos De Parada'!D:D,Disponibilidade!E54),"-")</f>
        <v>0</v>
      </c>
      <c r="Z54" s="28" t="str">
        <f t="shared" si="85"/>
        <v>OK</v>
      </c>
      <c r="AA54" s="16">
        <f t="shared" si="59"/>
        <v>0</v>
      </c>
      <c r="AB54" s="16">
        <f>IFERROR(SUMIFS('Motivos De Parada'!K:K,'Motivos De Parada'!G:G,Disponibilidade!G54,'Motivos De Parada'!H:H,Disponibilidade!H54,'Motivos De Parada'!E:E,Disponibilidade!C54,'Motivos De Parada'!D:D,Disponibilidade!E54,'Motivos De Parada'!M:M,"REFEIÇÃO"),"-")</f>
        <v>0</v>
      </c>
      <c r="AC54" s="16">
        <f t="shared" si="60"/>
        <v>0</v>
      </c>
      <c r="AD54" s="28" t="str">
        <f t="shared" si="86"/>
        <v>OK</v>
      </c>
      <c r="AE54" s="16" cm="1">
        <f t="array" ref="AE54">IFERROR(SUM(SUMIFS('Motivos De Parada'!K:K,'Motivos De Parada'!G:G,Disponibilidade!G54,'Motivos De Parada'!H:H,Disponibilidade!H54,'Motivos De Parada'!E:E,Disponibilidade!C54,'Motivos De Parada'!D:D,Disponibilidade!E54,'Motivos De Parada'!O:O,{"DISPONIBILIDADE MECÂNICA";"DISPONIBILIDADE OPERACIONAL"},'Motivos De Parada'!P:P,"NÃO")),"-")</f>
        <v>0</v>
      </c>
      <c r="AF54" s="16" cm="1">
        <f t="array" ref="AF54">IFERROR(SUM(SUMIFS('Motivos De Parada'!K:K,'Motivos De Parada'!G:G,Disponibilidade!G54,'Motivos De Parada'!H:H,Disponibilidade!H54,'Motivos De Parada'!E:E,Disponibilidade!C54,'Motivos De Parada'!D:D,Disponibilidade!E54,'Motivos De Parada'!O:O,{"DISPONIBILIDADE MECÂNICA";"DISPONIBILIDADE OPERACIONAL"},'Motivos De Parada'!P:P,"SIM")),"-")</f>
        <v>0</v>
      </c>
      <c r="AG54" s="16">
        <f t="shared" si="61"/>
        <v>0</v>
      </c>
      <c r="AH54" s="28" t="str">
        <f t="shared" si="87"/>
        <v>OK</v>
      </c>
      <c r="AI54" s="16" t="str" cm="1">
        <f t="array" ref="AI54">IFERROR(INDEX('Metas DM &amp; DO'!$A:$AAD,MATCH(Disponibilidade!$G54,'Metas DM &amp; DO'!$A:$A,0),MATCH(Disponibilidade!$U54,'Metas DM &amp; DO'!$1:$1,0)+2),"-")</f>
        <v>-</v>
      </c>
      <c r="AJ54" s="16" t="str" cm="1">
        <f t="array" ref="AJ54">IFERROR(INDEX('Metas DM &amp; DO'!$A:$AAD,MATCH(Disponibilidade!$G54,'Metas DM &amp; DO'!$A:$A,0),MATCH(Disponibilidade!$U54,'Metas DM &amp; DO'!$1:$1,0)+3),"-")</f>
        <v>-</v>
      </c>
      <c r="AK54" s="16" t="str" cm="1">
        <f t="array" ref="AK54">IFERROR(INDEX('Metas DM &amp; DO'!$A:$AAD,MATCH(Disponibilidade!$G54,'Metas DM &amp; DO'!$A:$A,0),MATCH(Disponibilidade!$U54,'Metas DM &amp; DO'!$1:$1,0)+4),"-")</f>
        <v>-</v>
      </c>
      <c r="AL54" s="11" t="str">
        <f t="shared" si="62"/>
        <v>EXCELENTE</v>
      </c>
    </row>
    <row r="55" spans="1:38" x14ac:dyDescent="0.3">
      <c r="A55" s="11">
        <f t="shared" si="63"/>
        <v>2026</v>
      </c>
      <c r="B55" s="12">
        <f t="shared" si="64"/>
        <v>46023</v>
      </c>
      <c r="C55" s="19">
        <v>46027</v>
      </c>
      <c r="D55" s="3" t="s">
        <v>124</v>
      </c>
      <c r="E55" s="11" t="s">
        <v>81</v>
      </c>
      <c r="F55" s="11" t="str" cm="1">
        <f t="array" ref="F55">IFERROR(INDEX('Motivos De Parada'!C:C,MATCH(1,('Motivos De Parada'!E:E=Disponibilidade!C55)*('Motivos De Parada'!G:G=Disponibilidade!G55)*('Motivos De Parada'!D:D=Disponibilidade!E55),0)),"-")</f>
        <v>-</v>
      </c>
      <c r="G55" s="11" t="str">
        <f>IFERROR(VLOOKUP(D55,Cadastros!A:B,2,FALSE),"-")</f>
        <v>SKIDDER 1</v>
      </c>
      <c r="H55" s="11" t="str">
        <f>IFERROR(VLOOKUP(G55,Cadastros!B:D,3,FALSE),"-")</f>
        <v>ARRASTE</v>
      </c>
      <c r="I55" s="9" t="s">
        <v>20</v>
      </c>
      <c r="J55" s="26">
        <f>IFERROR(MAX(0,1 - (SUMIFS('Motivos De Parada'!K:K,'Motivos De Parada'!G:G,Disponibilidade!G55,'Motivos De Parada'!H:H,Disponibilidade!H55,'Motivos De Parada'!O:O,Disponibilidade!I55,'Motivos De Parada'!E:E,Disponibilidade!C55,'Motivos De Parada'!D:D,Disponibilidade!E55) / 24)),"-")</f>
        <v>1</v>
      </c>
      <c r="K55" s="24" t="str" cm="1">
        <f t="array" ref="K55">IFERROR(INDEX('Metas DM &amp; DO'!$A:$AAD,MATCH(Disponibilidade!$G55,'Metas DM &amp; DO'!$A:$A,0),MATCH(Disponibilidade!$I55,'Metas DM &amp; DO'!$1:$1,0)+1),"-")</f>
        <v>-</v>
      </c>
      <c r="L55" s="24" t="str" cm="1">
        <f t="array" ref="L55">IFERROR(INDEX('Metas DM &amp; DO'!$A:$AAD,MATCH(Disponibilidade!$G55,'Metas DM &amp; DO'!$A:$A,0),MATCH(Disponibilidade!$I55,'Metas DM &amp; DO'!$1:$1,0)+2),"-")</f>
        <v>-</v>
      </c>
      <c r="M55" s="24" t="str" cm="1">
        <f t="array" ref="M55">IFERROR(INDEX('Metas DM &amp; DO'!$A:$AAD,MATCH(Disponibilidade!$G55,'Metas DM &amp; DO'!$A:$A,0),MATCH(Disponibilidade!$I55,'Metas DM &amp; DO'!$1:$1,0)+3),"-")</f>
        <v>-</v>
      </c>
      <c r="N55" s="11" t="str">
        <f t="shared" si="88"/>
        <v>RUIM</v>
      </c>
      <c r="O55" s="9" t="s">
        <v>19</v>
      </c>
      <c r="P55" s="26">
        <f>IFERROR(MAX(0,1 - (SUMIFS('Motivos De Parada'!K:K,'Motivos De Parada'!G:G,Disponibilidade!G55,'Motivos De Parada'!H:H,Disponibilidade!H55,'Motivos De Parada'!O:O,Disponibilidade!O55,'Motivos De Parada'!E:E,Disponibilidade!C55,'Motivos De Parada'!D:D,Disponibilidade!E55) / 24)),"-")</f>
        <v>1</v>
      </c>
      <c r="Q55" s="24" t="str" cm="1">
        <f t="array" ref="Q55">IFERROR(INDEX('Metas DM &amp; DO'!$A:$AAD,MATCH(Disponibilidade!$G55,'Metas DM &amp; DO'!$A:$A,0),MATCH(Disponibilidade!$O55,'Metas DM &amp; DO'!$1:$1,0)+1),"-")</f>
        <v>-</v>
      </c>
      <c r="R55" s="24" t="str" cm="1">
        <f t="array" ref="R55">IFERROR(INDEX('Metas DM &amp; DO'!$A:$AAD,MATCH(Disponibilidade!$G55,'Metas DM &amp; DO'!$A:$A,0),MATCH(Disponibilidade!$O55,'Metas DM &amp; DO'!$1:$1,0)+2),"-")</f>
        <v>-</v>
      </c>
      <c r="S55" s="24" t="str" cm="1">
        <f t="array" ref="S55">IFERROR(INDEX('Metas DM &amp; DO'!$A:$AAD,MATCH(Disponibilidade!$G55,'Metas DM &amp; DO'!$A:$A,0),MATCH(Disponibilidade!$O55,'Metas DM &amp; DO'!$1:$1,0)+3),"-")</f>
        <v>-</v>
      </c>
      <c r="T55" s="11" t="str">
        <f t="shared" si="57"/>
        <v>RUIM</v>
      </c>
      <c r="U55" s="9" t="s">
        <v>59</v>
      </c>
      <c r="V55" s="16">
        <f>IFERROR(SUMIFS('Motivos De Parada'!K:K,'Motivos De Parada'!G:G,Disponibilidade!G55,'Motivos De Parada'!H:H,Disponibilidade!H55,'Motivos De Parada'!O:O,Disponibilidade!I55,'Motivos De Parada'!E:E,Disponibilidade!C55,'Motivos De Parada'!D:D,Disponibilidade!E55),"-")</f>
        <v>0</v>
      </c>
      <c r="W55" s="16">
        <f>IFERROR(SUMIFS('Motivos De Parada'!K:K,'Motivos De Parada'!G:G,Disponibilidade!G55,'Motivos De Parada'!H:H,Disponibilidade!H55,'Motivos De Parada'!O:O,Disponibilidade!O55,'Motivos De Parada'!E:E,Disponibilidade!C55,'Motivos De Parada'!D:D,Disponibilidade!E55),"-")</f>
        <v>0</v>
      </c>
      <c r="X55" s="16">
        <f t="shared" si="58"/>
        <v>0</v>
      </c>
      <c r="Y55" s="16">
        <f>IFERROR(SUMIFS('Motivos De Parada'!K:K,'Motivos De Parada'!G:G,Disponibilidade!G55,'Motivos De Parada'!H:H,Disponibilidade!H55,'Motivos De Parada'!E:E,Disponibilidade!C55,'Motivos De Parada'!D:D,Disponibilidade!E55),"-")</f>
        <v>0</v>
      </c>
      <c r="Z55" s="28" t="str">
        <f t="shared" si="85"/>
        <v>OK</v>
      </c>
      <c r="AA55" s="16">
        <f t="shared" si="59"/>
        <v>0</v>
      </c>
      <c r="AB55" s="16">
        <f>IFERROR(SUMIFS('Motivos De Parada'!K:K,'Motivos De Parada'!G:G,Disponibilidade!G55,'Motivos De Parada'!H:H,Disponibilidade!H55,'Motivos De Parada'!E:E,Disponibilidade!C55,'Motivos De Parada'!D:D,Disponibilidade!E55,'Motivos De Parada'!M:M,"REFEIÇÃO"),"-")</f>
        <v>0</v>
      </c>
      <c r="AC55" s="16">
        <f t="shared" si="60"/>
        <v>0</v>
      </c>
      <c r="AD55" s="28" t="str">
        <f t="shared" si="86"/>
        <v>OK</v>
      </c>
      <c r="AE55" s="16" cm="1">
        <f t="array" ref="AE55">IFERROR(SUM(SUMIFS('Motivos De Parada'!K:K,'Motivos De Parada'!G:G,Disponibilidade!G55,'Motivos De Parada'!H:H,Disponibilidade!H55,'Motivos De Parada'!E:E,Disponibilidade!C55,'Motivos De Parada'!D:D,Disponibilidade!E55,'Motivos De Parada'!O:O,{"DISPONIBILIDADE MECÂNICA";"DISPONIBILIDADE OPERACIONAL"},'Motivos De Parada'!P:P,"NÃO")),"-")</f>
        <v>0</v>
      </c>
      <c r="AF55" s="16" cm="1">
        <f t="array" ref="AF55">IFERROR(SUM(SUMIFS('Motivos De Parada'!K:K,'Motivos De Parada'!G:G,Disponibilidade!G55,'Motivos De Parada'!H:H,Disponibilidade!H55,'Motivos De Parada'!E:E,Disponibilidade!C55,'Motivos De Parada'!D:D,Disponibilidade!E55,'Motivos De Parada'!O:O,{"DISPONIBILIDADE MECÂNICA";"DISPONIBILIDADE OPERACIONAL"},'Motivos De Parada'!P:P,"SIM")),"-")</f>
        <v>0</v>
      </c>
      <c r="AG55" s="16">
        <f t="shared" si="61"/>
        <v>0</v>
      </c>
      <c r="AH55" s="28" t="str">
        <f t="shared" si="87"/>
        <v>OK</v>
      </c>
      <c r="AI55" s="16" t="str" cm="1">
        <f t="array" ref="AI55">IFERROR(INDEX('Metas DM &amp; DO'!$A:$AAD,MATCH(Disponibilidade!$G55,'Metas DM &amp; DO'!$A:$A,0),MATCH(Disponibilidade!$U55,'Metas DM &amp; DO'!$1:$1,0)+2),"-")</f>
        <v>-</v>
      </c>
      <c r="AJ55" s="16" t="str" cm="1">
        <f t="array" ref="AJ55">IFERROR(INDEX('Metas DM &amp; DO'!$A:$AAD,MATCH(Disponibilidade!$G55,'Metas DM &amp; DO'!$A:$A,0),MATCH(Disponibilidade!$U55,'Metas DM &amp; DO'!$1:$1,0)+3),"-")</f>
        <v>-</v>
      </c>
      <c r="AK55" s="16" t="str" cm="1">
        <f t="array" ref="AK55">IFERROR(INDEX('Metas DM &amp; DO'!$A:$AAD,MATCH(Disponibilidade!$G55,'Metas DM &amp; DO'!$A:$A,0),MATCH(Disponibilidade!$U55,'Metas DM &amp; DO'!$1:$1,0)+4),"-")</f>
        <v>-</v>
      </c>
      <c r="AL55" s="11" t="str">
        <f t="shared" si="62"/>
        <v>EXCELENTE</v>
      </c>
    </row>
    <row r="56" spans="1:38" x14ac:dyDescent="0.3">
      <c r="A56" s="11">
        <f t="shared" si="63"/>
        <v>2026</v>
      </c>
      <c r="B56" s="12">
        <f t="shared" si="64"/>
        <v>46023</v>
      </c>
      <c r="C56" s="19">
        <v>46027</v>
      </c>
      <c r="D56" s="3" t="s">
        <v>126</v>
      </c>
      <c r="E56" s="11" t="s">
        <v>80</v>
      </c>
      <c r="F56" s="11" t="str" cm="1">
        <f t="array" ref="F56">IFERROR(INDEX('Motivos De Parada'!C:C,MATCH(1,('Motivos De Parada'!E:E=Disponibilidade!C56)*('Motivos De Parada'!G:G=Disponibilidade!G56)*('Motivos De Parada'!D:D=Disponibilidade!E56),0)),"-")</f>
        <v>-</v>
      </c>
      <c r="G56" s="11" t="str">
        <f>IFERROR(VLOOKUP(D56,Cadastros!A:B,2,FALSE),"-")</f>
        <v>SKIDDER 2</v>
      </c>
      <c r="H56" s="11" t="str">
        <f>IFERROR(VLOOKUP(G56,Cadastros!B:D,3,FALSE),"-")</f>
        <v>ARRASTE</v>
      </c>
      <c r="I56" s="9" t="s">
        <v>20</v>
      </c>
      <c r="J56" s="26">
        <f>IFERROR(MAX(0,1 - (SUMIFS('Motivos De Parada'!K:K,'Motivos De Parada'!G:G,Disponibilidade!G56,'Motivos De Parada'!H:H,Disponibilidade!H56,'Motivos De Parada'!O:O,Disponibilidade!I56,'Motivos De Parada'!E:E,Disponibilidade!C56,'Motivos De Parada'!D:D,Disponibilidade!E56) / 24)),"-")</f>
        <v>1</v>
      </c>
      <c r="K56" s="24" cm="1">
        <f t="array" ref="K56">IFERROR(INDEX('Metas DM &amp; DO'!$A:$AAD,MATCH(Disponibilidade!$G56,'Metas DM &amp; DO'!$A:$A,0),MATCH(Disponibilidade!$I56,'Metas DM &amp; DO'!$1:$1,0)+1),"-")</f>
        <v>0.5</v>
      </c>
      <c r="L56" s="24" cm="1">
        <f t="array" ref="L56">IFERROR(INDEX('Metas DM &amp; DO'!$A:$AAD,MATCH(Disponibilidade!$G56,'Metas DM &amp; DO'!$A:$A,0),MATCH(Disponibilidade!$I56,'Metas DM &amp; DO'!$1:$1,0)+2),"-")</f>
        <v>0.5</v>
      </c>
      <c r="M56" s="24" cm="1">
        <f t="array" ref="M56">IFERROR(INDEX('Metas DM &amp; DO'!$A:$AAD,MATCH(Disponibilidade!$G56,'Metas DM &amp; DO'!$A:$A,0),MATCH(Disponibilidade!$I56,'Metas DM &amp; DO'!$1:$1,0)+3),"-")</f>
        <v>0.5</v>
      </c>
      <c r="N56" s="11" t="str">
        <f t="shared" si="88"/>
        <v>-</v>
      </c>
      <c r="O56" s="9" t="s">
        <v>19</v>
      </c>
      <c r="P56" s="26">
        <f>IFERROR(MAX(0,1 - (SUMIFS('Motivos De Parada'!K:K,'Motivos De Parada'!G:G,Disponibilidade!G56,'Motivos De Parada'!H:H,Disponibilidade!H56,'Motivos De Parada'!O:O,Disponibilidade!O56,'Motivos De Parada'!E:E,Disponibilidade!C56,'Motivos De Parada'!D:D,Disponibilidade!E56) / 24)),"-")</f>
        <v>1</v>
      </c>
      <c r="Q56" s="24" cm="1">
        <f t="array" ref="Q56">IFERROR(INDEX('Metas DM &amp; DO'!$A:$AAD,MATCH(Disponibilidade!$G56,'Metas DM &amp; DO'!$A:$A,0),MATCH(Disponibilidade!$O56,'Metas DM &amp; DO'!$1:$1,0)+1),"-")</f>
        <v>0.5</v>
      </c>
      <c r="R56" s="24" cm="1">
        <f t="array" ref="R56">IFERROR(INDEX('Metas DM &amp; DO'!$A:$AAD,MATCH(Disponibilidade!$G56,'Metas DM &amp; DO'!$A:$A,0),MATCH(Disponibilidade!$O56,'Metas DM &amp; DO'!$1:$1,0)+2),"-")</f>
        <v>0.5</v>
      </c>
      <c r="S56" s="24" cm="1">
        <f t="array" ref="S56">IFERROR(INDEX('Metas DM &amp; DO'!$A:$AAD,MATCH(Disponibilidade!$G56,'Metas DM &amp; DO'!$A:$A,0),MATCH(Disponibilidade!$O56,'Metas DM &amp; DO'!$1:$1,0)+3),"-")</f>
        <v>0.5</v>
      </c>
      <c r="T56" s="11" t="str">
        <f t="shared" si="57"/>
        <v>-</v>
      </c>
      <c r="U56" s="9" t="s">
        <v>59</v>
      </c>
      <c r="V56" s="16">
        <f>IFERROR(SUMIFS('Motivos De Parada'!K:K,'Motivos De Parada'!G:G,Disponibilidade!G56,'Motivos De Parada'!H:H,Disponibilidade!H56,'Motivos De Parada'!O:O,Disponibilidade!I56,'Motivos De Parada'!E:E,Disponibilidade!C56,'Motivos De Parada'!D:D,Disponibilidade!E56),"-")</f>
        <v>0</v>
      </c>
      <c r="W56" s="16">
        <f>IFERROR(SUMIFS('Motivos De Parada'!K:K,'Motivos De Parada'!G:G,Disponibilidade!G56,'Motivos De Parada'!H:H,Disponibilidade!H56,'Motivos De Parada'!O:O,Disponibilidade!O56,'Motivos De Parada'!E:E,Disponibilidade!C56,'Motivos De Parada'!D:D,Disponibilidade!E56),"-")</f>
        <v>0</v>
      </c>
      <c r="X56" s="16">
        <f t="shared" si="58"/>
        <v>0</v>
      </c>
      <c r="Y56" s="16">
        <f>IFERROR(SUMIFS('Motivos De Parada'!K:K,'Motivos De Parada'!G:G,Disponibilidade!G56,'Motivos De Parada'!H:H,Disponibilidade!H56,'Motivos De Parada'!E:E,Disponibilidade!C56,'Motivos De Parada'!D:D,Disponibilidade!E56),"-")</f>
        <v>0</v>
      </c>
      <c r="Z56" s="28" t="str">
        <f t="shared" si="85"/>
        <v>OK</v>
      </c>
      <c r="AA56" s="16">
        <f t="shared" si="59"/>
        <v>0</v>
      </c>
      <c r="AB56" s="16">
        <f>IFERROR(SUMIFS('Motivos De Parada'!K:K,'Motivos De Parada'!G:G,Disponibilidade!G56,'Motivos De Parada'!H:H,Disponibilidade!H56,'Motivos De Parada'!E:E,Disponibilidade!C56,'Motivos De Parada'!D:D,Disponibilidade!E56,'Motivos De Parada'!M:M,"REFEIÇÃO"),"-")</f>
        <v>0</v>
      </c>
      <c r="AC56" s="16">
        <f t="shared" si="60"/>
        <v>0</v>
      </c>
      <c r="AD56" s="28" t="str">
        <f t="shared" si="86"/>
        <v>OK</v>
      </c>
      <c r="AE56" s="16" cm="1">
        <f t="array" ref="AE56">IFERROR(SUM(SUMIFS('Motivos De Parada'!K:K,'Motivos De Parada'!G:G,Disponibilidade!G56,'Motivos De Parada'!H:H,Disponibilidade!H56,'Motivos De Parada'!E:E,Disponibilidade!C56,'Motivos De Parada'!D:D,Disponibilidade!E56,'Motivos De Parada'!O:O,{"DISPONIBILIDADE MECÂNICA";"DISPONIBILIDADE OPERACIONAL"},'Motivos De Parada'!P:P,"NÃO")),"-")</f>
        <v>0</v>
      </c>
      <c r="AF56" s="16" cm="1">
        <f t="array" ref="AF56">IFERROR(SUM(SUMIFS('Motivos De Parada'!K:K,'Motivos De Parada'!G:G,Disponibilidade!G56,'Motivos De Parada'!H:H,Disponibilidade!H56,'Motivos De Parada'!E:E,Disponibilidade!C56,'Motivos De Parada'!D:D,Disponibilidade!E56,'Motivos De Parada'!O:O,{"DISPONIBILIDADE MECÂNICA";"DISPONIBILIDADE OPERACIONAL"},'Motivos De Parada'!P:P,"SIM")),"-")</f>
        <v>0</v>
      </c>
      <c r="AG56" s="16">
        <f t="shared" si="61"/>
        <v>0</v>
      </c>
      <c r="AH56" s="28" t="str">
        <f t="shared" si="87"/>
        <v>OK</v>
      </c>
      <c r="AI56" s="16" cm="1">
        <f t="array" ref="AI56">IFERROR(INDEX('Metas DM &amp; DO'!$A:$AAD,MATCH(Disponibilidade!$G56,'Metas DM &amp; DO'!$A:$A,0),MATCH(Disponibilidade!$U56,'Metas DM &amp; DO'!$1:$1,0)+2),"-")</f>
        <v>12</v>
      </c>
      <c r="AJ56" s="16" cm="1">
        <f t="array" ref="AJ56">IFERROR(INDEX('Metas DM &amp; DO'!$A:$AAD,MATCH(Disponibilidade!$G56,'Metas DM &amp; DO'!$A:$A,0),MATCH(Disponibilidade!$U56,'Metas DM &amp; DO'!$1:$1,0)+3),"-")</f>
        <v>12</v>
      </c>
      <c r="AK56" s="16" cm="1">
        <f t="array" ref="AK56">IFERROR(INDEX('Metas DM &amp; DO'!$A:$AAD,MATCH(Disponibilidade!$G56,'Metas DM &amp; DO'!$A:$A,0),MATCH(Disponibilidade!$U56,'Metas DM &amp; DO'!$1:$1,0)+4),"-")</f>
        <v>12</v>
      </c>
      <c r="AL56" s="11" t="str">
        <f t="shared" si="62"/>
        <v>EXCELENTE</v>
      </c>
    </row>
    <row r="57" spans="1:38" x14ac:dyDescent="0.3">
      <c r="A57" s="11">
        <f t="shared" si="63"/>
        <v>2026</v>
      </c>
      <c r="B57" s="12">
        <f t="shared" si="64"/>
        <v>46023</v>
      </c>
      <c r="C57" s="19">
        <v>46027</v>
      </c>
      <c r="D57" s="3" t="s">
        <v>126</v>
      </c>
      <c r="E57" s="11" t="s">
        <v>81</v>
      </c>
      <c r="F57" s="11" t="str" cm="1">
        <f t="array" ref="F57">IFERROR(INDEX('Motivos De Parada'!C:C,MATCH(1,('Motivos De Parada'!E:E=Disponibilidade!C57)*('Motivos De Parada'!G:G=Disponibilidade!G57)*('Motivos De Parada'!D:D=Disponibilidade!E57),0)),"-")</f>
        <v>-</v>
      </c>
      <c r="G57" s="11" t="str">
        <f>IFERROR(VLOOKUP(D57,Cadastros!A:B,2,FALSE),"-")</f>
        <v>SKIDDER 2</v>
      </c>
      <c r="H57" s="11" t="str">
        <f>IFERROR(VLOOKUP(G57,Cadastros!B:D,3,FALSE),"-")</f>
        <v>ARRASTE</v>
      </c>
      <c r="I57" s="9" t="s">
        <v>20</v>
      </c>
      <c r="J57" s="26">
        <f>IFERROR(MAX(0,1 - (SUMIFS('Motivos De Parada'!K:K,'Motivos De Parada'!G:G,Disponibilidade!G57,'Motivos De Parada'!H:H,Disponibilidade!H57,'Motivos De Parada'!O:O,Disponibilidade!I57,'Motivos De Parada'!E:E,Disponibilidade!C57,'Motivos De Parada'!D:D,Disponibilidade!E57) / 24)),"-")</f>
        <v>1</v>
      </c>
      <c r="K57" s="24" cm="1">
        <f t="array" ref="K57">IFERROR(INDEX('Metas DM &amp; DO'!$A:$AAD,MATCH(Disponibilidade!$G57,'Metas DM &amp; DO'!$A:$A,0),MATCH(Disponibilidade!$I57,'Metas DM &amp; DO'!$1:$1,0)+1),"-")</f>
        <v>0.5</v>
      </c>
      <c r="L57" s="24" cm="1">
        <f t="array" ref="L57">IFERROR(INDEX('Metas DM &amp; DO'!$A:$AAD,MATCH(Disponibilidade!$G57,'Metas DM &amp; DO'!$A:$A,0),MATCH(Disponibilidade!$I57,'Metas DM &amp; DO'!$1:$1,0)+2),"-")</f>
        <v>0.5</v>
      </c>
      <c r="M57" s="24" cm="1">
        <f t="array" ref="M57">IFERROR(INDEX('Metas DM &amp; DO'!$A:$AAD,MATCH(Disponibilidade!$G57,'Metas DM &amp; DO'!$A:$A,0),MATCH(Disponibilidade!$I57,'Metas DM &amp; DO'!$1:$1,0)+3),"-")</f>
        <v>0.5</v>
      </c>
      <c r="N57" s="11" t="str">
        <f t="shared" si="88"/>
        <v>-</v>
      </c>
      <c r="O57" s="9" t="s">
        <v>19</v>
      </c>
      <c r="P57" s="26">
        <f>IFERROR(MAX(0,1 - (SUMIFS('Motivos De Parada'!K:K,'Motivos De Parada'!G:G,Disponibilidade!G57,'Motivos De Parada'!H:H,Disponibilidade!H57,'Motivos De Parada'!O:O,Disponibilidade!O57,'Motivos De Parada'!E:E,Disponibilidade!C57,'Motivos De Parada'!D:D,Disponibilidade!E57) / 24)),"-")</f>
        <v>1</v>
      </c>
      <c r="Q57" s="24" cm="1">
        <f t="array" ref="Q57">IFERROR(INDEX('Metas DM &amp; DO'!$A:$AAD,MATCH(Disponibilidade!$G57,'Metas DM &amp; DO'!$A:$A,0),MATCH(Disponibilidade!$O57,'Metas DM &amp; DO'!$1:$1,0)+1),"-")</f>
        <v>0.5</v>
      </c>
      <c r="R57" s="24" cm="1">
        <f t="array" ref="R57">IFERROR(INDEX('Metas DM &amp; DO'!$A:$AAD,MATCH(Disponibilidade!$G57,'Metas DM &amp; DO'!$A:$A,0),MATCH(Disponibilidade!$O57,'Metas DM &amp; DO'!$1:$1,0)+2),"-")</f>
        <v>0.5</v>
      </c>
      <c r="S57" s="24" cm="1">
        <f t="array" ref="S57">IFERROR(INDEX('Metas DM &amp; DO'!$A:$AAD,MATCH(Disponibilidade!$G57,'Metas DM &amp; DO'!$A:$A,0),MATCH(Disponibilidade!$O57,'Metas DM &amp; DO'!$1:$1,0)+3),"-")</f>
        <v>0.5</v>
      </c>
      <c r="T57" s="11" t="str">
        <f t="shared" si="57"/>
        <v>-</v>
      </c>
      <c r="U57" s="9" t="s">
        <v>59</v>
      </c>
      <c r="V57" s="16">
        <f>IFERROR(SUMIFS('Motivos De Parada'!K:K,'Motivos De Parada'!G:G,Disponibilidade!G57,'Motivos De Parada'!H:H,Disponibilidade!H57,'Motivos De Parada'!O:O,Disponibilidade!I57,'Motivos De Parada'!E:E,Disponibilidade!C57,'Motivos De Parada'!D:D,Disponibilidade!E57),"-")</f>
        <v>0</v>
      </c>
      <c r="W57" s="16">
        <f>IFERROR(SUMIFS('Motivos De Parada'!K:K,'Motivos De Parada'!G:G,Disponibilidade!G57,'Motivos De Parada'!H:H,Disponibilidade!H57,'Motivos De Parada'!O:O,Disponibilidade!O57,'Motivos De Parada'!E:E,Disponibilidade!C57,'Motivos De Parada'!D:D,Disponibilidade!E57),"-")</f>
        <v>0</v>
      </c>
      <c r="X57" s="16">
        <f t="shared" si="58"/>
        <v>0</v>
      </c>
      <c r="Y57" s="16">
        <f>IFERROR(SUMIFS('Motivos De Parada'!K:K,'Motivos De Parada'!G:G,Disponibilidade!G57,'Motivos De Parada'!H:H,Disponibilidade!H57,'Motivos De Parada'!E:E,Disponibilidade!C57,'Motivos De Parada'!D:D,Disponibilidade!E57),"-")</f>
        <v>0</v>
      </c>
      <c r="Z57" s="28" t="str">
        <f t="shared" si="85"/>
        <v>OK</v>
      </c>
      <c r="AA57" s="16">
        <f t="shared" si="59"/>
        <v>0</v>
      </c>
      <c r="AB57" s="16">
        <f>IFERROR(SUMIFS('Motivos De Parada'!K:K,'Motivos De Parada'!G:G,Disponibilidade!G57,'Motivos De Parada'!H:H,Disponibilidade!H57,'Motivos De Parada'!E:E,Disponibilidade!C57,'Motivos De Parada'!D:D,Disponibilidade!E57,'Motivos De Parada'!M:M,"REFEIÇÃO"),"-")</f>
        <v>0</v>
      </c>
      <c r="AC57" s="16">
        <f t="shared" si="60"/>
        <v>0</v>
      </c>
      <c r="AD57" s="28" t="str">
        <f t="shared" si="86"/>
        <v>OK</v>
      </c>
      <c r="AE57" s="16" cm="1">
        <f t="array" ref="AE57">IFERROR(SUM(SUMIFS('Motivos De Parada'!K:K,'Motivos De Parada'!G:G,Disponibilidade!G57,'Motivos De Parada'!H:H,Disponibilidade!H57,'Motivos De Parada'!E:E,Disponibilidade!C57,'Motivos De Parada'!D:D,Disponibilidade!E57,'Motivos De Parada'!O:O,{"DISPONIBILIDADE MECÂNICA";"DISPONIBILIDADE OPERACIONAL"},'Motivos De Parada'!P:P,"NÃO")),"-")</f>
        <v>0</v>
      </c>
      <c r="AF57" s="16" cm="1">
        <f t="array" ref="AF57">IFERROR(SUM(SUMIFS('Motivos De Parada'!K:K,'Motivos De Parada'!G:G,Disponibilidade!G57,'Motivos De Parada'!H:H,Disponibilidade!H57,'Motivos De Parada'!E:E,Disponibilidade!C57,'Motivos De Parada'!D:D,Disponibilidade!E57,'Motivos De Parada'!O:O,{"DISPONIBILIDADE MECÂNICA";"DISPONIBILIDADE OPERACIONAL"},'Motivos De Parada'!P:P,"SIM")),"-")</f>
        <v>0</v>
      </c>
      <c r="AG57" s="16">
        <f t="shared" si="61"/>
        <v>0</v>
      </c>
      <c r="AH57" s="28" t="str">
        <f t="shared" si="87"/>
        <v>OK</v>
      </c>
      <c r="AI57" s="16" cm="1">
        <f t="array" ref="AI57">IFERROR(INDEX('Metas DM &amp; DO'!$A:$AAD,MATCH(Disponibilidade!$G57,'Metas DM &amp; DO'!$A:$A,0),MATCH(Disponibilidade!$U57,'Metas DM &amp; DO'!$1:$1,0)+2),"-")</f>
        <v>12</v>
      </c>
      <c r="AJ57" s="16" cm="1">
        <f t="array" ref="AJ57">IFERROR(INDEX('Metas DM &amp; DO'!$A:$AAD,MATCH(Disponibilidade!$G57,'Metas DM &amp; DO'!$A:$A,0),MATCH(Disponibilidade!$U57,'Metas DM &amp; DO'!$1:$1,0)+3),"-")</f>
        <v>12</v>
      </c>
      <c r="AK57" s="16" cm="1">
        <f t="array" ref="AK57">IFERROR(INDEX('Metas DM &amp; DO'!$A:$AAD,MATCH(Disponibilidade!$G57,'Metas DM &amp; DO'!$A:$A,0),MATCH(Disponibilidade!$U57,'Metas DM &amp; DO'!$1:$1,0)+4),"-")</f>
        <v>12</v>
      </c>
      <c r="AL57" s="11" t="str">
        <f t="shared" si="62"/>
        <v>EXCELENTE</v>
      </c>
    </row>
    <row r="58" spans="1:38" x14ac:dyDescent="0.3">
      <c r="A58" s="11">
        <f t="shared" si="63"/>
        <v>2026</v>
      </c>
      <c r="B58" s="12">
        <f t="shared" si="64"/>
        <v>46023</v>
      </c>
      <c r="C58" s="19">
        <v>46027</v>
      </c>
      <c r="D58" s="3" t="s">
        <v>128</v>
      </c>
      <c r="E58" s="11" t="s">
        <v>80</v>
      </c>
      <c r="F58" s="11" t="str" cm="1">
        <f t="array" ref="F58">IFERROR(INDEX('Motivos De Parada'!C:C,MATCH(1,('Motivos De Parada'!E:E=Disponibilidade!C58)*('Motivos De Parada'!G:G=Disponibilidade!G58)*('Motivos De Parada'!D:D=Disponibilidade!E58),0)),"-")</f>
        <v>OPERADOR 5</v>
      </c>
      <c r="G58" s="11" t="str">
        <f>IFERROR(VLOOKUP(D58,Cadastros!A:B,2,FALSE),"-")</f>
        <v>GARRA TRAÇADORA 1</v>
      </c>
      <c r="H58" s="11" t="str">
        <f>IFERROR(VLOOKUP(G58,Cadastros!B:D,3,FALSE),"-")</f>
        <v>TRAÇAMENTO</v>
      </c>
      <c r="I58" s="9" t="s">
        <v>20</v>
      </c>
      <c r="J58" s="26">
        <f>IFERROR(MAX(0,1 - (SUMIFS('Motivos De Parada'!K:K,'Motivos De Parada'!G:G,Disponibilidade!G58,'Motivos De Parada'!H:H,Disponibilidade!H58,'Motivos De Parada'!O:O,Disponibilidade!I58,'Motivos De Parada'!E:E,Disponibilidade!C58,'Motivos De Parada'!D:D,Disponibilidade!E58) / 24)),"-")</f>
        <v>1</v>
      </c>
      <c r="K58" s="24" cm="1">
        <f t="array" ref="K58">IFERROR(INDEX('Metas DM &amp; DO'!$A:$AAD,MATCH(Disponibilidade!$G58,'Metas DM &amp; DO'!$A:$A,0),MATCH(Disponibilidade!$I58,'Metas DM &amp; DO'!$1:$1,0)+1),"-")</f>
        <v>0.91724137931034488</v>
      </c>
      <c r="L58" s="24" cm="1">
        <f t="array" ref="L58">IFERROR(INDEX('Metas DM &amp; DO'!$A:$AAD,MATCH(Disponibilidade!$G58,'Metas DM &amp; DO'!$A:$A,0),MATCH(Disponibilidade!$I58,'Metas DM &amp; DO'!$1:$1,0)+2),"-")</f>
        <v>0.92489568845618919</v>
      </c>
      <c r="M58" s="24" cm="1">
        <f t="array" ref="M58">IFERROR(INDEX('Metas DM &amp; DO'!$A:$AAD,MATCH(Disponibilidade!$G58,'Metas DM &amp; DO'!$A:$A,0),MATCH(Disponibilidade!$I58,'Metas DM &amp; DO'!$1:$1,0)+3),"-")</f>
        <v>0.90625</v>
      </c>
      <c r="N58" s="11" t="str">
        <f t="shared" si="88"/>
        <v>-</v>
      </c>
      <c r="O58" s="9" t="s">
        <v>19</v>
      </c>
      <c r="P58" s="26">
        <f>IFERROR(MAX(0,1 - (SUMIFS('Motivos De Parada'!K:K,'Motivos De Parada'!G:G,Disponibilidade!G58,'Motivos De Parada'!H:H,Disponibilidade!H58,'Motivos De Parada'!O:O,Disponibilidade!O58,'Motivos De Parada'!E:E,Disponibilidade!C58,'Motivos De Parada'!D:D,Disponibilidade!E58) / 24)),"-")</f>
        <v>0.64236111111111094</v>
      </c>
      <c r="Q58" s="24" cm="1">
        <f t="array" ref="Q58">IFERROR(INDEX('Metas DM &amp; DO'!$A:$AAD,MATCH(Disponibilidade!$G58,'Metas DM &amp; DO'!$A:$A,0),MATCH(Disponibilidade!$O58,'Metas DM &amp; DO'!$1:$1,0)+1),"-")</f>
        <v>0.43601532567049806</v>
      </c>
      <c r="R58" s="24" cm="1">
        <f t="array" ref="R58">IFERROR(INDEX('Metas DM &amp; DO'!$A:$AAD,MATCH(Disponibilidade!$G58,'Metas DM &amp; DO'!$A:$A,0),MATCH(Disponibilidade!$O58,'Metas DM &amp; DO'!$1:$1,0)+2),"-")</f>
        <v>0.48817802503477059</v>
      </c>
      <c r="S58" s="24" cm="1">
        <f t="array" ref="S58">IFERROR(INDEX('Metas DM &amp; DO'!$A:$AAD,MATCH(Disponibilidade!$G58,'Metas DM &amp; DO'!$A:$A,0),MATCH(Disponibilidade!$O58,'Metas DM &amp; DO'!$1:$1,0)+3),"-")</f>
        <v>0.71875</v>
      </c>
      <c r="T58" s="11" t="str">
        <f t="shared" si="57"/>
        <v>BOA</v>
      </c>
      <c r="U58" s="9" t="s">
        <v>59</v>
      </c>
      <c r="V58" s="16">
        <f>IFERROR(SUMIFS('Motivos De Parada'!K:K,'Motivos De Parada'!G:G,Disponibilidade!G58,'Motivos De Parada'!H:H,Disponibilidade!H58,'Motivos De Parada'!O:O,Disponibilidade!I58,'Motivos De Parada'!E:E,Disponibilidade!C58,'Motivos De Parada'!D:D,Disponibilidade!E58),"-")</f>
        <v>0</v>
      </c>
      <c r="W58" s="16">
        <f>IFERROR(SUMIFS('Motivos De Parada'!K:K,'Motivos De Parada'!G:G,Disponibilidade!G58,'Motivos De Parada'!H:H,Disponibilidade!H58,'Motivos De Parada'!O:O,Disponibilidade!O58,'Motivos De Parada'!E:E,Disponibilidade!C58,'Motivos De Parada'!D:D,Disponibilidade!E58),"-")</f>
        <v>8.5833333333333357</v>
      </c>
      <c r="X58" s="16">
        <f t="shared" si="58"/>
        <v>4.2916666666666679</v>
      </c>
      <c r="Y58" s="16">
        <f>IFERROR(SUMIFS('Motivos De Parada'!K:K,'Motivos De Parada'!G:G,Disponibilidade!G58,'Motivos De Parada'!H:H,Disponibilidade!H58,'Motivos De Parada'!E:E,Disponibilidade!C58,'Motivos De Parada'!D:D,Disponibilidade!E58),"-")</f>
        <v>12</v>
      </c>
      <c r="Z58" s="28" t="str">
        <f>IFERROR(IF(Y58=0,"OK",IF(OR(Y58&gt;12,Y58&lt;12),"VERIFICAR","OK")),"-")</f>
        <v>OK</v>
      </c>
      <c r="AA58" s="16">
        <f t="shared" si="59"/>
        <v>8.5833333333333357</v>
      </c>
      <c r="AB58" s="16">
        <f>IFERROR(SUMIFS('Motivos De Parada'!K:K,'Motivos De Parada'!G:G,Disponibilidade!G58,'Motivos De Parada'!H:H,Disponibilidade!H58,'Motivos De Parada'!E:E,Disponibilidade!C58,'Motivos De Parada'!D:D,Disponibilidade!E58,'Motivos De Parada'!M:M,"REFEIÇÃO"),"-")</f>
        <v>0</v>
      </c>
      <c r="AC58" s="16">
        <f t="shared" si="60"/>
        <v>3.4166666666666643</v>
      </c>
      <c r="AD58" s="28" t="str">
        <f>IFERROR(IF(AC58&lt;0,"VERIFICAR","OK"),"-")</f>
        <v>OK</v>
      </c>
      <c r="AE58" s="16" cm="1">
        <f t="array" ref="AE58">IFERROR(SUM(SUMIFS('Motivos De Parada'!K:K,'Motivos De Parada'!G:G,Disponibilidade!G58,'Motivos De Parada'!H:H,Disponibilidade!H58,'Motivos De Parada'!E:E,Disponibilidade!C58,'Motivos De Parada'!D:D,Disponibilidade!E58,'Motivos De Parada'!O:O,{"DISPONIBILIDADE MECÂNICA";"DISPONIBILIDADE OPERACIONAL"},'Motivos De Parada'!P:P,"NÃO")),"-")</f>
        <v>8.5833333333333357</v>
      </c>
      <c r="AF58" s="16" cm="1">
        <f t="array" ref="AF58">IFERROR(SUM(SUMIFS('Motivos De Parada'!K:K,'Motivos De Parada'!G:G,Disponibilidade!G58,'Motivos De Parada'!H:H,Disponibilidade!H58,'Motivos De Parada'!E:E,Disponibilidade!C58,'Motivos De Parada'!D:D,Disponibilidade!E58,'Motivos De Parada'!O:O,{"DISPONIBILIDADE MECÂNICA";"DISPONIBILIDADE OPERACIONAL"},'Motivos De Parada'!P:P,"SIM")),"-")</f>
        <v>0</v>
      </c>
      <c r="AG58" s="16">
        <f t="shared" si="61"/>
        <v>3.4166666666666643</v>
      </c>
      <c r="AH58" s="28" t="str">
        <f>IFERROR(IF(AND(AG58=0,AC58=0),"OK",IF(AG58=AC58,"VERIFICAR","OK")),"-")</f>
        <v>VERIFICAR</v>
      </c>
      <c r="AI58" s="16" cm="1">
        <f t="array" ref="AI58">IFERROR(INDEX('Metas DM &amp; DO'!$A:$AAD,MATCH(Disponibilidade!$G58,'Metas DM &amp; DO'!$A:$A,0),MATCH(Disponibilidade!$U58,'Metas DM &amp; DO'!$1:$1,0)+2),"-")</f>
        <v>2.2174055829228245</v>
      </c>
      <c r="AJ58" s="16" cm="1">
        <f t="array" ref="AJ58">IFERROR(INDEX('Metas DM &amp; DO'!$A:$AAD,MATCH(Disponibilidade!$G58,'Metas DM &amp; DO'!$A:$A,0),MATCH(Disponibilidade!$U58,'Metas DM &amp; DO'!$1:$1,0)+3),"-")</f>
        <v>2.0123186966024238</v>
      </c>
      <c r="AK58" s="16" cm="1">
        <f t="array" ref="AK58">IFERROR(INDEX('Metas DM &amp; DO'!$A:$AAD,MATCH(Disponibilidade!$G58,'Metas DM &amp; DO'!$A:$A,0),MATCH(Disponibilidade!$U58,'Metas DM &amp; DO'!$1:$1,0)+4),"-")</f>
        <v>3.9999999999999991</v>
      </c>
      <c r="AL58" s="11" t="str">
        <f t="shared" si="62"/>
        <v>CRÍTICO</v>
      </c>
    </row>
    <row r="59" spans="1:38" x14ac:dyDescent="0.3">
      <c r="A59" s="11">
        <f t="shared" si="63"/>
        <v>2026</v>
      </c>
      <c r="B59" s="12">
        <f t="shared" si="64"/>
        <v>46023</v>
      </c>
      <c r="C59" s="19">
        <v>46027</v>
      </c>
      <c r="D59" s="3" t="s">
        <v>128</v>
      </c>
      <c r="E59" s="11" t="s">
        <v>81</v>
      </c>
      <c r="F59" s="11" t="str" cm="1">
        <f t="array" ref="F59">IFERROR(INDEX('Motivos De Parada'!C:C,MATCH(1,('Motivos De Parada'!E:E=Disponibilidade!C59)*('Motivos De Parada'!G:G=Disponibilidade!G59)*('Motivos De Parada'!D:D=Disponibilidade!E59),0)),"-")</f>
        <v>OPERADOR 6</v>
      </c>
      <c r="G59" s="11" t="str">
        <f>IFERROR(VLOOKUP(D59,Cadastros!A:B,2,FALSE),"-")</f>
        <v>GARRA TRAÇADORA 1</v>
      </c>
      <c r="H59" s="11" t="str">
        <f>IFERROR(VLOOKUP(G59,Cadastros!B:D,3,FALSE),"-")</f>
        <v>TRAÇAMENTO</v>
      </c>
      <c r="I59" s="9" t="s">
        <v>20</v>
      </c>
      <c r="J59" s="26">
        <f>IFERROR(MAX(0,1 - (SUMIFS('Motivos De Parada'!K:K,'Motivos De Parada'!G:G,Disponibilidade!G59,'Motivos De Parada'!H:H,Disponibilidade!H59,'Motivos De Parada'!O:O,Disponibilidade!I59,'Motivos De Parada'!E:E,Disponibilidade!C59,'Motivos De Parada'!D:D,Disponibilidade!E59) / 24)),"-")</f>
        <v>0.90625</v>
      </c>
      <c r="K59" s="24" cm="1">
        <f t="array" ref="K59">IFERROR(INDEX('Metas DM &amp; DO'!$A:$AAD,MATCH(Disponibilidade!$G59,'Metas DM &amp; DO'!$A:$A,0),MATCH(Disponibilidade!$I59,'Metas DM &amp; DO'!$1:$1,0)+1),"-")</f>
        <v>0.91724137931034488</v>
      </c>
      <c r="L59" s="24" cm="1">
        <f t="array" ref="L59">IFERROR(INDEX('Metas DM &amp; DO'!$A:$AAD,MATCH(Disponibilidade!$G59,'Metas DM &amp; DO'!$A:$A,0),MATCH(Disponibilidade!$I59,'Metas DM &amp; DO'!$1:$1,0)+2),"-")</f>
        <v>0.92489568845618919</v>
      </c>
      <c r="M59" s="24" cm="1">
        <f t="array" ref="M59">IFERROR(INDEX('Metas DM &amp; DO'!$A:$AAD,MATCH(Disponibilidade!$G59,'Metas DM &amp; DO'!$A:$A,0),MATCH(Disponibilidade!$I59,'Metas DM &amp; DO'!$1:$1,0)+3),"-")</f>
        <v>0.90625</v>
      </c>
      <c r="N59" s="11" t="str">
        <f t="shared" si="88"/>
        <v>RUIM</v>
      </c>
      <c r="O59" s="9" t="s">
        <v>19</v>
      </c>
      <c r="P59" s="26">
        <f>IFERROR(MAX(0,1 - (SUMIFS('Motivos De Parada'!K:K,'Motivos De Parada'!G:G,Disponibilidade!G59,'Motivos De Parada'!H:H,Disponibilidade!H59,'Motivos De Parada'!O:O,Disponibilidade!O59,'Motivos De Parada'!E:E,Disponibilidade!C59,'Motivos De Parada'!D:D,Disponibilidade!E59) / 24)),"-")</f>
        <v>0.71875</v>
      </c>
      <c r="Q59" s="24" cm="1">
        <f t="array" ref="Q59">IFERROR(INDEX('Metas DM &amp; DO'!$A:$AAD,MATCH(Disponibilidade!$G59,'Metas DM &amp; DO'!$A:$A,0),MATCH(Disponibilidade!$O59,'Metas DM &amp; DO'!$1:$1,0)+1),"-")</f>
        <v>0.43601532567049806</v>
      </c>
      <c r="R59" s="24" cm="1">
        <f t="array" ref="R59">IFERROR(INDEX('Metas DM &amp; DO'!$A:$AAD,MATCH(Disponibilidade!$G59,'Metas DM &amp; DO'!$A:$A,0),MATCH(Disponibilidade!$O59,'Metas DM &amp; DO'!$1:$1,0)+2),"-")</f>
        <v>0.48817802503477059</v>
      </c>
      <c r="S59" s="24" cm="1">
        <f t="array" ref="S59">IFERROR(INDEX('Metas DM &amp; DO'!$A:$AAD,MATCH(Disponibilidade!$G59,'Metas DM &amp; DO'!$A:$A,0),MATCH(Disponibilidade!$O59,'Metas DM &amp; DO'!$1:$1,0)+3),"-")</f>
        <v>0.71875</v>
      </c>
      <c r="T59" s="11" t="str">
        <f t="shared" si="57"/>
        <v>-</v>
      </c>
      <c r="U59" s="9" t="s">
        <v>59</v>
      </c>
      <c r="V59" s="16">
        <f>IFERROR(SUMIFS('Motivos De Parada'!K:K,'Motivos De Parada'!G:G,Disponibilidade!G59,'Motivos De Parada'!H:H,Disponibilidade!H59,'Motivos De Parada'!O:O,Disponibilidade!I59,'Motivos De Parada'!E:E,Disponibilidade!C59,'Motivos De Parada'!D:D,Disponibilidade!E59),"-")</f>
        <v>2.25</v>
      </c>
      <c r="W59" s="16">
        <f>IFERROR(SUMIFS('Motivos De Parada'!K:K,'Motivos De Parada'!G:G,Disponibilidade!G59,'Motivos De Parada'!H:H,Disponibilidade!H59,'Motivos De Parada'!O:O,Disponibilidade!O59,'Motivos De Parada'!E:E,Disponibilidade!C59,'Motivos De Parada'!D:D,Disponibilidade!E59),"-")</f>
        <v>6.75</v>
      </c>
      <c r="X59" s="16">
        <f t="shared" si="58"/>
        <v>4.5</v>
      </c>
      <c r="Y59" s="16">
        <f>IFERROR(SUMIFS('Motivos De Parada'!K:K,'Motivos De Parada'!G:G,Disponibilidade!G59,'Motivos De Parada'!H:H,Disponibilidade!H59,'Motivos De Parada'!E:E,Disponibilidade!C59,'Motivos De Parada'!D:D,Disponibilidade!E59),"-")</f>
        <v>12</v>
      </c>
      <c r="Z59" s="28" t="str">
        <f t="shared" ref="Z59:Z61" si="89">IFERROR(IF(Y59=0,"OK",IF(OR(Y59&gt;12,Y59&lt;12),"VERIFICAR","OK")),"-")</f>
        <v>OK</v>
      </c>
      <c r="AA59" s="16">
        <f t="shared" si="59"/>
        <v>9</v>
      </c>
      <c r="AB59" s="16">
        <f>IFERROR(SUMIFS('Motivos De Parada'!K:K,'Motivos De Parada'!G:G,Disponibilidade!G59,'Motivos De Parada'!H:H,Disponibilidade!H59,'Motivos De Parada'!E:E,Disponibilidade!C59,'Motivos De Parada'!D:D,Disponibilidade!E59,'Motivos De Parada'!M:M,"REFEIÇÃO"),"-")</f>
        <v>0</v>
      </c>
      <c r="AC59" s="16">
        <f t="shared" si="60"/>
        <v>3</v>
      </c>
      <c r="AD59" s="28" t="str">
        <f t="shared" ref="AD59:AD61" si="90">IFERROR(IF(AC59&lt;0,"VERIFICAR","OK"),"-")</f>
        <v>OK</v>
      </c>
      <c r="AE59" s="16" cm="1">
        <f t="array" ref="AE59">IFERROR(SUM(SUMIFS('Motivos De Parada'!K:K,'Motivos De Parada'!G:G,Disponibilidade!G59,'Motivos De Parada'!H:H,Disponibilidade!H59,'Motivos De Parada'!E:E,Disponibilidade!C59,'Motivos De Parada'!D:D,Disponibilidade!E59,'Motivos De Parada'!O:O,{"DISPONIBILIDADE MECÂNICA";"DISPONIBILIDADE OPERACIONAL"},'Motivos De Parada'!P:P,"NÃO")),"-")</f>
        <v>9</v>
      </c>
      <c r="AF59" s="16" cm="1">
        <f t="array" ref="AF59">IFERROR(SUM(SUMIFS('Motivos De Parada'!K:K,'Motivos De Parada'!G:G,Disponibilidade!G59,'Motivos De Parada'!H:H,Disponibilidade!H59,'Motivos De Parada'!E:E,Disponibilidade!C59,'Motivos De Parada'!D:D,Disponibilidade!E59,'Motivos De Parada'!O:O,{"DISPONIBILIDADE MECÂNICA";"DISPONIBILIDADE OPERACIONAL"},'Motivos De Parada'!P:P,"SIM")),"-")</f>
        <v>0</v>
      </c>
      <c r="AG59" s="16">
        <f t="shared" si="61"/>
        <v>3</v>
      </c>
      <c r="AH59" s="28" t="str">
        <f t="shared" ref="AH59:AH61" si="91">IFERROR(IF(AND(AG59=0,AC59=0),"OK",IF(AG59=AC59,"VERIFICAR","OK")),"-")</f>
        <v>VERIFICAR</v>
      </c>
      <c r="AI59" s="16" cm="1">
        <f t="array" ref="AI59">IFERROR(INDEX('Metas DM &amp; DO'!$A:$AAD,MATCH(Disponibilidade!$G59,'Metas DM &amp; DO'!$A:$A,0),MATCH(Disponibilidade!$U59,'Metas DM &amp; DO'!$1:$1,0)+2),"-")</f>
        <v>2.2174055829228245</v>
      </c>
      <c r="AJ59" s="16" cm="1">
        <f t="array" ref="AJ59">IFERROR(INDEX('Metas DM &amp; DO'!$A:$AAD,MATCH(Disponibilidade!$G59,'Metas DM &amp; DO'!$A:$A,0),MATCH(Disponibilidade!$U59,'Metas DM &amp; DO'!$1:$1,0)+3),"-")</f>
        <v>2.0123186966024238</v>
      </c>
      <c r="AK59" s="16" cm="1">
        <f t="array" ref="AK59">IFERROR(INDEX('Metas DM &amp; DO'!$A:$AAD,MATCH(Disponibilidade!$G59,'Metas DM &amp; DO'!$A:$A,0),MATCH(Disponibilidade!$U59,'Metas DM &amp; DO'!$1:$1,0)+4),"-")</f>
        <v>3.9999999999999991</v>
      </c>
      <c r="AL59" s="11" t="str">
        <f t="shared" si="62"/>
        <v>CRÍTICO</v>
      </c>
    </row>
    <row r="60" spans="1:38" x14ac:dyDescent="0.3">
      <c r="A60" s="11">
        <f t="shared" si="63"/>
        <v>2026</v>
      </c>
      <c r="B60" s="12">
        <f t="shared" si="64"/>
        <v>46023</v>
      </c>
      <c r="C60" s="19">
        <v>46027</v>
      </c>
      <c r="D60" s="3" t="s">
        <v>130</v>
      </c>
      <c r="E60" s="11" t="s">
        <v>80</v>
      </c>
      <c r="F60" s="11" t="str" cm="1">
        <f t="array" ref="F60">IFERROR(INDEX('Motivos De Parada'!C:C,MATCH(1,('Motivos De Parada'!E:E=Disponibilidade!C60)*('Motivos De Parada'!G:G=Disponibilidade!G60)*('Motivos De Parada'!D:D=Disponibilidade!E60),0)),"-")</f>
        <v>-</v>
      </c>
      <c r="G60" s="11" t="str">
        <f>IFERROR(VLOOKUP(D60,Cadastros!A:B,2,FALSE),"-")</f>
        <v>GARRA TRAÇADORA 2</v>
      </c>
      <c r="H60" s="11" t="str">
        <f>IFERROR(VLOOKUP(G60,Cadastros!B:D,3,FALSE),"-")</f>
        <v>TRAÇAMENTO</v>
      </c>
      <c r="I60" s="9" t="s">
        <v>20</v>
      </c>
      <c r="J60" s="26">
        <f>IFERROR(MAX(0,1 - (SUMIFS('Motivos De Parada'!K:K,'Motivos De Parada'!G:G,Disponibilidade!G60,'Motivos De Parada'!H:H,Disponibilidade!H60,'Motivos De Parada'!O:O,Disponibilidade!I60,'Motivos De Parada'!E:E,Disponibilidade!C60,'Motivos De Parada'!D:D,Disponibilidade!E60) / 24)),"-")</f>
        <v>1</v>
      </c>
      <c r="K60" s="24" t="str" cm="1">
        <f t="array" ref="K60">IFERROR(INDEX('Metas DM &amp; DO'!$A:$AAD,MATCH(Disponibilidade!$G60,'Metas DM &amp; DO'!$A:$A,0),MATCH(Disponibilidade!$I60,'Metas DM &amp; DO'!$1:$1,0)+1),"-")</f>
        <v>-</v>
      </c>
      <c r="L60" s="24" t="str" cm="1">
        <f t="array" ref="L60">IFERROR(INDEX('Metas DM &amp; DO'!$A:$AAD,MATCH(Disponibilidade!$G60,'Metas DM &amp; DO'!$A:$A,0),MATCH(Disponibilidade!$I60,'Metas DM &amp; DO'!$1:$1,0)+2),"-")</f>
        <v>-</v>
      </c>
      <c r="M60" s="24" t="str" cm="1">
        <f t="array" ref="M60">IFERROR(INDEX('Metas DM &amp; DO'!$A:$AAD,MATCH(Disponibilidade!$G60,'Metas DM &amp; DO'!$A:$A,0),MATCH(Disponibilidade!$I60,'Metas DM &amp; DO'!$1:$1,0)+3),"-")</f>
        <v>-</v>
      </c>
      <c r="N60" s="11" t="str">
        <f>IFERROR(IF(J60&lt;K60,"RUIM",IF(AND(J60&gt;=K60,J60&lt;L60),"MEDIA",IF(AND(J60&gt;=L60,J60&lt;M60),"BOA","-"))),"-")</f>
        <v>RUIM</v>
      </c>
      <c r="O60" s="9" t="s">
        <v>19</v>
      </c>
      <c r="P60" s="26">
        <f>IFERROR(MAX(0,1 - (SUMIFS('Motivos De Parada'!K:K,'Motivos De Parada'!G:G,Disponibilidade!G60,'Motivos De Parada'!H:H,Disponibilidade!H60,'Motivos De Parada'!O:O,Disponibilidade!O60,'Motivos De Parada'!E:E,Disponibilidade!C60,'Motivos De Parada'!D:D,Disponibilidade!E60) / 24)),"-")</f>
        <v>1</v>
      </c>
      <c r="Q60" s="24" t="str" cm="1">
        <f t="array" ref="Q60">IFERROR(INDEX('Metas DM &amp; DO'!$A:$AAD,MATCH(Disponibilidade!$G60,'Metas DM &amp; DO'!$A:$A,0),MATCH(Disponibilidade!$O60,'Metas DM &amp; DO'!$1:$1,0)+1),"-")</f>
        <v>-</v>
      </c>
      <c r="R60" s="24" t="str" cm="1">
        <f t="array" ref="R60">IFERROR(INDEX('Metas DM &amp; DO'!$A:$AAD,MATCH(Disponibilidade!$G60,'Metas DM &amp; DO'!$A:$A,0),MATCH(Disponibilidade!$O60,'Metas DM &amp; DO'!$1:$1,0)+2),"-")</f>
        <v>-</v>
      </c>
      <c r="S60" s="24" t="str" cm="1">
        <f t="array" ref="S60">IFERROR(INDEX('Metas DM &amp; DO'!$A:$AAD,MATCH(Disponibilidade!$G60,'Metas DM &amp; DO'!$A:$A,0),MATCH(Disponibilidade!$O60,'Metas DM &amp; DO'!$1:$1,0)+3),"-")</f>
        <v>-</v>
      </c>
      <c r="T60" s="11" t="str">
        <f t="shared" si="57"/>
        <v>RUIM</v>
      </c>
      <c r="U60" s="9" t="s">
        <v>59</v>
      </c>
      <c r="V60" s="16">
        <f>IFERROR(SUMIFS('Motivos De Parada'!K:K,'Motivos De Parada'!G:G,Disponibilidade!G60,'Motivos De Parada'!H:H,Disponibilidade!H60,'Motivos De Parada'!O:O,Disponibilidade!I60,'Motivos De Parada'!E:E,Disponibilidade!C60,'Motivos De Parada'!D:D,Disponibilidade!E60),"-")</f>
        <v>0</v>
      </c>
      <c r="W60" s="16">
        <f>IFERROR(SUMIFS('Motivos De Parada'!K:K,'Motivos De Parada'!G:G,Disponibilidade!G60,'Motivos De Parada'!H:H,Disponibilidade!H60,'Motivos De Parada'!O:O,Disponibilidade!O60,'Motivos De Parada'!E:E,Disponibilidade!C60,'Motivos De Parada'!D:D,Disponibilidade!E60),"-")</f>
        <v>0</v>
      </c>
      <c r="X60" s="16">
        <f t="shared" si="58"/>
        <v>0</v>
      </c>
      <c r="Y60" s="16">
        <f>IFERROR(SUMIFS('Motivos De Parada'!K:K,'Motivos De Parada'!G:G,Disponibilidade!G60,'Motivos De Parada'!H:H,Disponibilidade!H60,'Motivos De Parada'!E:E,Disponibilidade!C60,'Motivos De Parada'!D:D,Disponibilidade!E60),"-")</f>
        <v>0</v>
      </c>
      <c r="Z60" s="28" t="str">
        <f t="shared" si="89"/>
        <v>OK</v>
      </c>
      <c r="AA60" s="16">
        <f t="shared" si="59"/>
        <v>0</v>
      </c>
      <c r="AB60" s="16">
        <f>IFERROR(SUMIFS('Motivos De Parada'!K:K,'Motivos De Parada'!G:G,Disponibilidade!G60,'Motivos De Parada'!H:H,Disponibilidade!H60,'Motivos De Parada'!E:E,Disponibilidade!C60,'Motivos De Parada'!D:D,Disponibilidade!E60,'Motivos De Parada'!M:M,"REFEIÇÃO"),"-")</f>
        <v>0</v>
      </c>
      <c r="AC60" s="16">
        <f t="shared" si="60"/>
        <v>0</v>
      </c>
      <c r="AD60" s="28" t="str">
        <f t="shared" si="90"/>
        <v>OK</v>
      </c>
      <c r="AE60" s="16" cm="1">
        <f t="array" ref="AE60">IFERROR(SUM(SUMIFS('Motivos De Parada'!K:K,'Motivos De Parada'!G:G,Disponibilidade!G60,'Motivos De Parada'!H:H,Disponibilidade!H60,'Motivos De Parada'!E:E,Disponibilidade!C60,'Motivos De Parada'!D:D,Disponibilidade!E60,'Motivos De Parada'!O:O,{"DISPONIBILIDADE MECÂNICA";"DISPONIBILIDADE OPERACIONAL"},'Motivos De Parada'!P:P,"NÃO")),"-")</f>
        <v>0</v>
      </c>
      <c r="AF60" s="16" cm="1">
        <f t="array" ref="AF60">IFERROR(SUM(SUMIFS('Motivos De Parada'!K:K,'Motivos De Parada'!G:G,Disponibilidade!G60,'Motivos De Parada'!H:H,Disponibilidade!H60,'Motivos De Parada'!E:E,Disponibilidade!C60,'Motivos De Parada'!D:D,Disponibilidade!E60,'Motivos De Parada'!O:O,{"DISPONIBILIDADE MECÂNICA";"DISPONIBILIDADE OPERACIONAL"},'Motivos De Parada'!P:P,"SIM")),"-")</f>
        <v>0</v>
      </c>
      <c r="AG60" s="16">
        <f t="shared" si="61"/>
        <v>0</v>
      </c>
      <c r="AH60" s="28" t="str">
        <f t="shared" si="91"/>
        <v>OK</v>
      </c>
      <c r="AI60" s="16" t="str" cm="1">
        <f t="array" ref="AI60">IFERROR(INDEX('Metas DM &amp; DO'!$A:$AAD,MATCH(Disponibilidade!$G60,'Metas DM &amp; DO'!$A:$A,0),MATCH(Disponibilidade!$U60,'Metas DM &amp; DO'!$1:$1,0)+2),"-")</f>
        <v>-</v>
      </c>
      <c r="AJ60" s="16" t="str" cm="1">
        <f t="array" ref="AJ60">IFERROR(INDEX('Metas DM &amp; DO'!$A:$AAD,MATCH(Disponibilidade!$G60,'Metas DM &amp; DO'!$A:$A,0),MATCH(Disponibilidade!$U60,'Metas DM &amp; DO'!$1:$1,0)+3),"-")</f>
        <v>-</v>
      </c>
      <c r="AK60" s="16" t="str" cm="1">
        <f t="array" ref="AK60">IFERROR(INDEX('Metas DM &amp; DO'!$A:$AAD,MATCH(Disponibilidade!$G60,'Metas DM &amp; DO'!$A:$A,0),MATCH(Disponibilidade!$U60,'Metas DM &amp; DO'!$1:$1,0)+4),"-")</f>
        <v>-</v>
      </c>
      <c r="AL60" s="11" t="str">
        <f t="shared" si="62"/>
        <v>EXCELENTE</v>
      </c>
    </row>
    <row r="61" spans="1:38" x14ac:dyDescent="0.3">
      <c r="A61" s="11">
        <f t="shared" si="63"/>
        <v>2026</v>
      </c>
      <c r="B61" s="12">
        <f t="shared" si="64"/>
        <v>46023</v>
      </c>
      <c r="C61" s="19">
        <v>46027</v>
      </c>
      <c r="D61" s="3" t="s">
        <v>130</v>
      </c>
      <c r="E61" s="11" t="s">
        <v>81</v>
      </c>
      <c r="F61" s="11" t="str" cm="1">
        <f t="array" ref="F61">IFERROR(INDEX('Motivos De Parada'!C:C,MATCH(1,('Motivos De Parada'!E:E=Disponibilidade!C61)*('Motivos De Parada'!G:G=Disponibilidade!G61)*('Motivos De Parada'!D:D=Disponibilidade!E61),0)),"-")</f>
        <v>-</v>
      </c>
      <c r="G61" s="11" t="str">
        <f>IFERROR(VLOOKUP(D61,Cadastros!A:B,2,FALSE),"-")</f>
        <v>GARRA TRAÇADORA 2</v>
      </c>
      <c r="H61" s="11" t="str">
        <f>IFERROR(VLOOKUP(G61,Cadastros!B:D,3,FALSE),"-")</f>
        <v>TRAÇAMENTO</v>
      </c>
      <c r="I61" s="9" t="s">
        <v>20</v>
      </c>
      <c r="J61" s="26">
        <f>IFERROR(MAX(0,1 - (SUMIFS('Motivos De Parada'!K:K,'Motivos De Parada'!G:G,Disponibilidade!G61,'Motivos De Parada'!H:H,Disponibilidade!H61,'Motivos De Parada'!O:O,Disponibilidade!I61,'Motivos De Parada'!E:E,Disponibilidade!C61,'Motivos De Parada'!D:D,Disponibilidade!E61) / 24)),"-")</f>
        <v>1</v>
      </c>
      <c r="K61" s="24" t="str" cm="1">
        <f t="array" ref="K61">IFERROR(INDEX('Metas DM &amp; DO'!$A:$AAD,MATCH(Disponibilidade!$G61,'Metas DM &amp; DO'!$A:$A,0),MATCH(Disponibilidade!$I61,'Metas DM &amp; DO'!$1:$1,0)+1),"-")</f>
        <v>-</v>
      </c>
      <c r="L61" s="24" t="str" cm="1">
        <f t="array" ref="L61">IFERROR(INDEX('Metas DM &amp; DO'!$A:$AAD,MATCH(Disponibilidade!$G61,'Metas DM &amp; DO'!$A:$A,0),MATCH(Disponibilidade!$I61,'Metas DM &amp; DO'!$1:$1,0)+2),"-")</f>
        <v>-</v>
      </c>
      <c r="M61" s="24" t="str" cm="1">
        <f t="array" ref="M61">IFERROR(INDEX('Metas DM &amp; DO'!$A:$AAD,MATCH(Disponibilidade!$G61,'Metas DM &amp; DO'!$A:$A,0),MATCH(Disponibilidade!$I61,'Metas DM &amp; DO'!$1:$1,0)+3),"-")</f>
        <v>-</v>
      </c>
      <c r="N61" s="11" t="str">
        <f>IFERROR(IF(J61&lt;K61,"RUIM",IF(AND(J61&gt;=K61,J61&lt;L61),"MEDIA",IF(AND(J61&gt;=L61,J61&lt;M61),"BOA","-"))),"-")</f>
        <v>RUIM</v>
      </c>
      <c r="O61" s="9" t="s">
        <v>19</v>
      </c>
      <c r="P61" s="26">
        <f>IFERROR(MAX(0,1 - (SUMIFS('Motivos De Parada'!K:K,'Motivos De Parada'!G:G,Disponibilidade!G61,'Motivos De Parada'!H:H,Disponibilidade!H61,'Motivos De Parada'!O:O,Disponibilidade!O61,'Motivos De Parada'!E:E,Disponibilidade!C61,'Motivos De Parada'!D:D,Disponibilidade!E61) / 24)),"-")</f>
        <v>1</v>
      </c>
      <c r="Q61" s="24" t="str" cm="1">
        <f t="array" ref="Q61">IFERROR(INDEX('Metas DM &amp; DO'!$A:$AAD,MATCH(Disponibilidade!$G61,'Metas DM &amp; DO'!$A:$A,0),MATCH(Disponibilidade!$O61,'Metas DM &amp; DO'!$1:$1,0)+1),"-")</f>
        <v>-</v>
      </c>
      <c r="R61" s="24" t="str" cm="1">
        <f t="array" ref="R61">IFERROR(INDEX('Metas DM &amp; DO'!$A:$AAD,MATCH(Disponibilidade!$G61,'Metas DM &amp; DO'!$A:$A,0),MATCH(Disponibilidade!$O61,'Metas DM &amp; DO'!$1:$1,0)+2),"-")</f>
        <v>-</v>
      </c>
      <c r="S61" s="24" t="str" cm="1">
        <f t="array" ref="S61">IFERROR(INDEX('Metas DM &amp; DO'!$A:$AAD,MATCH(Disponibilidade!$G61,'Metas DM &amp; DO'!$A:$A,0),MATCH(Disponibilidade!$O61,'Metas DM &amp; DO'!$1:$1,0)+3),"-")</f>
        <v>-</v>
      </c>
      <c r="T61" s="11" t="str">
        <f t="shared" si="57"/>
        <v>RUIM</v>
      </c>
      <c r="U61" s="9" t="s">
        <v>59</v>
      </c>
      <c r="V61" s="16">
        <f>IFERROR(SUMIFS('Motivos De Parada'!K:K,'Motivos De Parada'!G:G,Disponibilidade!G61,'Motivos De Parada'!H:H,Disponibilidade!H61,'Motivos De Parada'!O:O,Disponibilidade!I61,'Motivos De Parada'!E:E,Disponibilidade!C61,'Motivos De Parada'!D:D,Disponibilidade!E61),"-")</f>
        <v>0</v>
      </c>
      <c r="W61" s="16">
        <f>IFERROR(SUMIFS('Motivos De Parada'!K:K,'Motivos De Parada'!G:G,Disponibilidade!G61,'Motivos De Parada'!H:H,Disponibilidade!H61,'Motivos De Parada'!O:O,Disponibilidade!O61,'Motivos De Parada'!E:E,Disponibilidade!C61,'Motivos De Parada'!D:D,Disponibilidade!E61),"-")</f>
        <v>0</v>
      </c>
      <c r="X61" s="16">
        <f t="shared" si="58"/>
        <v>0</v>
      </c>
      <c r="Y61" s="16">
        <f>IFERROR(SUMIFS('Motivos De Parada'!K:K,'Motivos De Parada'!G:G,Disponibilidade!G61,'Motivos De Parada'!H:H,Disponibilidade!H61,'Motivos De Parada'!E:E,Disponibilidade!C61,'Motivos De Parada'!D:D,Disponibilidade!E61),"-")</f>
        <v>0</v>
      </c>
      <c r="Z61" s="28" t="str">
        <f t="shared" si="89"/>
        <v>OK</v>
      </c>
      <c r="AA61" s="16">
        <f t="shared" si="59"/>
        <v>0</v>
      </c>
      <c r="AB61" s="16">
        <f>IFERROR(SUMIFS('Motivos De Parada'!K:K,'Motivos De Parada'!G:G,Disponibilidade!G61,'Motivos De Parada'!H:H,Disponibilidade!H61,'Motivos De Parada'!E:E,Disponibilidade!C61,'Motivos De Parada'!D:D,Disponibilidade!E61,'Motivos De Parada'!M:M,"REFEIÇÃO"),"-")</f>
        <v>0</v>
      </c>
      <c r="AC61" s="16">
        <f t="shared" si="60"/>
        <v>0</v>
      </c>
      <c r="AD61" s="28" t="str">
        <f t="shared" si="90"/>
        <v>OK</v>
      </c>
      <c r="AE61" s="16" cm="1">
        <f t="array" ref="AE61">IFERROR(SUM(SUMIFS('Motivos De Parada'!K:K,'Motivos De Parada'!G:G,Disponibilidade!G61,'Motivos De Parada'!H:H,Disponibilidade!H61,'Motivos De Parada'!E:E,Disponibilidade!C61,'Motivos De Parada'!D:D,Disponibilidade!E61,'Motivos De Parada'!O:O,{"DISPONIBILIDADE MECÂNICA";"DISPONIBILIDADE OPERACIONAL"},'Motivos De Parada'!P:P,"NÃO")),"-")</f>
        <v>0</v>
      </c>
      <c r="AF61" s="16" cm="1">
        <f t="array" ref="AF61">IFERROR(SUM(SUMIFS('Motivos De Parada'!K:K,'Motivos De Parada'!G:G,Disponibilidade!G61,'Motivos De Parada'!H:H,Disponibilidade!H61,'Motivos De Parada'!E:E,Disponibilidade!C61,'Motivos De Parada'!D:D,Disponibilidade!E61,'Motivos De Parada'!O:O,{"DISPONIBILIDADE MECÂNICA";"DISPONIBILIDADE OPERACIONAL"},'Motivos De Parada'!P:P,"SIM")),"-")</f>
        <v>0</v>
      </c>
      <c r="AG61" s="16">
        <f t="shared" si="61"/>
        <v>0</v>
      </c>
      <c r="AH61" s="28" t="str">
        <f t="shared" si="91"/>
        <v>OK</v>
      </c>
      <c r="AI61" s="16" t="str" cm="1">
        <f t="array" ref="AI61">IFERROR(INDEX('Metas DM &amp; DO'!$A:$AAD,MATCH(Disponibilidade!$G61,'Metas DM &amp; DO'!$A:$A,0),MATCH(Disponibilidade!$U61,'Metas DM &amp; DO'!$1:$1,0)+2),"-")</f>
        <v>-</v>
      </c>
      <c r="AJ61" s="16" t="str" cm="1">
        <f t="array" ref="AJ61">IFERROR(INDEX('Metas DM &amp; DO'!$A:$AAD,MATCH(Disponibilidade!$G61,'Metas DM &amp; DO'!$A:$A,0),MATCH(Disponibilidade!$U61,'Metas DM &amp; DO'!$1:$1,0)+3),"-")</f>
        <v>-</v>
      </c>
      <c r="AK61" s="16" t="str" cm="1">
        <f t="array" ref="AK61">IFERROR(INDEX('Metas DM &amp; DO'!$A:$AAD,MATCH(Disponibilidade!$G61,'Metas DM &amp; DO'!$A:$A,0),MATCH(Disponibilidade!$U61,'Metas DM &amp; DO'!$1:$1,0)+4),"-")</f>
        <v>-</v>
      </c>
      <c r="AL61" s="11" t="str">
        <f t="shared" si="62"/>
        <v>EXCELENTE</v>
      </c>
    </row>
    <row r="62" spans="1:38" x14ac:dyDescent="0.3">
      <c r="A62" s="11">
        <f t="shared" si="63"/>
        <v>2026</v>
      </c>
      <c r="B62" s="12">
        <f t="shared" si="64"/>
        <v>46023</v>
      </c>
      <c r="C62" s="19">
        <v>46028</v>
      </c>
      <c r="D62" s="3" t="s">
        <v>120</v>
      </c>
      <c r="E62" s="11" t="s">
        <v>80</v>
      </c>
      <c r="F62" s="11" t="str" cm="1">
        <f t="array" ref="F62">IFERROR(INDEX('Motivos De Parada'!C:C,MATCH(1,('Motivos De Parada'!E:E=Disponibilidade!C62)*('Motivos De Parada'!G:G=Disponibilidade!G62)*('Motivos De Parada'!D:D=Disponibilidade!E62),0)),"-")</f>
        <v>-</v>
      </c>
      <c r="G62" s="11" t="str">
        <f>IFERROR(VLOOKUP(D62,Cadastros!A:B,2,FALSE),"-")</f>
        <v>FELLER BUNCHER 1</v>
      </c>
      <c r="H62" s="11" t="str">
        <f>IFERROR(VLOOKUP(G62,Cadastros!B:D,3,FALSE),"-")</f>
        <v>CORTE</v>
      </c>
      <c r="I62" s="9" t="s">
        <v>20</v>
      </c>
      <c r="J62" s="26">
        <f>IFERROR(MAX(0,1 - (SUMIFS('Motivos De Parada'!K:K,'Motivos De Parada'!G:G,Disponibilidade!G62,'Motivos De Parada'!H:H,Disponibilidade!H62,'Motivos De Parada'!O:O,Disponibilidade!I62,'Motivos De Parada'!E:E,Disponibilidade!C62,'Motivos De Parada'!D:D,Disponibilidade!E62) / 24)),"-")</f>
        <v>1</v>
      </c>
      <c r="K62" s="24" cm="1">
        <f t="array" ref="K62">IFERROR(INDEX('Metas DM &amp; DO'!$A:$AAD,MATCH(Disponibilidade!$G62,'Metas DM &amp; DO'!$A:$A,0),MATCH(Disponibilidade!$I62,'Metas DM &amp; DO'!$1:$1,0)+1),"-")</f>
        <v>0.45882352941176474</v>
      </c>
      <c r="L62" s="24" cm="1">
        <f t="array" ref="L62">IFERROR(INDEX('Metas DM &amp; DO'!$A:$AAD,MATCH(Disponibilidade!$G62,'Metas DM &amp; DO'!$A:$A,0),MATCH(Disponibilidade!$I62,'Metas DM &amp; DO'!$1:$1,0)+2),"-")</f>
        <v>0.66341463414634161</v>
      </c>
      <c r="M62" s="24" cm="1">
        <f t="array" ref="M62">IFERROR(INDEX('Metas DM &amp; DO'!$A:$AAD,MATCH(Disponibilidade!$G62,'Metas DM &amp; DO'!$A:$A,0),MATCH(Disponibilidade!$I62,'Metas DM &amp; DO'!$1:$1,0)+3),"-")</f>
        <v>0.83333333333333337</v>
      </c>
      <c r="N62" s="11" t="str">
        <f t="shared" ref="N62:N68" si="92">IFERROR(IF(J62&lt;K62,"RUIM",IF(AND(J62&gt;=K62,J62&lt;L62),"MEDIA",IF(AND(J62&gt;=L62,J62&lt;M62),"BOA","-"))),"-")</f>
        <v>-</v>
      </c>
      <c r="O62" s="9" t="s">
        <v>19</v>
      </c>
      <c r="P62" s="26">
        <f>IFERROR(MAX(0,1 - (SUMIFS('Motivos De Parada'!K:K,'Motivos De Parada'!G:G,Disponibilidade!G62,'Motivos De Parada'!H:H,Disponibilidade!H62,'Motivos De Parada'!O:O,Disponibilidade!O62,'Motivos De Parada'!E:E,Disponibilidade!C62,'Motivos De Parada'!D:D,Disponibilidade!E62) / 24)),"-")</f>
        <v>1</v>
      </c>
      <c r="Q62" s="24" cm="1">
        <f t="array" ref="Q62">IFERROR(INDEX('Metas DM &amp; DO'!$A:$AAD,MATCH(Disponibilidade!$G62,'Metas DM &amp; DO'!$A:$A,0),MATCH(Disponibilidade!$O62,'Metas DM &amp; DO'!$1:$1,0)+1),"-")</f>
        <v>0.74117647058823533</v>
      </c>
      <c r="R62" s="24" cm="1">
        <f t="array" ref="R62">IFERROR(INDEX('Metas DM &amp; DO'!$A:$AAD,MATCH(Disponibilidade!$G62,'Metas DM &amp; DO'!$A:$A,0),MATCH(Disponibilidade!$O62,'Metas DM &amp; DO'!$1:$1,0)+2),"-")</f>
        <v>0.83902439024390252</v>
      </c>
      <c r="S62" s="24" cm="1">
        <f t="array" ref="S62">IFERROR(INDEX('Metas DM &amp; DO'!$A:$AAD,MATCH(Disponibilidade!$G62,'Metas DM &amp; DO'!$A:$A,0),MATCH(Disponibilidade!$O62,'Metas DM &amp; DO'!$1:$1,0)+3),"-")</f>
        <v>0.79166666666666674</v>
      </c>
      <c r="T62" s="11" t="str">
        <f t="shared" si="57"/>
        <v>-</v>
      </c>
      <c r="U62" s="9" t="s">
        <v>59</v>
      </c>
      <c r="V62" s="16">
        <f>IFERROR(SUMIFS('Motivos De Parada'!K:K,'Motivos De Parada'!G:G,Disponibilidade!G62,'Motivos De Parada'!H:H,Disponibilidade!H62,'Motivos De Parada'!O:O,Disponibilidade!I62,'Motivos De Parada'!E:E,Disponibilidade!C62,'Motivos De Parada'!D:D,Disponibilidade!E62),"-")</f>
        <v>0</v>
      </c>
      <c r="W62" s="16">
        <f>IFERROR(SUMIFS('Motivos De Parada'!K:K,'Motivos De Parada'!G:G,Disponibilidade!G62,'Motivos De Parada'!H:H,Disponibilidade!H62,'Motivos De Parada'!O:O,Disponibilidade!O62,'Motivos De Parada'!E:E,Disponibilidade!C62,'Motivos De Parada'!D:D,Disponibilidade!E62),"-")</f>
        <v>0</v>
      </c>
      <c r="X62" s="16">
        <f t="shared" si="58"/>
        <v>0</v>
      </c>
      <c r="Y62" s="16">
        <f>IFERROR(SUMIFS('Motivos De Parada'!K:K,'Motivos De Parada'!G:G,Disponibilidade!G62,'Motivos De Parada'!H:H,Disponibilidade!H62,'Motivos De Parada'!E:E,Disponibilidade!C62,'Motivos De Parada'!D:D,Disponibilidade!E62),"-")</f>
        <v>0</v>
      </c>
      <c r="Z62" s="28" t="str">
        <f>IFERROR(IF(Y62=0,"OK",IF(OR(Y62&gt;12,Y62&lt;12),"VERIFICAR","OK")),"-")</f>
        <v>OK</v>
      </c>
      <c r="AA62" s="16">
        <f t="shared" si="59"/>
        <v>0</v>
      </c>
      <c r="AB62" s="16">
        <f>IFERROR(SUMIFS('Motivos De Parada'!K:K,'Motivos De Parada'!G:G,Disponibilidade!G62,'Motivos De Parada'!H:H,Disponibilidade!H62,'Motivos De Parada'!E:E,Disponibilidade!C62,'Motivos De Parada'!D:D,Disponibilidade!E62,'Motivos De Parada'!M:M,"REFEIÇÃO"),"-")</f>
        <v>0</v>
      </c>
      <c r="AC62" s="16">
        <f t="shared" si="60"/>
        <v>0</v>
      </c>
      <c r="AD62" s="28" t="str">
        <f>IFERROR(IF(AC62&lt;0,"VERIFICAR","OK"),"-")</f>
        <v>OK</v>
      </c>
      <c r="AE62" s="16" cm="1">
        <f t="array" ref="AE62">IFERROR(SUM(SUMIFS('Motivos De Parada'!K:K,'Motivos De Parada'!G:G,Disponibilidade!G62,'Motivos De Parada'!H:H,Disponibilidade!H62,'Motivos De Parada'!E:E,Disponibilidade!C62,'Motivos De Parada'!D:D,Disponibilidade!E62,'Motivos De Parada'!O:O,{"DISPONIBILIDADE MECÂNICA";"DISPONIBILIDADE OPERACIONAL"},'Motivos De Parada'!P:P,"NÃO")),"-")</f>
        <v>0</v>
      </c>
      <c r="AF62" s="16" cm="1">
        <f t="array" ref="AF62">IFERROR(SUM(SUMIFS('Motivos De Parada'!K:K,'Motivos De Parada'!G:G,Disponibilidade!G62,'Motivos De Parada'!H:H,Disponibilidade!H62,'Motivos De Parada'!E:E,Disponibilidade!C62,'Motivos De Parada'!D:D,Disponibilidade!E62,'Motivos De Parada'!O:O,{"DISPONIBILIDADE MECÂNICA";"DISPONIBILIDADE OPERACIONAL"},'Motivos De Parada'!P:P,"SIM")),"-")</f>
        <v>0</v>
      </c>
      <c r="AG62" s="16">
        <f t="shared" si="61"/>
        <v>0</v>
      </c>
      <c r="AH62" s="28" t="str">
        <f>IFERROR(IF(AND(AG62=0,AC62=0),"OK",IF(AG62=AC62,"VERIFICAR","OK")),"-")</f>
        <v>OK</v>
      </c>
      <c r="AI62" s="16" cm="1">
        <f t="array" ref="AI62">IFERROR(INDEX('Metas DM &amp; DO'!$A:$AAD,MATCH(Disponibilidade!$G62,'Metas DM &amp; DO'!$A:$A,0),MATCH(Disponibilidade!$U62,'Metas DM &amp; DO'!$1:$1,0)+2),"-")</f>
        <v>4.8</v>
      </c>
      <c r="AJ62" s="16" cm="1">
        <f t="array" ref="AJ62">IFERROR(INDEX('Metas DM &amp; DO'!$A:$AAD,MATCH(Disponibilidade!$G62,'Metas DM &amp; DO'!$A:$A,0),MATCH(Disponibilidade!$U62,'Metas DM &amp; DO'!$1:$1,0)+3),"-")</f>
        <v>2.9853658536585361</v>
      </c>
      <c r="AK62" s="16" cm="1">
        <f t="array" ref="AK62">IFERROR(INDEX('Metas DM &amp; DO'!$A:$AAD,MATCH(Disponibilidade!$G62,'Metas DM &amp; DO'!$A:$A,0),MATCH(Disponibilidade!$U62,'Metas DM &amp; DO'!$1:$1,0)+4),"-")</f>
        <v>12</v>
      </c>
      <c r="AL62" s="11" t="str">
        <f t="shared" si="62"/>
        <v>EXCELENTE</v>
      </c>
    </row>
    <row r="63" spans="1:38" x14ac:dyDescent="0.3">
      <c r="A63" s="11">
        <f t="shared" si="63"/>
        <v>2026</v>
      </c>
      <c r="B63" s="12">
        <f t="shared" si="64"/>
        <v>46023</v>
      </c>
      <c r="C63" s="19">
        <v>46028</v>
      </c>
      <c r="D63" s="3" t="s">
        <v>120</v>
      </c>
      <c r="E63" s="11" t="s">
        <v>81</v>
      </c>
      <c r="F63" s="11" t="str" cm="1">
        <f t="array" ref="F63">IFERROR(INDEX('Motivos De Parada'!C:C,MATCH(1,('Motivos De Parada'!E:E=Disponibilidade!C63)*('Motivos De Parada'!G:G=Disponibilidade!G63)*('Motivos De Parada'!D:D=Disponibilidade!E63),0)),"-")</f>
        <v>-</v>
      </c>
      <c r="G63" s="11" t="str">
        <f>IFERROR(VLOOKUP(D63,Cadastros!A:B,2,FALSE),"-")</f>
        <v>FELLER BUNCHER 1</v>
      </c>
      <c r="H63" s="11" t="str">
        <f>IFERROR(VLOOKUP(G63,Cadastros!B:D,3,FALSE),"-")</f>
        <v>CORTE</v>
      </c>
      <c r="I63" s="9" t="s">
        <v>20</v>
      </c>
      <c r="J63" s="26">
        <f>IFERROR(MAX(0,1 - (SUMIFS('Motivos De Parada'!K:K,'Motivos De Parada'!G:G,Disponibilidade!G63,'Motivos De Parada'!H:H,Disponibilidade!H63,'Motivos De Parada'!O:O,Disponibilidade!I63,'Motivos De Parada'!E:E,Disponibilidade!C63,'Motivos De Parada'!D:D,Disponibilidade!E63) / 24)),"-")</f>
        <v>1</v>
      </c>
      <c r="K63" s="24" cm="1">
        <f t="array" ref="K63">IFERROR(INDEX('Metas DM &amp; DO'!$A:$AAD,MATCH(Disponibilidade!$G63,'Metas DM &amp; DO'!$A:$A,0),MATCH(Disponibilidade!$I63,'Metas DM &amp; DO'!$1:$1,0)+1),"-")</f>
        <v>0.45882352941176474</v>
      </c>
      <c r="L63" s="24" cm="1">
        <f t="array" ref="L63">IFERROR(INDEX('Metas DM &amp; DO'!$A:$AAD,MATCH(Disponibilidade!$G63,'Metas DM &amp; DO'!$A:$A,0),MATCH(Disponibilidade!$I63,'Metas DM &amp; DO'!$1:$1,0)+2),"-")</f>
        <v>0.66341463414634161</v>
      </c>
      <c r="M63" s="24" cm="1">
        <f t="array" ref="M63">IFERROR(INDEX('Metas DM &amp; DO'!$A:$AAD,MATCH(Disponibilidade!$G63,'Metas DM &amp; DO'!$A:$A,0),MATCH(Disponibilidade!$I63,'Metas DM &amp; DO'!$1:$1,0)+3),"-")</f>
        <v>0.83333333333333337</v>
      </c>
      <c r="N63" s="11" t="str">
        <f t="shared" si="92"/>
        <v>-</v>
      </c>
      <c r="O63" s="9" t="s">
        <v>19</v>
      </c>
      <c r="P63" s="26">
        <f>IFERROR(MAX(0,1 - (SUMIFS('Motivos De Parada'!K:K,'Motivos De Parada'!G:G,Disponibilidade!G63,'Motivos De Parada'!H:H,Disponibilidade!H63,'Motivos De Parada'!O:O,Disponibilidade!O63,'Motivos De Parada'!E:E,Disponibilidade!C63,'Motivos De Parada'!D:D,Disponibilidade!E63) / 24)),"-")</f>
        <v>1</v>
      </c>
      <c r="Q63" s="24" cm="1">
        <f t="array" ref="Q63">IFERROR(INDEX('Metas DM &amp; DO'!$A:$AAD,MATCH(Disponibilidade!$G63,'Metas DM &amp; DO'!$A:$A,0),MATCH(Disponibilidade!$O63,'Metas DM &amp; DO'!$1:$1,0)+1),"-")</f>
        <v>0.74117647058823533</v>
      </c>
      <c r="R63" s="24" cm="1">
        <f t="array" ref="R63">IFERROR(INDEX('Metas DM &amp; DO'!$A:$AAD,MATCH(Disponibilidade!$G63,'Metas DM &amp; DO'!$A:$A,0),MATCH(Disponibilidade!$O63,'Metas DM &amp; DO'!$1:$1,0)+2),"-")</f>
        <v>0.83902439024390252</v>
      </c>
      <c r="S63" s="24" cm="1">
        <f t="array" ref="S63">IFERROR(INDEX('Metas DM &amp; DO'!$A:$AAD,MATCH(Disponibilidade!$G63,'Metas DM &amp; DO'!$A:$A,0),MATCH(Disponibilidade!$O63,'Metas DM &amp; DO'!$1:$1,0)+3),"-")</f>
        <v>0.79166666666666674</v>
      </c>
      <c r="T63" s="11" t="str">
        <f t="shared" si="57"/>
        <v>-</v>
      </c>
      <c r="U63" s="9" t="s">
        <v>59</v>
      </c>
      <c r="V63" s="16">
        <f>IFERROR(SUMIFS('Motivos De Parada'!K:K,'Motivos De Parada'!G:G,Disponibilidade!G63,'Motivos De Parada'!H:H,Disponibilidade!H63,'Motivos De Parada'!O:O,Disponibilidade!I63,'Motivos De Parada'!E:E,Disponibilidade!C63,'Motivos De Parada'!D:D,Disponibilidade!E63),"-")</f>
        <v>0</v>
      </c>
      <c r="W63" s="16">
        <f>IFERROR(SUMIFS('Motivos De Parada'!K:K,'Motivos De Parada'!G:G,Disponibilidade!G63,'Motivos De Parada'!H:H,Disponibilidade!H63,'Motivos De Parada'!O:O,Disponibilidade!O63,'Motivos De Parada'!E:E,Disponibilidade!C63,'Motivos De Parada'!D:D,Disponibilidade!E63),"-")</f>
        <v>0</v>
      </c>
      <c r="X63" s="16">
        <f t="shared" si="58"/>
        <v>0</v>
      </c>
      <c r="Y63" s="16">
        <f>IFERROR(SUMIFS('Motivos De Parada'!K:K,'Motivos De Parada'!G:G,Disponibilidade!G63,'Motivos De Parada'!H:H,Disponibilidade!H63,'Motivos De Parada'!E:E,Disponibilidade!C63,'Motivos De Parada'!D:D,Disponibilidade!E63),"-")</f>
        <v>0</v>
      </c>
      <c r="Z63" s="28" t="str">
        <f t="shared" ref="Z63:Z69" si="93">IFERROR(IF(Y63=0,"OK",IF(OR(Y63&gt;12,Y63&lt;12),"VERIFICAR","OK")),"-")</f>
        <v>OK</v>
      </c>
      <c r="AA63" s="16">
        <f t="shared" si="59"/>
        <v>0</v>
      </c>
      <c r="AB63" s="16">
        <f>IFERROR(SUMIFS('Motivos De Parada'!K:K,'Motivos De Parada'!G:G,Disponibilidade!G63,'Motivos De Parada'!H:H,Disponibilidade!H63,'Motivos De Parada'!E:E,Disponibilidade!C63,'Motivos De Parada'!D:D,Disponibilidade!E63,'Motivos De Parada'!M:M,"REFEIÇÃO"),"-")</f>
        <v>0</v>
      </c>
      <c r="AC63" s="16">
        <f t="shared" si="60"/>
        <v>0</v>
      </c>
      <c r="AD63" s="28" t="str">
        <f t="shared" ref="AD63:AD69" si="94">IFERROR(IF(AC63&lt;0,"VERIFICAR","OK"),"-")</f>
        <v>OK</v>
      </c>
      <c r="AE63" s="16" cm="1">
        <f t="array" ref="AE63">IFERROR(SUM(SUMIFS('Motivos De Parada'!K:K,'Motivos De Parada'!G:G,Disponibilidade!G63,'Motivos De Parada'!H:H,Disponibilidade!H63,'Motivos De Parada'!E:E,Disponibilidade!C63,'Motivos De Parada'!D:D,Disponibilidade!E63,'Motivos De Parada'!O:O,{"DISPONIBILIDADE MECÂNICA";"DISPONIBILIDADE OPERACIONAL"},'Motivos De Parada'!P:P,"NÃO")),"-")</f>
        <v>0</v>
      </c>
      <c r="AF63" s="16" cm="1">
        <f t="array" ref="AF63">IFERROR(SUM(SUMIFS('Motivos De Parada'!K:K,'Motivos De Parada'!G:G,Disponibilidade!G63,'Motivos De Parada'!H:H,Disponibilidade!H63,'Motivos De Parada'!E:E,Disponibilidade!C63,'Motivos De Parada'!D:D,Disponibilidade!E63,'Motivos De Parada'!O:O,{"DISPONIBILIDADE MECÂNICA";"DISPONIBILIDADE OPERACIONAL"},'Motivos De Parada'!P:P,"SIM")),"-")</f>
        <v>0</v>
      </c>
      <c r="AG63" s="16">
        <f t="shared" si="61"/>
        <v>0</v>
      </c>
      <c r="AH63" s="28" t="str">
        <f t="shared" ref="AH63:AH69" si="95">IFERROR(IF(AND(AG63=0,AC63=0),"OK",IF(AG63=AC63,"VERIFICAR","OK")),"-")</f>
        <v>OK</v>
      </c>
      <c r="AI63" s="16" cm="1">
        <f t="array" ref="AI63">IFERROR(INDEX('Metas DM &amp; DO'!$A:$AAD,MATCH(Disponibilidade!$G63,'Metas DM &amp; DO'!$A:$A,0),MATCH(Disponibilidade!$U63,'Metas DM &amp; DO'!$1:$1,0)+2),"-")</f>
        <v>4.8</v>
      </c>
      <c r="AJ63" s="16" cm="1">
        <f t="array" ref="AJ63">IFERROR(INDEX('Metas DM &amp; DO'!$A:$AAD,MATCH(Disponibilidade!$G63,'Metas DM &amp; DO'!$A:$A,0),MATCH(Disponibilidade!$U63,'Metas DM &amp; DO'!$1:$1,0)+3),"-")</f>
        <v>2.9853658536585361</v>
      </c>
      <c r="AK63" s="16" cm="1">
        <f t="array" ref="AK63">IFERROR(INDEX('Metas DM &amp; DO'!$A:$AAD,MATCH(Disponibilidade!$G63,'Metas DM &amp; DO'!$A:$A,0),MATCH(Disponibilidade!$U63,'Metas DM &amp; DO'!$1:$1,0)+4),"-")</f>
        <v>12</v>
      </c>
      <c r="AL63" s="11" t="str">
        <f t="shared" si="62"/>
        <v>EXCELENTE</v>
      </c>
    </row>
    <row r="64" spans="1:38" x14ac:dyDescent="0.3">
      <c r="A64" s="11">
        <f t="shared" si="63"/>
        <v>2026</v>
      </c>
      <c r="B64" s="12">
        <f t="shared" si="64"/>
        <v>46023</v>
      </c>
      <c r="C64" s="19">
        <v>46028</v>
      </c>
      <c r="D64" s="3" t="s">
        <v>122</v>
      </c>
      <c r="E64" s="11" t="s">
        <v>80</v>
      </c>
      <c r="F64" s="11" t="str" cm="1">
        <f t="array" ref="F64">IFERROR(INDEX('Motivos De Parada'!C:C,MATCH(1,('Motivos De Parada'!E:E=Disponibilidade!C64)*('Motivos De Parada'!G:G=Disponibilidade!G64)*('Motivos De Parada'!D:D=Disponibilidade!E64),0)),"-")</f>
        <v>OPERADOR 7</v>
      </c>
      <c r="G64" s="11" t="str">
        <f>IFERROR(VLOOKUP(D64,Cadastros!A:B,2,FALSE),"-")</f>
        <v>FELLER BUNCHER 2</v>
      </c>
      <c r="H64" s="11" t="str">
        <f>IFERROR(VLOOKUP(G64,Cadastros!B:D,3,FALSE),"-")</f>
        <v>CORTE</v>
      </c>
      <c r="I64" s="9" t="s">
        <v>20</v>
      </c>
      <c r="J64" s="26">
        <f>IFERROR(MAX(0,1 - (SUMIFS('Motivos De Parada'!K:K,'Motivos De Parada'!G:G,Disponibilidade!G64,'Motivos De Parada'!H:H,Disponibilidade!H64,'Motivos De Parada'!O:O,Disponibilidade!I64,'Motivos De Parada'!E:E,Disponibilidade!C64,'Motivos De Parada'!D:D,Disponibilidade!E64) / 24)),"-")</f>
        <v>1</v>
      </c>
      <c r="K64" s="24" cm="1">
        <f t="array" ref="K64">IFERROR(INDEX('Metas DM &amp; DO'!$A:$AAD,MATCH(Disponibilidade!$G64,'Metas DM &amp; DO'!$A:$A,0),MATCH(Disponibilidade!$I64,'Metas DM &amp; DO'!$1:$1,0)+1),"-")</f>
        <v>1</v>
      </c>
      <c r="L64" s="24" cm="1">
        <f t="array" ref="L64">IFERROR(INDEX('Metas DM &amp; DO'!$A:$AAD,MATCH(Disponibilidade!$G64,'Metas DM &amp; DO'!$A:$A,0),MATCH(Disponibilidade!$I64,'Metas DM &amp; DO'!$1:$1,0)+2),"-")</f>
        <v>1</v>
      </c>
      <c r="M64" s="24" t="str" cm="1">
        <f t="array" ref="M64">IFERROR(INDEX('Metas DM &amp; DO'!$A:$AAD,MATCH(Disponibilidade!$G64,'Metas DM &amp; DO'!$A:$A,0),MATCH(Disponibilidade!$I64,'Metas DM &amp; DO'!$1:$1,0)+3),"-")</f>
        <v>-</v>
      </c>
      <c r="N64" s="11" t="str">
        <f>IFERROR(IF(J64&lt;K64,"RUIM",IF(AND(J64&gt;=K64,J64&lt;L64),"MEDIA",IF(AND(J64&gt;=L64,J64&lt;M64),"BOA","-"))),"-")</f>
        <v>BOA</v>
      </c>
      <c r="O64" s="9" t="s">
        <v>19</v>
      </c>
      <c r="P64" s="26">
        <f>IFERROR(MAX(0,1 - (SUMIFS('Motivos De Parada'!K:K,'Motivos De Parada'!G:G,Disponibilidade!G64,'Motivos De Parada'!H:H,Disponibilidade!H64,'Motivos De Parada'!O:O,Disponibilidade!O64,'Motivos De Parada'!E:E,Disponibilidade!C64,'Motivos De Parada'!D:D,Disponibilidade!E64) / 24)),"-")</f>
        <v>0.58333333333333348</v>
      </c>
      <c r="Q64" s="24" cm="1">
        <f t="array" ref="Q64">IFERROR(INDEX('Metas DM &amp; DO'!$A:$AAD,MATCH(Disponibilidade!$G64,'Metas DM &amp; DO'!$A:$A,0),MATCH(Disponibilidade!$O64,'Metas DM &amp; DO'!$1:$1,0)+1),"-")</f>
        <v>0.11999999999999977</v>
      </c>
      <c r="R64" s="24" cm="1">
        <f t="array" ref="R64">IFERROR(INDEX('Metas DM &amp; DO'!$A:$AAD,MATCH(Disponibilidade!$G64,'Metas DM &amp; DO'!$A:$A,0),MATCH(Disponibilidade!$O64,'Metas DM &amp; DO'!$1:$1,0)+2),"-")</f>
        <v>0.2584269662921348</v>
      </c>
      <c r="S64" s="24" cm="1">
        <f t="array" ref="S64">IFERROR(INDEX('Metas DM &amp; DO'!$A:$AAD,MATCH(Disponibilidade!$G64,'Metas DM &amp; DO'!$A:$A,0),MATCH(Disponibilidade!$O64,'Metas DM &amp; DO'!$1:$1,0)+3),"-")</f>
        <v>0.58333333333333348</v>
      </c>
      <c r="T64" s="11" t="str">
        <f t="shared" si="57"/>
        <v>-</v>
      </c>
      <c r="U64" s="9" t="s">
        <v>59</v>
      </c>
      <c r="V64" s="16">
        <f>IFERROR(SUMIFS('Motivos De Parada'!K:K,'Motivos De Parada'!G:G,Disponibilidade!G64,'Motivos De Parada'!H:H,Disponibilidade!H64,'Motivos De Parada'!O:O,Disponibilidade!I64,'Motivos De Parada'!E:E,Disponibilidade!C64,'Motivos De Parada'!D:D,Disponibilidade!E64),"-")</f>
        <v>0</v>
      </c>
      <c r="W64" s="16">
        <f>IFERROR(SUMIFS('Motivos De Parada'!K:K,'Motivos De Parada'!G:G,Disponibilidade!G64,'Motivos De Parada'!H:H,Disponibilidade!H64,'Motivos De Parada'!O:O,Disponibilidade!O64,'Motivos De Parada'!E:E,Disponibilidade!C64,'Motivos De Parada'!D:D,Disponibilidade!E64),"-")</f>
        <v>9.9999999999999982</v>
      </c>
      <c r="X64" s="16">
        <f t="shared" si="58"/>
        <v>4.9999999999999991</v>
      </c>
      <c r="Y64" s="16">
        <f>IFERROR(SUMIFS('Motivos De Parada'!K:K,'Motivos De Parada'!G:G,Disponibilidade!G64,'Motivos De Parada'!H:H,Disponibilidade!H64,'Motivos De Parada'!E:E,Disponibilidade!C64,'Motivos De Parada'!D:D,Disponibilidade!E64),"-")</f>
        <v>12</v>
      </c>
      <c r="Z64" s="28" t="str">
        <f t="shared" si="93"/>
        <v>OK</v>
      </c>
      <c r="AA64" s="16">
        <f t="shared" si="59"/>
        <v>9.9999999999999982</v>
      </c>
      <c r="AB64" s="16">
        <f>IFERROR(SUMIFS('Motivos De Parada'!K:K,'Motivos De Parada'!G:G,Disponibilidade!G64,'Motivos De Parada'!H:H,Disponibilidade!H64,'Motivos De Parada'!E:E,Disponibilidade!C64,'Motivos De Parada'!D:D,Disponibilidade!E64,'Motivos De Parada'!M:M,"REFEIÇÃO"),"-")</f>
        <v>0</v>
      </c>
      <c r="AC64" s="16">
        <f t="shared" si="60"/>
        <v>2.0000000000000018</v>
      </c>
      <c r="AD64" s="28" t="str">
        <f t="shared" si="94"/>
        <v>OK</v>
      </c>
      <c r="AE64" s="16" cm="1">
        <f t="array" ref="AE64">IFERROR(SUM(SUMIFS('Motivos De Parada'!K:K,'Motivos De Parada'!G:G,Disponibilidade!G64,'Motivos De Parada'!H:H,Disponibilidade!H64,'Motivos De Parada'!E:E,Disponibilidade!C64,'Motivos De Parada'!D:D,Disponibilidade!E64,'Motivos De Parada'!O:O,{"DISPONIBILIDADE MECÂNICA";"DISPONIBILIDADE OPERACIONAL"},'Motivos De Parada'!P:P,"NÃO")),"-")</f>
        <v>9.9999999999999982</v>
      </c>
      <c r="AF64" s="16" cm="1">
        <f t="array" ref="AF64">IFERROR(SUM(SUMIFS('Motivos De Parada'!K:K,'Motivos De Parada'!G:G,Disponibilidade!G64,'Motivos De Parada'!H:H,Disponibilidade!H64,'Motivos De Parada'!E:E,Disponibilidade!C64,'Motivos De Parada'!D:D,Disponibilidade!E64,'Motivos De Parada'!O:O,{"DISPONIBILIDADE MECÂNICA";"DISPONIBILIDADE OPERACIONAL"},'Motivos De Parada'!P:P,"SIM")),"-")</f>
        <v>0</v>
      </c>
      <c r="AG64" s="16">
        <f t="shared" si="61"/>
        <v>2.0000000000000018</v>
      </c>
      <c r="AH64" s="28" t="str">
        <f t="shared" si="95"/>
        <v>VERIFICAR</v>
      </c>
      <c r="AI64" s="16" cm="1">
        <f t="array" ref="AI64">IFERROR(INDEX('Metas DM &amp; DO'!$A:$AAD,MATCH(Disponibilidade!$G64,'Metas DM &amp; DO'!$A:$A,0),MATCH(Disponibilidade!$U64,'Metas DM &amp; DO'!$1:$1,0)+2),"-")</f>
        <v>5.2800000000000011</v>
      </c>
      <c r="AJ64" s="16" cm="1">
        <f t="array" ref="AJ64">IFERROR(INDEX('Metas DM &amp; DO'!$A:$AAD,MATCH(Disponibilidade!$G64,'Metas DM &amp; DO'!$A:$A,0),MATCH(Disponibilidade!$U64,'Metas DM &amp; DO'!$1:$1,0)+3),"-")</f>
        <v>4.4494382022471912</v>
      </c>
      <c r="AK64" s="16" cm="1">
        <f t="array" ref="AK64">IFERROR(INDEX('Metas DM &amp; DO'!$A:$AAD,MATCH(Disponibilidade!$G64,'Metas DM &amp; DO'!$A:$A,0),MATCH(Disponibilidade!$U64,'Metas DM &amp; DO'!$1:$1,0)+4),"-")</f>
        <v>9</v>
      </c>
      <c r="AL64" s="11" t="str">
        <f t="shared" si="62"/>
        <v>BOM</v>
      </c>
    </row>
    <row r="65" spans="1:38" x14ac:dyDescent="0.3">
      <c r="A65" s="11">
        <f t="shared" si="63"/>
        <v>2026</v>
      </c>
      <c r="B65" s="12">
        <f t="shared" si="64"/>
        <v>46023</v>
      </c>
      <c r="C65" s="19">
        <v>46028</v>
      </c>
      <c r="D65" s="3" t="s">
        <v>122</v>
      </c>
      <c r="E65" s="11" t="s">
        <v>81</v>
      </c>
      <c r="F65" s="11" t="str" cm="1">
        <f t="array" ref="F65">IFERROR(INDEX('Motivos De Parada'!C:C,MATCH(1,('Motivos De Parada'!E:E=Disponibilidade!C65)*('Motivos De Parada'!G:G=Disponibilidade!G65)*('Motivos De Parada'!D:D=Disponibilidade!E65),0)),"-")</f>
        <v>OPERADOR 8</v>
      </c>
      <c r="G65" s="11" t="str">
        <f>IFERROR(VLOOKUP(D65,Cadastros!A:B,2,FALSE),"-")</f>
        <v>FELLER BUNCHER 2</v>
      </c>
      <c r="H65" s="11" t="str">
        <f>IFERROR(VLOOKUP(G65,Cadastros!B:D,3,FALSE),"-")</f>
        <v>CORTE</v>
      </c>
      <c r="I65" s="9" t="s">
        <v>20</v>
      </c>
      <c r="J65" s="26">
        <f>IFERROR(MAX(0,1 - (SUMIFS('Motivos De Parada'!K:K,'Motivos De Parada'!G:G,Disponibilidade!G65,'Motivos De Parada'!H:H,Disponibilidade!H65,'Motivos De Parada'!O:O,Disponibilidade!I65,'Motivos De Parada'!E:E,Disponibilidade!C65,'Motivos De Parada'!D:D,Disponibilidade!E65) / 24)),"-")</f>
        <v>1</v>
      </c>
      <c r="K65" s="24" cm="1">
        <f t="array" ref="K65">IFERROR(INDEX('Metas DM &amp; DO'!$A:$AAD,MATCH(Disponibilidade!$G65,'Metas DM &amp; DO'!$A:$A,0),MATCH(Disponibilidade!$I65,'Metas DM &amp; DO'!$1:$1,0)+1),"-")</f>
        <v>1</v>
      </c>
      <c r="L65" s="24" cm="1">
        <f t="array" ref="L65">IFERROR(INDEX('Metas DM &amp; DO'!$A:$AAD,MATCH(Disponibilidade!$G65,'Metas DM &amp; DO'!$A:$A,0),MATCH(Disponibilidade!$I65,'Metas DM &amp; DO'!$1:$1,0)+2),"-")</f>
        <v>1</v>
      </c>
      <c r="M65" s="24" t="str" cm="1">
        <f t="array" ref="M65">IFERROR(INDEX('Metas DM &amp; DO'!$A:$AAD,MATCH(Disponibilidade!$G65,'Metas DM &amp; DO'!$A:$A,0),MATCH(Disponibilidade!$I65,'Metas DM &amp; DO'!$1:$1,0)+3),"-")</f>
        <v>-</v>
      </c>
      <c r="N65" s="11" t="str">
        <f>IFERROR(IF(J65&lt;K65,"RUIM",IF(AND(J65&gt;=K65,J65&lt;L65),"MEDIA",IF(AND(J65&gt;=L65,J65&lt;M65),"BOA","-"))),"-")</f>
        <v>BOA</v>
      </c>
      <c r="O65" s="9" t="s">
        <v>19</v>
      </c>
      <c r="P65" s="26">
        <f>IFERROR(MAX(0,1 - (SUMIFS('Motivos De Parada'!K:K,'Motivos De Parada'!G:G,Disponibilidade!G65,'Motivos De Parada'!H:H,Disponibilidade!H65,'Motivos De Parada'!O:O,Disponibilidade!O65,'Motivos De Parada'!E:E,Disponibilidade!C65,'Motivos De Parada'!D:D,Disponibilidade!E65) / 24)),"-")</f>
        <v>0.5</v>
      </c>
      <c r="Q65" s="24" cm="1">
        <f t="array" ref="Q65">IFERROR(INDEX('Metas DM &amp; DO'!$A:$AAD,MATCH(Disponibilidade!$G65,'Metas DM &amp; DO'!$A:$A,0),MATCH(Disponibilidade!$O65,'Metas DM &amp; DO'!$1:$1,0)+1),"-")</f>
        <v>0.11999999999999977</v>
      </c>
      <c r="R65" s="24" cm="1">
        <f t="array" ref="R65">IFERROR(INDEX('Metas DM &amp; DO'!$A:$AAD,MATCH(Disponibilidade!$G65,'Metas DM &amp; DO'!$A:$A,0),MATCH(Disponibilidade!$O65,'Metas DM &amp; DO'!$1:$1,0)+2),"-")</f>
        <v>0.2584269662921348</v>
      </c>
      <c r="S65" s="24" cm="1">
        <f t="array" ref="S65">IFERROR(INDEX('Metas DM &amp; DO'!$A:$AAD,MATCH(Disponibilidade!$G65,'Metas DM &amp; DO'!$A:$A,0),MATCH(Disponibilidade!$O65,'Metas DM &amp; DO'!$1:$1,0)+3),"-")</f>
        <v>0.58333333333333348</v>
      </c>
      <c r="T65" s="11" t="str">
        <f t="shared" si="57"/>
        <v>BOA</v>
      </c>
      <c r="U65" s="9" t="s">
        <v>59</v>
      </c>
      <c r="V65" s="16">
        <f>IFERROR(SUMIFS('Motivos De Parada'!K:K,'Motivos De Parada'!G:G,Disponibilidade!G65,'Motivos De Parada'!H:H,Disponibilidade!H65,'Motivos De Parada'!O:O,Disponibilidade!I65,'Motivos De Parada'!E:E,Disponibilidade!C65,'Motivos De Parada'!D:D,Disponibilidade!E65),"-")</f>
        <v>0</v>
      </c>
      <c r="W65" s="16">
        <f>IFERROR(SUMIFS('Motivos De Parada'!K:K,'Motivos De Parada'!G:G,Disponibilidade!G65,'Motivos De Parada'!H:H,Disponibilidade!H65,'Motivos De Parada'!O:O,Disponibilidade!O65,'Motivos De Parada'!E:E,Disponibilidade!C65,'Motivos De Parada'!D:D,Disponibilidade!E65),"-")</f>
        <v>12</v>
      </c>
      <c r="X65" s="16">
        <f t="shared" si="58"/>
        <v>6</v>
      </c>
      <c r="Y65" s="16">
        <f>IFERROR(SUMIFS('Motivos De Parada'!K:K,'Motivos De Parada'!G:G,Disponibilidade!G65,'Motivos De Parada'!H:H,Disponibilidade!H65,'Motivos De Parada'!E:E,Disponibilidade!C65,'Motivos De Parada'!D:D,Disponibilidade!E65),"-")</f>
        <v>12</v>
      </c>
      <c r="Z65" s="28" t="str">
        <f t="shared" si="93"/>
        <v>OK</v>
      </c>
      <c r="AA65" s="16">
        <f t="shared" si="59"/>
        <v>12</v>
      </c>
      <c r="AB65" s="16">
        <f>IFERROR(SUMIFS('Motivos De Parada'!K:K,'Motivos De Parada'!G:G,Disponibilidade!G65,'Motivos De Parada'!H:H,Disponibilidade!H65,'Motivos De Parada'!E:E,Disponibilidade!C65,'Motivos De Parada'!D:D,Disponibilidade!E65,'Motivos De Parada'!M:M,"REFEIÇÃO"),"-")</f>
        <v>0</v>
      </c>
      <c r="AC65" s="16">
        <f t="shared" si="60"/>
        <v>0</v>
      </c>
      <c r="AD65" s="28" t="str">
        <f t="shared" si="94"/>
        <v>OK</v>
      </c>
      <c r="AE65" s="16" cm="1">
        <f t="array" ref="AE65">IFERROR(SUM(SUMIFS('Motivos De Parada'!K:K,'Motivos De Parada'!G:G,Disponibilidade!G65,'Motivos De Parada'!H:H,Disponibilidade!H65,'Motivos De Parada'!E:E,Disponibilidade!C65,'Motivos De Parada'!D:D,Disponibilidade!E65,'Motivos De Parada'!O:O,{"DISPONIBILIDADE MECÂNICA";"DISPONIBILIDADE OPERACIONAL"},'Motivos De Parada'!P:P,"NÃO")),"-")</f>
        <v>12</v>
      </c>
      <c r="AF65" s="16" cm="1">
        <f t="array" ref="AF65">IFERROR(SUM(SUMIFS('Motivos De Parada'!K:K,'Motivos De Parada'!G:G,Disponibilidade!G65,'Motivos De Parada'!H:H,Disponibilidade!H65,'Motivos De Parada'!E:E,Disponibilidade!C65,'Motivos De Parada'!D:D,Disponibilidade!E65,'Motivos De Parada'!O:O,{"DISPONIBILIDADE MECÂNICA";"DISPONIBILIDADE OPERACIONAL"},'Motivos De Parada'!P:P,"SIM")),"-")</f>
        <v>0</v>
      </c>
      <c r="AG65" s="16">
        <f t="shared" si="61"/>
        <v>0</v>
      </c>
      <c r="AH65" s="28" t="str">
        <f t="shared" si="95"/>
        <v>OK</v>
      </c>
      <c r="AI65" s="16" cm="1">
        <f t="array" ref="AI65">IFERROR(INDEX('Metas DM &amp; DO'!$A:$AAD,MATCH(Disponibilidade!$G65,'Metas DM &amp; DO'!$A:$A,0),MATCH(Disponibilidade!$U65,'Metas DM &amp; DO'!$1:$1,0)+2),"-")</f>
        <v>5.2800000000000011</v>
      </c>
      <c r="AJ65" s="16" cm="1">
        <f t="array" ref="AJ65">IFERROR(INDEX('Metas DM &amp; DO'!$A:$AAD,MATCH(Disponibilidade!$G65,'Metas DM &amp; DO'!$A:$A,0),MATCH(Disponibilidade!$U65,'Metas DM &amp; DO'!$1:$1,0)+3),"-")</f>
        <v>4.4494382022471912</v>
      </c>
      <c r="AK65" s="16" cm="1">
        <f t="array" ref="AK65">IFERROR(INDEX('Metas DM &amp; DO'!$A:$AAD,MATCH(Disponibilidade!$G65,'Metas DM &amp; DO'!$A:$A,0),MATCH(Disponibilidade!$U65,'Metas DM &amp; DO'!$1:$1,0)+4),"-")</f>
        <v>9</v>
      </c>
      <c r="AL65" s="11" t="str">
        <f t="shared" si="62"/>
        <v>ATENÇÃO</v>
      </c>
    </row>
    <row r="66" spans="1:38" x14ac:dyDescent="0.3">
      <c r="A66" s="11">
        <f t="shared" si="63"/>
        <v>2026</v>
      </c>
      <c r="B66" s="12">
        <f t="shared" si="64"/>
        <v>46023</v>
      </c>
      <c r="C66" s="19">
        <v>46028</v>
      </c>
      <c r="D66" s="3" t="s">
        <v>124</v>
      </c>
      <c r="E66" s="11" t="s">
        <v>80</v>
      </c>
      <c r="F66" s="11" t="str" cm="1">
        <f t="array" ref="F66">IFERROR(INDEX('Motivos De Parada'!C:C,MATCH(1,('Motivos De Parada'!E:E=Disponibilidade!C66)*('Motivos De Parada'!G:G=Disponibilidade!G66)*('Motivos De Parada'!D:D=Disponibilidade!E66),0)),"-")</f>
        <v>-</v>
      </c>
      <c r="G66" s="11" t="str">
        <f>IFERROR(VLOOKUP(D66,Cadastros!A:B,2,FALSE),"-")</f>
        <v>SKIDDER 1</v>
      </c>
      <c r="H66" s="11" t="str">
        <f>IFERROR(VLOOKUP(G66,Cadastros!B:D,3,FALSE),"-")</f>
        <v>ARRASTE</v>
      </c>
      <c r="I66" s="9" t="s">
        <v>20</v>
      </c>
      <c r="J66" s="26">
        <f>IFERROR(MAX(0,1 - (SUMIFS('Motivos De Parada'!K:K,'Motivos De Parada'!G:G,Disponibilidade!G66,'Motivos De Parada'!H:H,Disponibilidade!H66,'Motivos De Parada'!O:O,Disponibilidade!I66,'Motivos De Parada'!E:E,Disponibilidade!C66,'Motivos De Parada'!D:D,Disponibilidade!E66) / 24)),"-")</f>
        <v>1</v>
      </c>
      <c r="K66" s="24" t="str" cm="1">
        <f t="array" ref="K66">IFERROR(INDEX('Metas DM &amp; DO'!$A:$AAD,MATCH(Disponibilidade!$G66,'Metas DM &amp; DO'!$A:$A,0),MATCH(Disponibilidade!$I66,'Metas DM &amp; DO'!$1:$1,0)+1),"-")</f>
        <v>-</v>
      </c>
      <c r="L66" s="24" t="str" cm="1">
        <f t="array" ref="L66">IFERROR(INDEX('Metas DM &amp; DO'!$A:$AAD,MATCH(Disponibilidade!$G66,'Metas DM &amp; DO'!$A:$A,0),MATCH(Disponibilidade!$I66,'Metas DM &amp; DO'!$1:$1,0)+2),"-")</f>
        <v>-</v>
      </c>
      <c r="M66" s="24" t="str" cm="1">
        <f t="array" ref="M66">IFERROR(INDEX('Metas DM &amp; DO'!$A:$AAD,MATCH(Disponibilidade!$G66,'Metas DM &amp; DO'!$A:$A,0),MATCH(Disponibilidade!$I66,'Metas DM &amp; DO'!$1:$1,0)+3),"-")</f>
        <v>-</v>
      </c>
      <c r="N66" s="11" t="str">
        <f t="shared" ref="N66:N72" si="96">IFERROR(IF(J66&lt;K66,"RUIM",IF(AND(J66&gt;=K66,J66&lt;L66),"MEDIA",IF(AND(J66&gt;=L66,J66&lt;M66),"BOA","-"))),"-")</f>
        <v>RUIM</v>
      </c>
      <c r="O66" s="9" t="s">
        <v>19</v>
      </c>
      <c r="P66" s="26">
        <f>IFERROR(MAX(0,1 - (SUMIFS('Motivos De Parada'!K:K,'Motivos De Parada'!G:G,Disponibilidade!G66,'Motivos De Parada'!H:H,Disponibilidade!H66,'Motivos De Parada'!O:O,Disponibilidade!O66,'Motivos De Parada'!E:E,Disponibilidade!C66,'Motivos De Parada'!D:D,Disponibilidade!E66) / 24)),"-")</f>
        <v>1</v>
      </c>
      <c r="Q66" s="24" t="str" cm="1">
        <f t="array" ref="Q66">IFERROR(INDEX('Metas DM &amp; DO'!$A:$AAD,MATCH(Disponibilidade!$G66,'Metas DM &amp; DO'!$A:$A,0),MATCH(Disponibilidade!$O66,'Metas DM &amp; DO'!$1:$1,0)+1),"-")</f>
        <v>-</v>
      </c>
      <c r="R66" s="24" t="str" cm="1">
        <f t="array" ref="R66">IFERROR(INDEX('Metas DM &amp; DO'!$A:$AAD,MATCH(Disponibilidade!$G66,'Metas DM &amp; DO'!$A:$A,0),MATCH(Disponibilidade!$O66,'Metas DM &amp; DO'!$1:$1,0)+2),"-")</f>
        <v>-</v>
      </c>
      <c r="S66" s="24" t="str" cm="1">
        <f t="array" ref="S66">IFERROR(INDEX('Metas DM &amp; DO'!$A:$AAD,MATCH(Disponibilidade!$G66,'Metas DM &amp; DO'!$A:$A,0),MATCH(Disponibilidade!$O66,'Metas DM &amp; DO'!$1:$1,0)+3),"-")</f>
        <v>-</v>
      </c>
      <c r="T66" s="11" t="str">
        <f t="shared" si="57"/>
        <v>RUIM</v>
      </c>
      <c r="U66" s="9" t="s">
        <v>59</v>
      </c>
      <c r="V66" s="16">
        <f>IFERROR(SUMIFS('Motivos De Parada'!K:K,'Motivos De Parada'!G:G,Disponibilidade!G66,'Motivos De Parada'!H:H,Disponibilidade!H66,'Motivos De Parada'!O:O,Disponibilidade!I66,'Motivos De Parada'!E:E,Disponibilidade!C66,'Motivos De Parada'!D:D,Disponibilidade!E66),"-")</f>
        <v>0</v>
      </c>
      <c r="W66" s="16">
        <f>IFERROR(SUMIFS('Motivos De Parada'!K:K,'Motivos De Parada'!G:G,Disponibilidade!G66,'Motivos De Parada'!H:H,Disponibilidade!H66,'Motivos De Parada'!O:O,Disponibilidade!O66,'Motivos De Parada'!E:E,Disponibilidade!C66,'Motivos De Parada'!D:D,Disponibilidade!E66),"-")</f>
        <v>0</v>
      </c>
      <c r="X66" s="16">
        <f t="shared" si="58"/>
        <v>0</v>
      </c>
      <c r="Y66" s="16">
        <f>IFERROR(SUMIFS('Motivos De Parada'!K:K,'Motivos De Parada'!G:G,Disponibilidade!G66,'Motivos De Parada'!H:H,Disponibilidade!H66,'Motivos De Parada'!E:E,Disponibilidade!C66,'Motivos De Parada'!D:D,Disponibilidade!E66),"-")</f>
        <v>0</v>
      </c>
      <c r="Z66" s="28" t="str">
        <f t="shared" si="93"/>
        <v>OK</v>
      </c>
      <c r="AA66" s="16">
        <f t="shared" si="59"/>
        <v>0</v>
      </c>
      <c r="AB66" s="16">
        <f>IFERROR(SUMIFS('Motivos De Parada'!K:K,'Motivos De Parada'!G:G,Disponibilidade!G66,'Motivos De Parada'!H:H,Disponibilidade!H66,'Motivos De Parada'!E:E,Disponibilidade!C66,'Motivos De Parada'!D:D,Disponibilidade!E66,'Motivos De Parada'!M:M,"REFEIÇÃO"),"-")</f>
        <v>0</v>
      </c>
      <c r="AC66" s="16">
        <f t="shared" si="60"/>
        <v>0</v>
      </c>
      <c r="AD66" s="28" t="str">
        <f t="shared" si="94"/>
        <v>OK</v>
      </c>
      <c r="AE66" s="16" cm="1">
        <f t="array" ref="AE66">IFERROR(SUM(SUMIFS('Motivos De Parada'!K:K,'Motivos De Parada'!G:G,Disponibilidade!G66,'Motivos De Parada'!H:H,Disponibilidade!H66,'Motivos De Parada'!E:E,Disponibilidade!C66,'Motivos De Parada'!D:D,Disponibilidade!E66,'Motivos De Parada'!O:O,{"DISPONIBILIDADE MECÂNICA";"DISPONIBILIDADE OPERACIONAL"},'Motivos De Parada'!P:P,"NÃO")),"-")</f>
        <v>0</v>
      </c>
      <c r="AF66" s="16" cm="1">
        <f t="array" ref="AF66">IFERROR(SUM(SUMIFS('Motivos De Parada'!K:K,'Motivos De Parada'!G:G,Disponibilidade!G66,'Motivos De Parada'!H:H,Disponibilidade!H66,'Motivos De Parada'!E:E,Disponibilidade!C66,'Motivos De Parada'!D:D,Disponibilidade!E66,'Motivos De Parada'!O:O,{"DISPONIBILIDADE MECÂNICA";"DISPONIBILIDADE OPERACIONAL"},'Motivos De Parada'!P:P,"SIM")),"-")</f>
        <v>0</v>
      </c>
      <c r="AG66" s="16">
        <f t="shared" si="61"/>
        <v>0</v>
      </c>
      <c r="AH66" s="28" t="str">
        <f t="shared" si="95"/>
        <v>OK</v>
      </c>
      <c r="AI66" s="16" t="str" cm="1">
        <f t="array" ref="AI66">IFERROR(INDEX('Metas DM &amp; DO'!$A:$AAD,MATCH(Disponibilidade!$G66,'Metas DM &amp; DO'!$A:$A,0),MATCH(Disponibilidade!$U66,'Metas DM &amp; DO'!$1:$1,0)+2),"-")</f>
        <v>-</v>
      </c>
      <c r="AJ66" s="16" t="str" cm="1">
        <f t="array" ref="AJ66">IFERROR(INDEX('Metas DM &amp; DO'!$A:$AAD,MATCH(Disponibilidade!$G66,'Metas DM &amp; DO'!$A:$A,0),MATCH(Disponibilidade!$U66,'Metas DM &amp; DO'!$1:$1,0)+3),"-")</f>
        <v>-</v>
      </c>
      <c r="AK66" s="16" t="str" cm="1">
        <f t="array" ref="AK66">IFERROR(INDEX('Metas DM &amp; DO'!$A:$AAD,MATCH(Disponibilidade!$G66,'Metas DM &amp; DO'!$A:$A,0),MATCH(Disponibilidade!$U66,'Metas DM &amp; DO'!$1:$1,0)+4),"-")</f>
        <v>-</v>
      </c>
      <c r="AL66" s="11" t="str">
        <f t="shared" si="62"/>
        <v>EXCELENTE</v>
      </c>
    </row>
    <row r="67" spans="1:38" x14ac:dyDescent="0.3">
      <c r="A67" s="11">
        <f t="shared" si="63"/>
        <v>2026</v>
      </c>
      <c r="B67" s="12">
        <f t="shared" si="64"/>
        <v>46023</v>
      </c>
      <c r="C67" s="19">
        <v>46028</v>
      </c>
      <c r="D67" s="3" t="s">
        <v>124</v>
      </c>
      <c r="E67" s="11" t="s">
        <v>81</v>
      </c>
      <c r="F67" s="11" t="str" cm="1">
        <f t="array" ref="F67">IFERROR(INDEX('Motivos De Parada'!C:C,MATCH(1,('Motivos De Parada'!E:E=Disponibilidade!C67)*('Motivos De Parada'!G:G=Disponibilidade!G67)*('Motivos De Parada'!D:D=Disponibilidade!E67),0)),"-")</f>
        <v>-</v>
      </c>
      <c r="G67" s="11" t="str">
        <f>IFERROR(VLOOKUP(D67,Cadastros!A:B,2,FALSE),"-")</f>
        <v>SKIDDER 1</v>
      </c>
      <c r="H67" s="11" t="str">
        <f>IFERROR(VLOOKUP(G67,Cadastros!B:D,3,FALSE),"-")</f>
        <v>ARRASTE</v>
      </c>
      <c r="I67" s="9" t="s">
        <v>20</v>
      </c>
      <c r="J67" s="26">
        <f>IFERROR(MAX(0,1 - (SUMIFS('Motivos De Parada'!K:K,'Motivos De Parada'!G:G,Disponibilidade!G67,'Motivos De Parada'!H:H,Disponibilidade!H67,'Motivos De Parada'!O:O,Disponibilidade!I67,'Motivos De Parada'!E:E,Disponibilidade!C67,'Motivos De Parada'!D:D,Disponibilidade!E67) / 24)),"-")</f>
        <v>1</v>
      </c>
      <c r="K67" s="24" t="str" cm="1">
        <f t="array" ref="K67">IFERROR(INDEX('Metas DM &amp; DO'!$A:$AAD,MATCH(Disponibilidade!$G67,'Metas DM &amp; DO'!$A:$A,0),MATCH(Disponibilidade!$I67,'Metas DM &amp; DO'!$1:$1,0)+1),"-")</f>
        <v>-</v>
      </c>
      <c r="L67" s="24" t="str" cm="1">
        <f t="array" ref="L67">IFERROR(INDEX('Metas DM &amp; DO'!$A:$AAD,MATCH(Disponibilidade!$G67,'Metas DM &amp; DO'!$A:$A,0),MATCH(Disponibilidade!$I67,'Metas DM &amp; DO'!$1:$1,0)+2),"-")</f>
        <v>-</v>
      </c>
      <c r="M67" s="24" t="str" cm="1">
        <f t="array" ref="M67">IFERROR(INDEX('Metas DM &amp; DO'!$A:$AAD,MATCH(Disponibilidade!$G67,'Metas DM &amp; DO'!$A:$A,0),MATCH(Disponibilidade!$I67,'Metas DM &amp; DO'!$1:$1,0)+3),"-")</f>
        <v>-</v>
      </c>
      <c r="N67" s="11" t="str">
        <f t="shared" si="96"/>
        <v>RUIM</v>
      </c>
      <c r="O67" s="9" t="s">
        <v>19</v>
      </c>
      <c r="P67" s="26">
        <f>IFERROR(MAX(0,1 - (SUMIFS('Motivos De Parada'!K:K,'Motivos De Parada'!G:G,Disponibilidade!G67,'Motivos De Parada'!H:H,Disponibilidade!H67,'Motivos De Parada'!O:O,Disponibilidade!O67,'Motivos De Parada'!E:E,Disponibilidade!C67,'Motivos De Parada'!D:D,Disponibilidade!E67) / 24)),"-")</f>
        <v>1</v>
      </c>
      <c r="Q67" s="24" t="str" cm="1">
        <f t="array" ref="Q67">IFERROR(INDEX('Metas DM &amp; DO'!$A:$AAD,MATCH(Disponibilidade!$G67,'Metas DM &amp; DO'!$A:$A,0),MATCH(Disponibilidade!$O67,'Metas DM &amp; DO'!$1:$1,0)+1),"-")</f>
        <v>-</v>
      </c>
      <c r="R67" s="24" t="str" cm="1">
        <f t="array" ref="R67">IFERROR(INDEX('Metas DM &amp; DO'!$A:$AAD,MATCH(Disponibilidade!$G67,'Metas DM &amp; DO'!$A:$A,0),MATCH(Disponibilidade!$O67,'Metas DM &amp; DO'!$1:$1,0)+2),"-")</f>
        <v>-</v>
      </c>
      <c r="S67" s="24" t="str" cm="1">
        <f t="array" ref="S67">IFERROR(INDEX('Metas DM &amp; DO'!$A:$AAD,MATCH(Disponibilidade!$G67,'Metas DM &amp; DO'!$A:$A,0),MATCH(Disponibilidade!$O67,'Metas DM &amp; DO'!$1:$1,0)+3),"-")</f>
        <v>-</v>
      </c>
      <c r="T67" s="11" t="str">
        <f t="shared" si="57"/>
        <v>RUIM</v>
      </c>
      <c r="U67" s="9" t="s">
        <v>59</v>
      </c>
      <c r="V67" s="16">
        <f>IFERROR(SUMIFS('Motivos De Parada'!K:K,'Motivos De Parada'!G:G,Disponibilidade!G67,'Motivos De Parada'!H:H,Disponibilidade!H67,'Motivos De Parada'!O:O,Disponibilidade!I67,'Motivos De Parada'!E:E,Disponibilidade!C67,'Motivos De Parada'!D:D,Disponibilidade!E67),"-")</f>
        <v>0</v>
      </c>
      <c r="W67" s="16">
        <f>IFERROR(SUMIFS('Motivos De Parada'!K:K,'Motivos De Parada'!G:G,Disponibilidade!G67,'Motivos De Parada'!H:H,Disponibilidade!H67,'Motivos De Parada'!O:O,Disponibilidade!O67,'Motivos De Parada'!E:E,Disponibilidade!C67,'Motivos De Parada'!D:D,Disponibilidade!E67),"-")</f>
        <v>0</v>
      </c>
      <c r="X67" s="16">
        <f t="shared" si="58"/>
        <v>0</v>
      </c>
      <c r="Y67" s="16">
        <f>IFERROR(SUMIFS('Motivos De Parada'!K:K,'Motivos De Parada'!G:G,Disponibilidade!G67,'Motivos De Parada'!H:H,Disponibilidade!H67,'Motivos De Parada'!E:E,Disponibilidade!C67,'Motivos De Parada'!D:D,Disponibilidade!E67),"-")</f>
        <v>0</v>
      </c>
      <c r="Z67" s="28" t="str">
        <f t="shared" si="93"/>
        <v>OK</v>
      </c>
      <c r="AA67" s="16">
        <f t="shared" si="59"/>
        <v>0</v>
      </c>
      <c r="AB67" s="16">
        <f>IFERROR(SUMIFS('Motivos De Parada'!K:K,'Motivos De Parada'!G:G,Disponibilidade!G67,'Motivos De Parada'!H:H,Disponibilidade!H67,'Motivos De Parada'!E:E,Disponibilidade!C67,'Motivos De Parada'!D:D,Disponibilidade!E67,'Motivos De Parada'!M:M,"REFEIÇÃO"),"-")</f>
        <v>0</v>
      </c>
      <c r="AC67" s="16">
        <f t="shared" si="60"/>
        <v>0</v>
      </c>
      <c r="AD67" s="28" t="str">
        <f t="shared" si="94"/>
        <v>OK</v>
      </c>
      <c r="AE67" s="16" cm="1">
        <f t="array" ref="AE67">IFERROR(SUM(SUMIFS('Motivos De Parada'!K:K,'Motivos De Parada'!G:G,Disponibilidade!G67,'Motivos De Parada'!H:H,Disponibilidade!H67,'Motivos De Parada'!E:E,Disponibilidade!C67,'Motivos De Parada'!D:D,Disponibilidade!E67,'Motivos De Parada'!O:O,{"DISPONIBILIDADE MECÂNICA";"DISPONIBILIDADE OPERACIONAL"},'Motivos De Parada'!P:P,"NÃO")),"-")</f>
        <v>0</v>
      </c>
      <c r="AF67" s="16" cm="1">
        <f t="array" ref="AF67">IFERROR(SUM(SUMIFS('Motivos De Parada'!K:K,'Motivos De Parada'!G:G,Disponibilidade!G67,'Motivos De Parada'!H:H,Disponibilidade!H67,'Motivos De Parada'!E:E,Disponibilidade!C67,'Motivos De Parada'!D:D,Disponibilidade!E67,'Motivos De Parada'!O:O,{"DISPONIBILIDADE MECÂNICA";"DISPONIBILIDADE OPERACIONAL"},'Motivos De Parada'!P:P,"SIM")),"-")</f>
        <v>0</v>
      </c>
      <c r="AG67" s="16">
        <f t="shared" si="61"/>
        <v>0</v>
      </c>
      <c r="AH67" s="28" t="str">
        <f t="shared" si="95"/>
        <v>OK</v>
      </c>
      <c r="AI67" s="16" t="str" cm="1">
        <f t="array" ref="AI67">IFERROR(INDEX('Metas DM &amp; DO'!$A:$AAD,MATCH(Disponibilidade!$G67,'Metas DM &amp; DO'!$A:$A,0),MATCH(Disponibilidade!$U67,'Metas DM &amp; DO'!$1:$1,0)+2),"-")</f>
        <v>-</v>
      </c>
      <c r="AJ67" s="16" t="str" cm="1">
        <f t="array" ref="AJ67">IFERROR(INDEX('Metas DM &amp; DO'!$A:$AAD,MATCH(Disponibilidade!$G67,'Metas DM &amp; DO'!$A:$A,0),MATCH(Disponibilidade!$U67,'Metas DM &amp; DO'!$1:$1,0)+3),"-")</f>
        <v>-</v>
      </c>
      <c r="AK67" s="16" t="str" cm="1">
        <f t="array" ref="AK67">IFERROR(INDEX('Metas DM &amp; DO'!$A:$AAD,MATCH(Disponibilidade!$G67,'Metas DM &amp; DO'!$A:$A,0),MATCH(Disponibilidade!$U67,'Metas DM &amp; DO'!$1:$1,0)+4),"-")</f>
        <v>-</v>
      </c>
      <c r="AL67" s="11" t="str">
        <f t="shared" si="62"/>
        <v>EXCELENTE</v>
      </c>
    </row>
    <row r="68" spans="1:38" x14ac:dyDescent="0.3">
      <c r="A68" s="11">
        <f t="shared" si="63"/>
        <v>2026</v>
      </c>
      <c r="B68" s="12">
        <f t="shared" si="64"/>
        <v>46023</v>
      </c>
      <c r="C68" s="19">
        <v>46028</v>
      </c>
      <c r="D68" s="3" t="s">
        <v>126</v>
      </c>
      <c r="E68" s="11" t="s">
        <v>80</v>
      </c>
      <c r="F68" s="11" t="str" cm="1">
        <f t="array" ref="F68">IFERROR(INDEX('Motivos De Parada'!C:C,MATCH(1,('Motivos De Parada'!E:E=Disponibilidade!C68)*('Motivos De Parada'!G:G=Disponibilidade!G68)*('Motivos De Parada'!D:D=Disponibilidade!E68),0)),"-")</f>
        <v>-</v>
      </c>
      <c r="G68" s="11" t="str">
        <f>IFERROR(VLOOKUP(D68,Cadastros!A:B,2,FALSE),"-")</f>
        <v>SKIDDER 2</v>
      </c>
      <c r="H68" s="11" t="str">
        <f>IFERROR(VLOOKUP(G68,Cadastros!B:D,3,FALSE),"-")</f>
        <v>ARRASTE</v>
      </c>
      <c r="I68" s="9" t="s">
        <v>20</v>
      </c>
      <c r="J68" s="26">
        <f>IFERROR(MAX(0,1 - (SUMIFS('Motivos De Parada'!K:K,'Motivos De Parada'!G:G,Disponibilidade!G68,'Motivos De Parada'!H:H,Disponibilidade!H68,'Motivos De Parada'!O:O,Disponibilidade!I68,'Motivos De Parada'!E:E,Disponibilidade!C68,'Motivos De Parada'!D:D,Disponibilidade!E68) / 24)),"-")</f>
        <v>1</v>
      </c>
      <c r="K68" s="24" cm="1">
        <f t="array" ref="K68">IFERROR(INDEX('Metas DM &amp; DO'!$A:$AAD,MATCH(Disponibilidade!$G68,'Metas DM &amp; DO'!$A:$A,0),MATCH(Disponibilidade!$I68,'Metas DM &amp; DO'!$1:$1,0)+1),"-")</f>
        <v>0.5</v>
      </c>
      <c r="L68" s="24" cm="1">
        <f t="array" ref="L68">IFERROR(INDEX('Metas DM &amp; DO'!$A:$AAD,MATCH(Disponibilidade!$G68,'Metas DM &amp; DO'!$A:$A,0),MATCH(Disponibilidade!$I68,'Metas DM &amp; DO'!$1:$1,0)+2),"-")</f>
        <v>0.5</v>
      </c>
      <c r="M68" s="24" cm="1">
        <f t="array" ref="M68">IFERROR(INDEX('Metas DM &amp; DO'!$A:$AAD,MATCH(Disponibilidade!$G68,'Metas DM &amp; DO'!$A:$A,0),MATCH(Disponibilidade!$I68,'Metas DM &amp; DO'!$1:$1,0)+3),"-")</f>
        <v>0.5</v>
      </c>
      <c r="N68" s="11" t="str">
        <f t="shared" si="96"/>
        <v>-</v>
      </c>
      <c r="O68" s="9" t="s">
        <v>19</v>
      </c>
      <c r="P68" s="26">
        <f>IFERROR(MAX(0,1 - (SUMIFS('Motivos De Parada'!K:K,'Motivos De Parada'!G:G,Disponibilidade!G68,'Motivos De Parada'!H:H,Disponibilidade!H68,'Motivos De Parada'!O:O,Disponibilidade!O68,'Motivos De Parada'!E:E,Disponibilidade!C68,'Motivos De Parada'!D:D,Disponibilidade!E68) / 24)),"-")</f>
        <v>1</v>
      </c>
      <c r="Q68" s="24" cm="1">
        <f t="array" ref="Q68">IFERROR(INDEX('Metas DM &amp; DO'!$A:$AAD,MATCH(Disponibilidade!$G68,'Metas DM &amp; DO'!$A:$A,0),MATCH(Disponibilidade!$O68,'Metas DM &amp; DO'!$1:$1,0)+1),"-")</f>
        <v>0.5</v>
      </c>
      <c r="R68" s="24" cm="1">
        <f t="array" ref="R68">IFERROR(INDEX('Metas DM &amp; DO'!$A:$AAD,MATCH(Disponibilidade!$G68,'Metas DM &amp; DO'!$A:$A,0),MATCH(Disponibilidade!$O68,'Metas DM &amp; DO'!$1:$1,0)+2),"-")</f>
        <v>0.5</v>
      </c>
      <c r="S68" s="24" cm="1">
        <f t="array" ref="S68">IFERROR(INDEX('Metas DM &amp; DO'!$A:$AAD,MATCH(Disponibilidade!$G68,'Metas DM &amp; DO'!$A:$A,0),MATCH(Disponibilidade!$O68,'Metas DM &amp; DO'!$1:$1,0)+3),"-")</f>
        <v>0.5</v>
      </c>
      <c r="T68" s="11" t="str">
        <f t="shared" si="57"/>
        <v>-</v>
      </c>
      <c r="U68" s="9" t="s">
        <v>59</v>
      </c>
      <c r="V68" s="16">
        <f>IFERROR(SUMIFS('Motivos De Parada'!K:K,'Motivos De Parada'!G:G,Disponibilidade!G68,'Motivos De Parada'!H:H,Disponibilidade!H68,'Motivos De Parada'!O:O,Disponibilidade!I68,'Motivos De Parada'!E:E,Disponibilidade!C68,'Motivos De Parada'!D:D,Disponibilidade!E68),"-")</f>
        <v>0</v>
      </c>
      <c r="W68" s="16">
        <f>IFERROR(SUMIFS('Motivos De Parada'!K:K,'Motivos De Parada'!G:G,Disponibilidade!G68,'Motivos De Parada'!H:H,Disponibilidade!H68,'Motivos De Parada'!O:O,Disponibilidade!O68,'Motivos De Parada'!E:E,Disponibilidade!C68,'Motivos De Parada'!D:D,Disponibilidade!E68),"-")</f>
        <v>0</v>
      </c>
      <c r="X68" s="16">
        <f t="shared" si="58"/>
        <v>0</v>
      </c>
      <c r="Y68" s="16">
        <f>IFERROR(SUMIFS('Motivos De Parada'!K:K,'Motivos De Parada'!G:G,Disponibilidade!G68,'Motivos De Parada'!H:H,Disponibilidade!H68,'Motivos De Parada'!E:E,Disponibilidade!C68,'Motivos De Parada'!D:D,Disponibilidade!E68),"-")</f>
        <v>0</v>
      </c>
      <c r="Z68" s="28" t="str">
        <f t="shared" si="93"/>
        <v>OK</v>
      </c>
      <c r="AA68" s="16">
        <f t="shared" si="59"/>
        <v>0</v>
      </c>
      <c r="AB68" s="16">
        <f>IFERROR(SUMIFS('Motivos De Parada'!K:K,'Motivos De Parada'!G:G,Disponibilidade!G68,'Motivos De Parada'!H:H,Disponibilidade!H68,'Motivos De Parada'!E:E,Disponibilidade!C68,'Motivos De Parada'!D:D,Disponibilidade!E68,'Motivos De Parada'!M:M,"REFEIÇÃO"),"-")</f>
        <v>0</v>
      </c>
      <c r="AC68" s="16">
        <f t="shared" si="60"/>
        <v>0</v>
      </c>
      <c r="AD68" s="28" t="str">
        <f t="shared" si="94"/>
        <v>OK</v>
      </c>
      <c r="AE68" s="16" cm="1">
        <f t="array" ref="AE68">IFERROR(SUM(SUMIFS('Motivos De Parada'!K:K,'Motivos De Parada'!G:G,Disponibilidade!G68,'Motivos De Parada'!H:H,Disponibilidade!H68,'Motivos De Parada'!E:E,Disponibilidade!C68,'Motivos De Parada'!D:D,Disponibilidade!E68,'Motivos De Parada'!O:O,{"DISPONIBILIDADE MECÂNICA";"DISPONIBILIDADE OPERACIONAL"},'Motivos De Parada'!P:P,"NÃO")),"-")</f>
        <v>0</v>
      </c>
      <c r="AF68" s="16" cm="1">
        <f t="array" ref="AF68">IFERROR(SUM(SUMIFS('Motivos De Parada'!K:K,'Motivos De Parada'!G:G,Disponibilidade!G68,'Motivos De Parada'!H:H,Disponibilidade!H68,'Motivos De Parada'!E:E,Disponibilidade!C68,'Motivos De Parada'!D:D,Disponibilidade!E68,'Motivos De Parada'!O:O,{"DISPONIBILIDADE MECÂNICA";"DISPONIBILIDADE OPERACIONAL"},'Motivos De Parada'!P:P,"SIM")),"-")</f>
        <v>0</v>
      </c>
      <c r="AG68" s="16">
        <f t="shared" si="61"/>
        <v>0</v>
      </c>
      <c r="AH68" s="28" t="str">
        <f t="shared" si="95"/>
        <v>OK</v>
      </c>
      <c r="AI68" s="16" cm="1">
        <f t="array" ref="AI68">IFERROR(INDEX('Metas DM &amp; DO'!$A:$AAD,MATCH(Disponibilidade!$G68,'Metas DM &amp; DO'!$A:$A,0),MATCH(Disponibilidade!$U68,'Metas DM &amp; DO'!$1:$1,0)+2),"-")</f>
        <v>12</v>
      </c>
      <c r="AJ68" s="16" cm="1">
        <f t="array" ref="AJ68">IFERROR(INDEX('Metas DM &amp; DO'!$A:$AAD,MATCH(Disponibilidade!$G68,'Metas DM &amp; DO'!$A:$A,0),MATCH(Disponibilidade!$U68,'Metas DM &amp; DO'!$1:$1,0)+3),"-")</f>
        <v>12</v>
      </c>
      <c r="AK68" s="16" cm="1">
        <f t="array" ref="AK68">IFERROR(INDEX('Metas DM &amp; DO'!$A:$AAD,MATCH(Disponibilidade!$G68,'Metas DM &amp; DO'!$A:$A,0),MATCH(Disponibilidade!$U68,'Metas DM &amp; DO'!$1:$1,0)+4),"-")</f>
        <v>12</v>
      </c>
      <c r="AL68" s="11" t="str">
        <f t="shared" si="62"/>
        <v>EXCELENTE</v>
      </c>
    </row>
    <row r="69" spans="1:38" x14ac:dyDescent="0.3">
      <c r="A69" s="11">
        <f t="shared" si="63"/>
        <v>2026</v>
      </c>
      <c r="B69" s="12">
        <f t="shared" si="64"/>
        <v>46023</v>
      </c>
      <c r="C69" s="19">
        <v>46028</v>
      </c>
      <c r="D69" s="3" t="s">
        <v>126</v>
      </c>
      <c r="E69" s="11" t="s">
        <v>81</v>
      </c>
      <c r="F69" s="11" t="str" cm="1">
        <f t="array" ref="F69">IFERROR(INDEX('Motivos De Parada'!C:C,MATCH(1,('Motivos De Parada'!E:E=Disponibilidade!C69)*('Motivos De Parada'!G:G=Disponibilidade!G69)*('Motivos De Parada'!D:D=Disponibilidade!E69),0)),"-")</f>
        <v>-</v>
      </c>
      <c r="G69" s="11" t="str">
        <f>IFERROR(VLOOKUP(D69,Cadastros!A:B,2,FALSE),"-")</f>
        <v>SKIDDER 2</v>
      </c>
      <c r="H69" s="11" t="str">
        <f>IFERROR(VLOOKUP(G69,Cadastros!B:D,3,FALSE),"-")</f>
        <v>ARRASTE</v>
      </c>
      <c r="I69" s="9" t="s">
        <v>20</v>
      </c>
      <c r="J69" s="26">
        <f>IFERROR(MAX(0,1 - (SUMIFS('Motivos De Parada'!K:K,'Motivos De Parada'!G:G,Disponibilidade!G69,'Motivos De Parada'!H:H,Disponibilidade!H69,'Motivos De Parada'!O:O,Disponibilidade!I69,'Motivos De Parada'!E:E,Disponibilidade!C69,'Motivos De Parada'!D:D,Disponibilidade!E69) / 24)),"-")</f>
        <v>1</v>
      </c>
      <c r="K69" s="24" cm="1">
        <f t="array" ref="K69">IFERROR(INDEX('Metas DM &amp; DO'!$A:$AAD,MATCH(Disponibilidade!$G69,'Metas DM &amp; DO'!$A:$A,0),MATCH(Disponibilidade!$I69,'Metas DM &amp; DO'!$1:$1,0)+1),"-")</f>
        <v>0.5</v>
      </c>
      <c r="L69" s="24" cm="1">
        <f t="array" ref="L69">IFERROR(INDEX('Metas DM &amp; DO'!$A:$AAD,MATCH(Disponibilidade!$G69,'Metas DM &amp; DO'!$A:$A,0),MATCH(Disponibilidade!$I69,'Metas DM &amp; DO'!$1:$1,0)+2),"-")</f>
        <v>0.5</v>
      </c>
      <c r="M69" s="24" cm="1">
        <f t="array" ref="M69">IFERROR(INDEX('Metas DM &amp; DO'!$A:$AAD,MATCH(Disponibilidade!$G69,'Metas DM &amp; DO'!$A:$A,0),MATCH(Disponibilidade!$I69,'Metas DM &amp; DO'!$1:$1,0)+3),"-")</f>
        <v>0.5</v>
      </c>
      <c r="N69" s="11" t="str">
        <f t="shared" si="96"/>
        <v>-</v>
      </c>
      <c r="O69" s="9" t="s">
        <v>19</v>
      </c>
      <c r="P69" s="26">
        <f>IFERROR(MAX(0,1 - (SUMIFS('Motivos De Parada'!K:K,'Motivos De Parada'!G:G,Disponibilidade!G69,'Motivos De Parada'!H:H,Disponibilidade!H69,'Motivos De Parada'!O:O,Disponibilidade!O69,'Motivos De Parada'!E:E,Disponibilidade!C69,'Motivos De Parada'!D:D,Disponibilidade!E69) / 24)),"-")</f>
        <v>1</v>
      </c>
      <c r="Q69" s="24" cm="1">
        <f t="array" ref="Q69">IFERROR(INDEX('Metas DM &amp; DO'!$A:$AAD,MATCH(Disponibilidade!$G69,'Metas DM &amp; DO'!$A:$A,0),MATCH(Disponibilidade!$O69,'Metas DM &amp; DO'!$1:$1,0)+1),"-")</f>
        <v>0.5</v>
      </c>
      <c r="R69" s="24" cm="1">
        <f t="array" ref="R69">IFERROR(INDEX('Metas DM &amp; DO'!$A:$AAD,MATCH(Disponibilidade!$G69,'Metas DM &amp; DO'!$A:$A,0),MATCH(Disponibilidade!$O69,'Metas DM &amp; DO'!$1:$1,0)+2),"-")</f>
        <v>0.5</v>
      </c>
      <c r="S69" s="24" cm="1">
        <f t="array" ref="S69">IFERROR(INDEX('Metas DM &amp; DO'!$A:$AAD,MATCH(Disponibilidade!$G69,'Metas DM &amp; DO'!$A:$A,0),MATCH(Disponibilidade!$O69,'Metas DM &amp; DO'!$1:$1,0)+3),"-")</f>
        <v>0.5</v>
      </c>
      <c r="T69" s="11" t="str">
        <f t="shared" si="57"/>
        <v>-</v>
      </c>
      <c r="U69" s="9" t="s">
        <v>59</v>
      </c>
      <c r="V69" s="16">
        <f>IFERROR(SUMIFS('Motivos De Parada'!K:K,'Motivos De Parada'!G:G,Disponibilidade!G69,'Motivos De Parada'!H:H,Disponibilidade!H69,'Motivos De Parada'!O:O,Disponibilidade!I69,'Motivos De Parada'!E:E,Disponibilidade!C69,'Motivos De Parada'!D:D,Disponibilidade!E69),"-")</f>
        <v>0</v>
      </c>
      <c r="W69" s="16">
        <f>IFERROR(SUMIFS('Motivos De Parada'!K:K,'Motivos De Parada'!G:G,Disponibilidade!G69,'Motivos De Parada'!H:H,Disponibilidade!H69,'Motivos De Parada'!O:O,Disponibilidade!O69,'Motivos De Parada'!E:E,Disponibilidade!C69,'Motivos De Parada'!D:D,Disponibilidade!E69),"-")</f>
        <v>0</v>
      </c>
      <c r="X69" s="16">
        <f t="shared" si="58"/>
        <v>0</v>
      </c>
      <c r="Y69" s="16">
        <f>IFERROR(SUMIFS('Motivos De Parada'!K:K,'Motivos De Parada'!G:G,Disponibilidade!G69,'Motivos De Parada'!H:H,Disponibilidade!H69,'Motivos De Parada'!E:E,Disponibilidade!C69,'Motivos De Parada'!D:D,Disponibilidade!E69),"-")</f>
        <v>0</v>
      </c>
      <c r="Z69" s="28" t="str">
        <f t="shared" si="93"/>
        <v>OK</v>
      </c>
      <c r="AA69" s="16">
        <f t="shared" si="59"/>
        <v>0</v>
      </c>
      <c r="AB69" s="16">
        <f>IFERROR(SUMIFS('Motivos De Parada'!K:K,'Motivos De Parada'!G:G,Disponibilidade!G69,'Motivos De Parada'!H:H,Disponibilidade!H69,'Motivos De Parada'!E:E,Disponibilidade!C69,'Motivos De Parada'!D:D,Disponibilidade!E69,'Motivos De Parada'!M:M,"REFEIÇÃO"),"-")</f>
        <v>0</v>
      </c>
      <c r="AC69" s="16">
        <f t="shared" si="60"/>
        <v>0</v>
      </c>
      <c r="AD69" s="28" t="str">
        <f t="shared" si="94"/>
        <v>OK</v>
      </c>
      <c r="AE69" s="16" cm="1">
        <f t="array" ref="AE69">IFERROR(SUM(SUMIFS('Motivos De Parada'!K:K,'Motivos De Parada'!G:G,Disponibilidade!G69,'Motivos De Parada'!H:H,Disponibilidade!H69,'Motivos De Parada'!E:E,Disponibilidade!C69,'Motivos De Parada'!D:D,Disponibilidade!E69,'Motivos De Parada'!O:O,{"DISPONIBILIDADE MECÂNICA";"DISPONIBILIDADE OPERACIONAL"},'Motivos De Parada'!P:P,"NÃO")),"-")</f>
        <v>0</v>
      </c>
      <c r="AF69" s="16" cm="1">
        <f t="array" ref="AF69">IFERROR(SUM(SUMIFS('Motivos De Parada'!K:K,'Motivos De Parada'!G:G,Disponibilidade!G69,'Motivos De Parada'!H:H,Disponibilidade!H69,'Motivos De Parada'!E:E,Disponibilidade!C69,'Motivos De Parada'!D:D,Disponibilidade!E69,'Motivos De Parada'!O:O,{"DISPONIBILIDADE MECÂNICA";"DISPONIBILIDADE OPERACIONAL"},'Motivos De Parada'!P:P,"SIM")),"-")</f>
        <v>0</v>
      </c>
      <c r="AG69" s="16">
        <f t="shared" si="61"/>
        <v>0</v>
      </c>
      <c r="AH69" s="28" t="str">
        <f t="shared" si="95"/>
        <v>OK</v>
      </c>
      <c r="AI69" s="16" cm="1">
        <f t="array" ref="AI69">IFERROR(INDEX('Metas DM &amp; DO'!$A:$AAD,MATCH(Disponibilidade!$G69,'Metas DM &amp; DO'!$A:$A,0),MATCH(Disponibilidade!$U69,'Metas DM &amp; DO'!$1:$1,0)+2),"-")</f>
        <v>12</v>
      </c>
      <c r="AJ69" s="16" cm="1">
        <f t="array" ref="AJ69">IFERROR(INDEX('Metas DM &amp; DO'!$A:$AAD,MATCH(Disponibilidade!$G69,'Metas DM &amp; DO'!$A:$A,0),MATCH(Disponibilidade!$U69,'Metas DM &amp; DO'!$1:$1,0)+3),"-")</f>
        <v>12</v>
      </c>
      <c r="AK69" s="16" cm="1">
        <f t="array" ref="AK69">IFERROR(INDEX('Metas DM &amp; DO'!$A:$AAD,MATCH(Disponibilidade!$G69,'Metas DM &amp; DO'!$A:$A,0),MATCH(Disponibilidade!$U69,'Metas DM &amp; DO'!$1:$1,0)+4),"-")</f>
        <v>12</v>
      </c>
      <c r="AL69" s="11" t="str">
        <f t="shared" si="62"/>
        <v>EXCELENTE</v>
      </c>
    </row>
    <row r="70" spans="1:38" x14ac:dyDescent="0.3">
      <c r="A70" s="11">
        <f t="shared" si="63"/>
        <v>2026</v>
      </c>
      <c r="B70" s="12">
        <f t="shared" si="64"/>
        <v>46023</v>
      </c>
      <c r="C70" s="19">
        <v>46028</v>
      </c>
      <c r="D70" s="3" t="s">
        <v>128</v>
      </c>
      <c r="E70" s="11" t="s">
        <v>80</v>
      </c>
      <c r="F70" s="11" t="str" cm="1">
        <f t="array" ref="F70">IFERROR(INDEX('Motivos De Parada'!C:C,MATCH(1,('Motivos De Parada'!E:E=Disponibilidade!C70)*('Motivos De Parada'!G:G=Disponibilidade!G70)*('Motivos De Parada'!D:D=Disponibilidade!E70),0)),"-")</f>
        <v>-</v>
      </c>
      <c r="G70" s="11" t="str">
        <f>IFERROR(VLOOKUP(D70,Cadastros!A:B,2,FALSE),"-")</f>
        <v>GARRA TRAÇADORA 1</v>
      </c>
      <c r="H70" s="11" t="str">
        <f>IFERROR(VLOOKUP(G70,Cadastros!B:D,3,FALSE),"-")</f>
        <v>TRAÇAMENTO</v>
      </c>
      <c r="I70" s="9" t="s">
        <v>20</v>
      </c>
      <c r="J70" s="26">
        <f>IFERROR(MAX(0,1 - (SUMIFS('Motivos De Parada'!K:K,'Motivos De Parada'!G:G,Disponibilidade!G70,'Motivos De Parada'!H:H,Disponibilidade!H70,'Motivos De Parada'!O:O,Disponibilidade!I70,'Motivos De Parada'!E:E,Disponibilidade!C70,'Motivos De Parada'!D:D,Disponibilidade!E70) / 24)),"-")</f>
        <v>1</v>
      </c>
      <c r="K70" s="24" cm="1">
        <f t="array" ref="K70">IFERROR(INDEX('Metas DM &amp; DO'!$A:$AAD,MATCH(Disponibilidade!$G70,'Metas DM &amp; DO'!$A:$A,0),MATCH(Disponibilidade!$I70,'Metas DM &amp; DO'!$1:$1,0)+1),"-")</f>
        <v>0.91724137931034488</v>
      </c>
      <c r="L70" s="24" cm="1">
        <f t="array" ref="L70">IFERROR(INDEX('Metas DM &amp; DO'!$A:$AAD,MATCH(Disponibilidade!$G70,'Metas DM &amp; DO'!$A:$A,0),MATCH(Disponibilidade!$I70,'Metas DM &amp; DO'!$1:$1,0)+2),"-")</f>
        <v>0.92489568845618919</v>
      </c>
      <c r="M70" s="24" cm="1">
        <f t="array" ref="M70">IFERROR(INDEX('Metas DM &amp; DO'!$A:$AAD,MATCH(Disponibilidade!$G70,'Metas DM &amp; DO'!$A:$A,0),MATCH(Disponibilidade!$I70,'Metas DM &amp; DO'!$1:$1,0)+3),"-")</f>
        <v>0.90625</v>
      </c>
      <c r="N70" s="11" t="str">
        <f t="shared" si="96"/>
        <v>-</v>
      </c>
      <c r="O70" s="9" t="s">
        <v>19</v>
      </c>
      <c r="P70" s="26">
        <f>IFERROR(MAX(0,1 - (SUMIFS('Motivos De Parada'!K:K,'Motivos De Parada'!G:G,Disponibilidade!G70,'Motivos De Parada'!H:H,Disponibilidade!H70,'Motivos De Parada'!O:O,Disponibilidade!O70,'Motivos De Parada'!E:E,Disponibilidade!C70,'Motivos De Parada'!D:D,Disponibilidade!E70) / 24)),"-")</f>
        <v>1</v>
      </c>
      <c r="Q70" s="24" cm="1">
        <f t="array" ref="Q70">IFERROR(INDEX('Metas DM &amp; DO'!$A:$AAD,MATCH(Disponibilidade!$G70,'Metas DM &amp; DO'!$A:$A,0),MATCH(Disponibilidade!$O70,'Metas DM &amp; DO'!$1:$1,0)+1),"-")</f>
        <v>0.43601532567049806</v>
      </c>
      <c r="R70" s="24" cm="1">
        <f t="array" ref="R70">IFERROR(INDEX('Metas DM &amp; DO'!$A:$AAD,MATCH(Disponibilidade!$G70,'Metas DM &amp; DO'!$A:$A,0),MATCH(Disponibilidade!$O70,'Metas DM &amp; DO'!$1:$1,0)+2),"-")</f>
        <v>0.48817802503477059</v>
      </c>
      <c r="S70" s="24" cm="1">
        <f t="array" ref="S70">IFERROR(INDEX('Metas DM &amp; DO'!$A:$AAD,MATCH(Disponibilidade!$G70,'Metas DM &amp; DO'!$A:$A,0),MATCH(Disponibilidade!$O70,'Metas DM &amp; DO'!$1:$1,0)+3),"-")</f>
        <v>0.71875</v>
      </c>
      <c r="T70" s="11" t="str">
        <f t="shared" si="57"/>
        <v>-</v>
      </c>
      <c r="U70" s="9" t="s">
        <v>59</v>
      </c>
      <c r="V70" s="16">
        <f>IFERROR(SUMIFS('Motivos De Parada'!K:K,'Motivos De Parada'!G:G,Disponibilidade!G70,'Motivos De Parada'!H:H,Disponibilidade!H70,'Motivos De Parada'!O:O,Disponibilidade!I70,'Motivos De Parada'!E:E,Disponibilidade!C70,'Motivos De Parada'!D:D,Disponibilidade!E70),"-")</f>
        <v>0</v>
      </c>
      <c r="W70" s="16">
        <f>IFERROR(SUMIFS('Motivos De Parada'!K:K,'Motivos De Parada'!G:G,Disponibilidade!G70,'Motivos De Parada'!H:H,Disponibilidade!H70,'Motivos De Parada'!O:O,Disponibilidade!O70,'Motivos De Parada'!E:E,Disponibilidade!C70,'Motivos De Parada'!D:D,Disponibilidade!E70),"-")</f>
        <v>0</v>
      </c>
      <c r="X70" s="16">
        <f t="shared" si="58"/>
        <v>0</v>
      </c>
      <c r="Y70" s="16">
        <f>IFERROR(SUMIFS('Motivos De Parada'!K:K,'Motivos De Parada'!G:G,Disponibilidade!G70,'Motivos De Parada'!H:H,Disponibilidade!H70,'Motivos De Parada'!E:E,Disponibilidade!C70,'Motivos De Parada'!D:D,Disponibilidade!E70),"-")</f>
        <v>0</v>
      </c>
      <c r="Z70" s="28" t="str">
        <f>IFERROR(IF(Y70=0,"OK",IF(OR(Y70&gt;12,Y70&lt;12),"VERIFICAR","OK")),"-")</f>
        <v>OK</v>
      </c>
      <c r="AA70" s="16">
        <f t="shared" si="59"/>
        <v>0</v>
      </c>
      <c r="AB70" s="16">
        <f>IFERROR(SUMIFS('Motivos De Parada'!K:K,'Motivos De Parada'!G:G,Disponibilidade!G70,'Motivos De Parada'!H:H,Disponibilidade!H70,'Motivos De Parada'!E:E,Disponibilidade!C70,'Motivos De Parada'!D:D,Disponibilidade!E70,'Motivos De Parada'!M:M,"REFEIÇÃO"),"-")</f>
        <v>0</v>
      </c>
      <c r="AC70" s="16">
        <f t="shared" si="60"/>
        <v>0</v>
      </c>
      <c r="AD70" s="28" t="str">
        <f>IFERROR(IF(AC70&lt;0,"VERIFICAR","OK"),"-")</f>
        <v>OK</v>
      </c>
      <c r="AE70" s="16" cm="1">
        <f t="array" ref="AE70">IFERROR(SUM(SUMIFS('Motivos De Parada'!K:K,'Motivos De Parada'!G:G,Disponibilidade!G70,'Motivos De Parada'!H:H,Disponibilidade!H70,'Motivos De Parada'!E:E,Disponibilidade!C70,'Motivos De Parada'!D:D,Disponibilidade!E70,'Motivos De Parada'!O:O,{"DISPONIBILIDADE MECÂNICA";"DISPONIBILIDADE OPERACIONAL"},'Motivos De Parada'!P:P,"NÃO")),"-")</f>
        <v>0</v>
      </c>
      <c r="AF70" s="16" cm="1">
        <f t="array" ref="AF70">IFERROR(SUM(SUMIFS('Motivos De Parada'!K:K,'Motivos De Parada'!G:G,Disponibilidade!G70,'Motivos De Parada'!H:H,Disponibilidade!H70,'Motivos De Parada'!E:E,Disponibilidade!C70,'Motivos De Parada'!D:D,Disponibilidade!E70,'Motivos De Parada'!O:O,{"DISPONIBILIDADE MECÂNICA";"DISPONIBILIDADE OPERACIONAL"},'Motivos De Parada'!P:P,"SIM")),"-")</f>
        <v>0</v>
      </c>
      <c r="AG70" s="16">
        <f t="shared" si="61"/>
        <v>0</v>
      </c>
      <c r="AH70" s="28" t="str">
        <f>IFERROR(IF(AND(AG70=0,AC70=0),"OK",IF(AG70=AC70,"VERIFICAR","OK")),"-")</f>
        <v>OK</v>
      </c>
      <c r="AI70" s="16" cm="1">
        <f t="array" ref="AI70">IFERROR(INDEX('Metas DM &amp; DO'!$A:$AAD,MATCH(Disponibilidade!$G70,'Metas DM &amp; DO'!$A:$A,0),MATCH(Disponibilidade!$U70,'Metas DM &amp; DO'!$1:$1,0)+2),"-")</f>
        <v>2.2174055829228245</v>
      </c>
      <c r="AJ70" s="16" cm="1">
        <f t="array" ref="AJ70">IFERROR(INDEX('Metas DM &amp; DO'!$A:$AAD,MATCH(Disponibilidade!$G70,'Metas DM &amp; DO'!$A:$A,0),MATCH(Disponibilidade!$U70,'Metas DM &amp; DO'!$1:$1,0)+3),"-")</f>
        <v>2.0123186966024238</v>
      </c>
      <c r="AK70" s="16" cm="1">
        <f t="array" ref="AK70">IFERROR(INDEX('Metas DM &amp; DO'!$A:$AAD,MATCH(Disponibilidade!$G70,'Metas DM &amp; DO'!$A:$A,0),MATCH(Disponibilidade!$U70,'Metas DM &amp; DO'!$1:$1,0)+4),"-")</f>
        <v>3.9999999999999991</v>
      </c>
      <c r="AL70" s="11" t="str">
        <f t="shared" si="62"/>
        <v>EXCELENTE</v>
      </c>
    </row>
    <row r="71" spans="1:38" x14ac:dyDescent="0.3">
      <c r="A71" s="11">
        <f t="shared" si="63"/>
        <v>2026</v>
      </c>
      <c r="B71" s="12">
        <f t="shared" si="64"/>
        <v>46023</v>
      </c>
      <c r="C71" s="19">
        <v>46028</v>
      </c>
      <c r="D71" s="3" t="s">
        <v>128</v>
      </c>
      <c r="E71" s="11" t="s">
        <v>81</v>
      </c>
      <c r="F71" s="11" t="str" cm="1">
        <f t="array" ref="F71">IFERROR(INDEX('Motivos De Parada'!C:C,MATCH(1,('Motivos De Parada'!E:E=Disponibilidade!C71)*('Motivos De Parada'!G:G=Disponibilidade!G71)*('Motivos De Parada'!D:D=Disponibilidade!E71),0)),"-")</f>
        <v>-</v>
      </c>
      <c r="G71" s="11" t="str">
        <f>IFERROR(VLOOKUP(D71,Cadastros!A:B,2,FALSE),"-")</f>
        <v>GARRA TRAÇADORA 1</v>
      </c>
      <c r="H71" s="11" t="str">
        <f>IFERROR(VLOOKUP(G71,Cadastros!B:D,3,FALSE),"-")</f>
        <v>TRAÇAMENTO</v>
      </c>
      <c r="I71" s="9" t="s">
        <v>20</v>
      </c>
      <c r="J71" s="26">
        <f>IFERROR(MAX(0,1 - (SUMIFS('Motivos De Parada'!K:K,'Motivos De Parada'!G:G,Disponibilidade!G71,'Motivos De Parada'!H:H,Disponibilidade!H71,'Motivos De Parada'!O:O,Disponibilidade!I71,'Motivos De Parada'!E:E,Disponibilidade!C71,'Motivos De Parada'!D:D,Disponibilidade!E71) / 24)),"-")</f>
        <v>1</v>
      </c>
      <c r="K71" s="24" cm="1">
        <f t="array" ref="K71">IFERROR(INDEX('Metas DM &amp; DO'!$A:$AAD,MATCH(Disponibilidade!$G71,'Metas DM &amp; DO'!$A:$A,0),MATCH(Disponibilidade!$I71,'Metas DM &amp; DO'!$1:$1,0)+1),"-")</f>
        <v>0.91724137931034488</v>
      </c>
      <c r="L71" s="24" cm="1">
        <f t="array" ref="L71">IFERROR(INDEX('Metas DM &amp; DO'!$A:$AAD,MATCH(Disponibilidade!$G71,'Metas DM &amp; DO'!$A:$A,0),MATCH(Disponibilidade!$I71,'Metas DM &amp; DO'!$1:$1,0)+2),"-")</f>
        <v>0.92489568845618919</v>
      </c>
      <c r="M71" s="24" cm="1">
        <f t="array" ref="M71">IFERROR(INDEX('Metas DM &amp; DO'!$A:$AAD,MATCH(Disponibilidade!$G71,'Metas DM &amp; DO'!$A:$A,0),MATCH(Disponibilidade!$I71,'Metas DM &amp; DO'!$1:$1,0)+3),"-")</f>
        <v>0.90625</v>
      </c>
      <c r="N71" s="11" t="str">
        <f t="shared" si="96"/>
        <v>-</v>
      </c>
      <c r="O71" s="9" t="s">
        <v>19</v>
      </c>
      <c r="P71" s="26">
        <f>IFERROR(MAX(0,1 - (SUMIFS('Motivos De Parada'!K:K,'Motivos De Parada'!G:G,Disponibilidade!G71,'Motivos De Parada'!H:H,Disponibilidade!H71,'Motivos De Parada'!O:O,Disponibilidade!O71,'Motivos De Parada'!E:E,Disponibilidade!C71,'Motivos De Parada'!D:D,Disponibilidade!E71) / 24)),"-")</f>
        <v>1</v>
      </c>
      <c r="Q71" s="24" cm="1">
        <f t="array" ref="Q71">IFERROR(INDEX('Metas DM &amp; DO'!$A:$AAD,MATCH(Disponibilidade!$G71,'Metas DM &amp; DO'!$A:$A,0),MATCH(Disponibilidade!$O71,'Metas DM &amp; DO'!$1:$1,0)+1),"-")</f>
        <v>0.43601532567049806</v>
      </c>
      <c r="R71" s="24" cm="1">
        <f t="array" ref="R71">IFERROR(INDEX('Metas DM &amp; DO'!$A:$AAD,MATCH(Disponibilidade!$G71,'Metas DM &amp; DO'!$A:$A,0),MATCH(Disponibilidade!$O71,'Metas DM &amp; DO'!$1:$1,0)+2),"-")</f>
        <v>0.48817802503477059</v>
      </c>
      <c r="S71" s="24" cm="1">
        <f t="array" ref="S71">IFERROR(INDEX('Metas DM &amp; DO'!$A:$AAD,MATCH(Disponibilidade!$G71,'Metas DM &amp; DO'!$A:$A,0),MATCH(Disponibilidade!$O71,'Metas DM &amp; DO'!$1:$1,0)+3),"-")</f>
        <v>0.71875</v>
      </c>
      <c r="T71" s="11" t="str">
        <f t="shared" si="57"/>
        <v>-</v>
      </c>
      <c r="U71" s="9" t="s">
        <v>59</v>
      </c>
      <c r="V71" s="16">
        <f>IFERROR(SUMIFS('Motivos De Parada'!K:K,'Motivos De Parada'!G:G,Disponibilidade!G71,'Motivos De Parada'!H:H,Disponibilidade!H71,'Motivos De Parada'!O:O,Disponibilidade!I71,'Motivos De Parada'!E:E,Disponibilidade!C71,'Motivos De Parada'!D:D,Disponibilidade!E71),"-")</f>
        <v>0</v>
      </c>
      <c r="W71" s="16">
        <f>IFERROR(SUMIFS('Motivos De Parada'!K:K,'Motivos De Parada'!G:G,Disponibilidade!G71,'Motivos De Parada'!H:H,Disponibilidade!H71,'Motivos De Parada'!O:O,Disponibilidade!O71,'Motivos De Parada'!E:E,Disponibilidade!C71,'Motivos De Parada'!D:D,Disponibilidade!E71),"-")</f>
        <v>0</v>
      </c>
      <c r="X71" s="16">
        <f t="shared" si="58"/>
        <v>0</v>
      </c>
      <c r="Y71" s="16">
        <f>IFERROR(SUMIFS('Motivos De Parada'!K:K,'Motivos De Parada'!G:G,Disponibilidade!G71,'Motivos De Parada'!H:H,Disponibilidade!H71,'Motivos De Parada'!E:E,Disponibilidade!C71,'Motivos De Parada'!D:D,Disponibilidade!E71),"-")</f>
        <v>0</v>
      </c>
      <c r="Z71" s="28" t="str">
        <f t="shared" ref="Z71:Z73" si="97">IFERROR(IF(Y71=0,"OK",IF(OR(Y71&gt;12,Y71&lt;12),"VERIFICAR","OK")),"-")</f>
        <v>OK</v>
      </c>
      <c r="AA71" s="16">
        <f t="shared" si="59"/>
        <v>0</v>
      </c>
      <c r="AB71" s="16">
        <f>IFERROR(SUMIFS('Motivos De Parada'!K:K,'Motivos De Parada'!G:G,Disponibilidade!G71,'Motivos De Parada'!H:H,Disponibilidade!H71,'Motivos De Parada'!E:E,Disponibilidade!C71,'Motivos De Parada'!D:D,Disponibilidade!E71,'Motivos De Parada'!M:M,"REFEIÇÃO"),"-")</f>
        <v>0</v>
      </c>
      <c r="AC71" s="16">
        <f t="shared" si="60"/>
        <v>0</v>
      </c>
      <c r="AD71" s="28" t="str">
        <f t="shared" ref="AD71:AD73" si="98">IFERROR(IF(AC71&lt;0,"VERIFICAR","OK"),"-")</f>
        <v>OK</v>
      </c>
      <c r="AE71" s="16" cm="1">
        <f t="array" ref="AE71">IFERROR(SUM(SUMIFS('Motivos De Parada'!K:K,'Motivos De Parada'!G:G,Disponibilidade!G71,'Motivos De Parada'!H:H,Disponibilidade!H71,'Motivos De Parada'!E:E,Disponibilidade!C71,'Motivos De Parada'!D:D,Disponibilidade!E71,'Motivos De Parada'!O:O,{"DISPONIBILIDADE MECÂNICA";"DISPONIBILIDADE OPERACIONAL"},'Motivos De Parada'!P:P,"NÃO")),"-")</f>
        <v>0</v>
      </c>
      <c r="AF71" s="16" cm="1">
        <f t="array" ref="AF71">IFERROR(SUM(SUMIFS('Motivos De Parada'!K:K,'Motivos De Parada'!G:G,Disponibilidade!G71,'Motivos De Parada'!H:H,Disponibilidade!H71,'Motivos De Parada'!E:E,Disponibilidade!C71,'Motivos De Parada'!D:D,Disponibilidade!E71,'Motivos De Parada'!O:O,{"DISPONIBILIDADE MECÂNICA";"DISPONIBILIDADE OPERACIONAL"},'Motivos De Parada'!P:P,"SIM")),"-")</f>
        <v>0</v>
      </c>
      <c r="AG71" s="16">
        <f t="shared" si="61"/>
        <v>0</v>
      </c>
      <c r="AH71" s="28" t="str">
        <f t="shared" ref="AH71:AH73" si="99">IFERROR(IF(AND(AG71=0,AC71=0),"OK",IF(AG71=AC71,"VERIFICAR","OK")),"-")</f>
        <v>OK</v>
      </c>
      <c r="AI71" s="16" cm="1">
        <f t="array" ref="AI71">IFERROR(INDEX('Metas DM &amp; DO'!$A:$AAD,MATCH(Disponibilidade!$G71,'Metas DM &amp; DO'!$A:$A,0),MATCH(Disponibilidade!$U71,'Metas DM &amp; DO'!$1:$1,0)+2),"-")</f>
        <v>2.2174055829228245</v>
      </c>
      <c r="AJ71" s="16" cm="1">
        <f t="array" ref="AJ71">IFERROR(INDEX('Metas DM &amp; DO'!$A:$AAD,MATCH(Disponibilidade!$G71,'Metas DM &amp; DO'!$A:$A,0),MATCH(Disponibilidade!$U71,'Metas DM &amp; DO'!$1:$1,0)+3),"-")</f>
        <v>2.0123186966024238</v>
      </c>
      <c r="AK71" s="16" cm="1">
        <f t="array" ref="AK71">IFERROR(INDEX('Metas DM &amp; DO'!$A:$AAD,MATCH(Disponibilidade!$G71,'Metas DM &amp; DO'!$A:$A,0),MATCH(Disponibilidade!$U71,'Metas DM &amp; DO'!$1:$1,0)+4),"-")</f>
        <v>3.9999999999999991</v>
      </c>
      <c r="AL71" s="11" t="str">
        <f t="shared" si="62"/>
        <v>EXCELENTE</v>
      </c>
    </row>
    <row r="72" spans="1:38" x14ac:dyDescent="0.3">
      <c r="A72" s="11">
        <f t="shared" si="63"/>
        <v>2026</v>
      </c>
      <c r="B72" s="12">
        <f t="shared" si="64"/>
        <v>46023</v>
      </c>
      <c r="C72" s="19">
        <v>46028</v>
      </c>
      <c r="D72" s="3" t="s">
        <v>130</v>
      </c>
      <c r="E72" s="11" t="s">
        <v>80</v>
      </c>
      <c r="F72" s="11" t="str" cm="1">
        <f t="array" ref="F72">IFERROR(INDEX('Motivos De Parada'!C:C,MATCH(1,('Motivos De Parada'!E:E=Disponibilidade!C72)*('Motivos De Parada'!G:G=Disponibilidade!G72)*('Motivos De Parada'!D:D=Disponibilidade!E72),0)),"-")</f>
        <v>-</v>
      </c>
      <c r="G72" s="11" t="str">
        <f>IFERROR(VLOOKUP(D72,Cadastros!A:B,2,FALSE),"-")</f>
        <v>GARRA TRAÇADORA 2</v>
      </c>
      <c r="H72" s="11" t="str">
        <f>IFERROR(VLOOKUP(G72,Cadastros!B:D,3,FALSE),"-")</f>
        <v>TRAÇAMENTO</v>
      </c>
      <c r="I72" s="9" t="s">
        <v>20</v>
      </c>
      <c r="J72" s="26">
        <f>IFERROR(MAX(0,1 - (SUMIFS('Motivos De Parada'!K:K,'Motivos De Parada'!G:G,Disponibilidade!G72,'Motivos De Parada'!H:H,Disponibilidade!H72,'Motivos De Parada'!O:O,Disponibilidade!I72,'Motivos De Parada'!E:E,Disponibilidade!C72,'Motivos De Parada'!D:D,Disponibilidade!E72) / 24)),"-")</f>
        <v>1</v>
      </c>
      <c r="K72" s="24" t="str" cm="1">
        <f t="array" ref="K72">IFERROR(INDEX('Metas DM &amp; DO'!$A:$AAD,MATCH(Disponibilidade!$G72,'Metas DM &amp; DO'!$A:$A,0),MATCH(Disponibilidade!$I72,'Metas DM &amp; DO'!$1:$1,0)+1),"-")</f>
        <v>-</v>
      </c>
      <c r="L72" s="24" t="str" cm="1">
        <f t="array" ref="L72">IFERROR(INDEX('Metas DM &amp; DO'!$A:$AAD,MATCH(Disponibilidade!$G72,'Metas DM &amp; DO'!$A:$A,0),MATCH(Disponibilidade!$I72,'Metas DM &amp; DO'!$1:$1,0)+2),"-")</f>
        <v>-</v>
      </c>
      <c r="M72" s="24" t="str" cm="1">
        <f t="array" ref="M72">IFERROR(INDEX('Metas DM &amp; DO'!$A:$AAD,MATCH(Disponibilidade!$G72,'Metas DM &amp; DO'!$A:$A,0),MATCH(Disponibilidade!$I72,'Metas DM &amp; DO'!$1:$1,0)+3),"-")</f>
        <v>-</v>
      </c>
      <c r="N72" s="11" t="str">
        <f>IFERROR(IF(J72&lt;K72,"RUIM",IF(AND(J72&gt;=K72,J72&lt;L72),"MEDIA",IF(AND(J72&gt;=L72,J72&lt;M72),"BOA","-"))),"-")</f>
        <v>RUIM</v>
      </c>
      <c r="O72" s="9" t="s">
        <v>19</v>
      </c>
      <c r="P72" s="26">
        <f>IFERROR(MAX(0,1 - (SUMIFS('Motivos De Parada'!K:K,'Motivos De Parada'!G:G,Disponibilidade!G72,'Motivos De Parada'!H:H,Disponibilidade!H72,'Motivos De Parada'!O:O,Disponibilidade!O72,'Motivos De Parada'!E:E,Disponibilidade!C72,'Motivos De Parada'!D:D,Disponibilidade!E72) / 24)),"-")</f>
        <v>1</v>
      </c>
      <c r="Q72" s="24" t="str" cm="1">
        <f t="array" ref="Q72">IFERROR(INDEX('Metas DM &amp; DO'!$A:$AAD,MATCH(Disponibilidade!$G72,'Metas DM &amp; DO'!$A:$A,0),MATCH(Disponibilidade!$O72,'Metas DM &amp; DO'!$1:$1,0)+1),"-")</f>
        <v>-</v>
      </c>
      <c r="R72" s="24" t="str" cm="1">
        <f t="array" ref="R72">IFERROR(INDEX('Metas DM &amp; DO'!$A:$AAD,MATCH(Disponibilidade!$G72,'Metas DM &amp; DO'!$A:$A,0),MATCH(Disponibilidade!$O72,'Metas DM &amp; DO'!$1:$1,0)+2),"-")</f>
        <v>-</v>
      </c>
      <c r="S72" s="24" t="str" cm="1">
        <f t="array" ref="S72">IFERROR(INDEX('Metas DM &amp; DO'!$A:$AAD,MATCH(Disponibilidade!$G72,'Metas DM &amp; DO'!$A:$A,0),MATCH(Disponibilidade!$O72,'Metas DM &amp; DO'!$1:$1,0)+3),"-")</f>
        <v>-</v>
      </c>
      <c r="T72" s="11" t="str">
        <f t="shared" si="57"/>
        <v>RUIM</v>
      </c>
      <c r="U72" s="9" t="s">
        <v>59</v>
      </c>
      <c r="V72" s="16">
        <f>IFERROR(SUMIFS('Motivos De Parada'!K:K,'Motivos De Parada'!G:G,Disponibilidade!G72,'Motivos De Parada'!H:H,Disponibilidade!H72,'Motivos De Parada'!O:O,Disponibilidade!I72,'Motivos De Parada'!E:E,Disponibilidade!C72,'Motivos De Parada'!D:D,Disponibilidade!E72),"-")</f>
        <v>0</v>
      </c>
      <c r="W72" s="16">
        <f>IFERROR(SUMIFS('Motivos De Parada'!K:K,'Motivos De Parada'!G:G,Disponibilidade!G72,'Motivos De Parada'!H:H,Disponibilidade!H72,'Motivos De Parada'!O:O,Disponibilidade!O72,'Motivos De Parada'!E:E,Disponibilidade!C72,'Motivos De Parada'!D:D,Disponibilidade!E72),"-")</f>
        <v>0</v>
      </c>
      <c r="X72" s="16">
        <f t="shared" si="58"/>
        <v>0</v>
      </c>
      <c r="Y72" s="16">
        <f>IFERROR(SUMIFS('Motivos De Parada'!K:K,'Motivos De Parada'!G:G,Disponibilidade!G72,'Motivos De Parada'!H:H,Disponibilidade!H72,'Motivos De Parada'!E:E,Disponibilidade!C72,'Motivos De Parada'!D:D,Disponibilidade!E72),"-")</f>
        <v>0</v>
      </c>
      <c r="Z72" s="28" t="str">
        <f t="shared" si="97"/>
        <v>OK</v>
      </c>
      <c r="AA72" s="16">
        <f t="shared" si="59"/>
        <v>0</v>
      </c>
      <c r="AB72" s="16">
        <f>IFERROR(SUMIFS('Motivos De Parada'!K:K,'Motivos De Parada'!G:G,Disponibilidade!G72,'Motivos De Parada'!H:H,Disponibilidade!H72,'Motivos De Parada'!E:E,Disponibilidade!C72,'Motivos De Parada'!D:D,Disponibilidade!E72,'Motivos De Parada'!M:M,"REFEIÇÃO"),"-")</f>
        <v>0</v>
      </c>
      <c r="AC72" s="16">
        <f t="shared" si="60"/>
        <v>0</v>
      </c>
      <c r="AD72" s="28" t="str">
        <f t="shared" si="98"/>
        <v>OK</v>
      </c>
      <c r="AE72" s="16" cm="1">
        <f t="array" ref="AE72">IFERROR(SUM(SUMIFS('Motivos De Parada'!K:K,'Motivos De Parada'!G:G,Disponibilidade!G72,'Motivos De Parada'!H:H,Disponibilidade!H72,'Motivos De Parada'!E:E,Disponibilidade!C72,'Motivos De Parada'!D:D,Disponibilidade!E72,'Motivos De Parada'!O:O,{"DISPONIBILIDADE MECÂNICA";"DISPONIBILIDADE OPERACIONAL"},'Motivos De Parada'!P:P,"NÃO")),"-")</f>
        <v>0</v>
      </c>
      <c r="AF72" s="16" cm="1">
        <f t="array" ref="AF72">IFERROR(SUM(SUMIFS('Motivos De Parada'!K:K,'Motivos De Parada'!G:G,Disponibilidade!G72,'Motivos De Parada'!H:H,Disponibilidade!H72,'Motivos De Parada'!E:E,Disponibilidade!C72,'Motivos De Parada'!D:D,Disponibilidade!E72,'Motivos De Parada'!O:O,{"DISPONIBILIDADE MECÂNICA";"DISPONIBILIDADE OPERACIONAL"},'Motivos De Parada'!P:P,"SIM")),"-")</f>
        <v>0</v>
      </c>
      <c r="AG72" s="16">
        <f t="shared" si="61"/>
        <v>0</v>
      </c>
      <c r="AH72" s="28" t="str">
        <f t="shared" si="99"/>
        <v>OK</v>
      </c>
      <c r="AI72" s="16" t="str" cm="1">
        <f t="array" ref="AI72">IFERROR(INDEX('Metas DM &amp; DO'!$A:$AAD,MATCH(Disponibilidade!$G72,'Metas DM &amp; DO'!$A:$A,0),MATCH(Disponibilidade!$U72,'Metas DM &amp; DO'!$1:$1,0)+2),"-")</f>
        <v>-</v>
      </c>
      <c r="AJ72" s="16" t="str" cm="1">
        <f t="array" ref="AJ72">IFERROR(INDEX('Metas DM &amp; DO'!$A:$AAD,MATCH(Disponibilidade!$G72,'Metas DM &amp; DO'!$A:$A,0),MATCH(Disponibilidade!$U72,'Metas DM &amp; DO'!$1:$1,0)+3),"-")</f>
        <v>-</v>
      </c>
      <c r="AK72" s="16" t="str" cm="1">
        <f t="array" ref="AK72">IFERROR(INDEX('Metas DM &amp; DO'!$A:$AAD,MATCH(Disponibilidade!$G72,'Metas DM &amp; DO'!$A:$A,0),MATCH(Disponibilidade!$U72,'Metas DM &amp; DO'!$1:$1,0)+4),"-")</f>
        <v>-</v>
      </c>
      <c r="AL72" s="11" t="str">
        <f t="shared" si="62"/>
        <v>EXCELENTE</v>
      </c>
    </row>
    <row r="73" spans="1:38" x14ac:dyDescent="0.3">
      <c r="A73" s="11">
        <f t="shared" si="63"/>
        <v>2026</v>
      </c>
      <c r="B73" s="12">
        <f t="shared" si="64"/>
        <v>46023</v>
      </c>
      <c r="C73" s="19">
        <v>46028</v>
      </c>
      <c r="D73" s="3" t="s">
        <v>130</v>
      </c>
      <c r="E73" s="11" t="s">
        <v>81</v>
      </c>
      <c r="F73" s="11" t="str" cm="1">
        <f t="array" ref="F73">IFERROR(INDEX('Motivos De Parada'!C:C,MATCH(1,('Motivos De Parada'!E:E=Disponibilidade!C73)*('Motivos De Parada'!G:G=Disponibilidade!G73)*('Motivos De Parada'!D:D=Disponibilidade!E73),0)),"-")</f>
        <v>-</v>
      </c>
      <c r="G73" s="11" t="str">
        <f>IFERROR(VLOOKUP(D73,Cadastros!A:B,2,FALSE),"-")</f>
        <v>GARRA TRAÇADORA 2</v>
      </c>
      <c r="H73" s="11" t="str">
        <f>IFERROR(VLOOKUP(G73,Cadastros!B:D,3,FALSE),"-")</f>
        <v>TRAÇAMENTO</v>
      </c>
      <c r="I73" s="9" t="s">
        <v>20</v>
      </c>
      <c r="J73" s="26">
        <f>IFERROR(MAX(0,1 - (SUMIFS('Motivos De Parada'!K:K,'Motivos De Parada'!G:G,Disponibilidade!G73,'Motivos De Parada'!H:H,Disponibilidade!H73,'Motivos De Parada'!O:O,Disponibilidade!I73,'Motivos De Parada'!E:E,Disponibilidade!C73,'Motivos De Parada'!D:D,Disponibilidade!E73) / 24)),"-")</f>
        <v>1</v>
      </c>
      <c r="K73" s="24" t="str" cm="1">
        <f t="array" ref="K73">IFERROR(INDEX('Metas DM &amp; DO'!$A:$AAD,MATCH(Disponibilidade!$G73,'Metas DM &amp; DO'!$A:$A,0),MATCH(Disponibilidade!$I73,'Metas DM &amp; DO'!$1:$1,0)+1),"-")</f>
        <v>-</v>
      </c>
      <c r="L73" s="24" t="str" cm="1">
        <f t="array" ref="L73">IFERROR(INDEX('Metas DM &amp; DO'!$A:$AAD,MATCH(Disponibilidade!$G73,'Metas DM &amp; DO'!$A:$A,0),MATCH(Disponibilidade!$I73,'Metas DM &amp; DO'!$1:$1,0)+2),"-")</f>
        <v>-</v>
      </c>
      <c r="M73" s="24" t="str" cm="1">
        <f t="array" ref="M73">IFERROR(INDEX('Metas DM &amp; DO'!$A:$AAD,MATCH(Disponibilidade!$G73,'Metas DM &amp; DO'!$A:$A,0),MATCH(Disponibilidade!$I73,'Metas DM &amp; DO'!$1:$1,0)+3),"-")</f>
        <v>-</v>
      </c>
      <c r="N73" s="11" t="str">
        <f>IFERROR(IF(J73&lt;K73,"RUIM",IF(AND(J73&gt;=K73,J73&lt;L73),"MEDIA",IF(AND(J73&gt;=L73,J73&lt;M73),"BOA","-"))),"-")</f>
        <v>RUIM</v>
      </c>
      <c r="O73" s="9" t="s">
        <v>19</v>
      </c>
      <c r="P73" s="26">
        <f>IFERROR(MAX(0,1 - (SUMIFS('Motivos De Parada'!K:K,'Motivos De Parada'!G:G,Disponibilidade!G73,'Motivos De Parada'!H:H,Disponibilidade!H73,'Motivos De Parada'!O:O,Disponibilidade!O73,'Motivos De Parada'!E:E,Disponibilidade!C73,'Motivos De Parada'!D:D,Disponibilidade!E73) / 24)),"-")</f>
        <v>1</v>
      </c>
      <c r="Q73" s="24" t="str" cm="1">
        <f t="array" ref="Q73">IFERROR(INDEX('Metas DM &amp; DO'!$A:$AAD,MATCH(Disponibilidade!$G73,'Metas DM &amp; DO'!$A:$A,0),MATCH(Disponibilidade!$O73,'Metas DM &amp; DO'!$1:$1,0)+1),"-")</f>
        <v>-</v>
      </c>
      <c r="R73" s="24" t="str" cm="1">
        <f t="array" ref="R73">IFERROR(INDEX('Metas DM &amp; DO'!$A:$AAD,MATCH(Disponibilidade!$G73,'Metas DM &amp; DO'!$A:$A,0),MATCH(Disponibilidade!$O73,'Metas DM &amp; DO'!$1:$1,0)+2),"-")</f>
        <v>-</v>
      </c>
      <c r="S73" s="24" t="str" cm="1">
        <f t="array" ref="S73">IFERROR(INDEX('Metas DM &amp; DO'!$A:$AAD,MATCH(Disponibilidade!$G73,'Metas DM &amp; DO'!$A:$A,0),MATCH(Disponibilidade!$O73,'Metas DM &amp; DO'!$1:$1,0)+3),"-")</f>
        <v>-</v>
      </c>
      <c r="T73" s="11" t="str">
        <f t="shared" si="57"/>
        <v>RUIM</v>
      </c>
      <c r="U73" s="9" t="s">
        <v>59</v>
      </c>
      <c r="V73" s="16">
        <f>IFERROR(SUMIFS('Motivos De Parada'!K:K,'Motivos De Parada'!G:G,Disponibilidade!G73,'Motivos De Parada'!H:H,Disponibilidade!H73,'Motivos De Parada'!O:O,Disponibilidade!I73,'Motivos De Parada'!E:E,Disponibilidade!C73,'Motivos De Parada'!D:D,Disponibilidade!E73),"-")</f>
        <v>0</v>
      </c>
      <c r="W73" s="16">
        <f>IFERROR(SUMIFS('Motivos De Parada'!K:K,'Motivos De Parada'!G:G,Disponibilidade!G73,'Motivos De Parada'!H:H,Disponibilidade!H73,'Motivos De Parada'!O:O,Disponibilidade!O73,'Motivos De Parada'!E:E,Disponibilidade!C73,'Motivos De Parada'!D:D,Disponibilidade!E73),"-")</f>
        <v>0</v>
      </c>
      <c r="X73" s="16">
        <f t="shared" si="58"/>
        <v>0</v>
      </c>
      <c r="Y73" s="16">
        <f>IFERROR(SUMIFS('Motivos De Parada'!K:K,'Motivos De Parada'!G:G,Disponibilidade!G73,'Motivos De Parada'!H:H,Disponibilidade!H73,'Motivos De Parada'!E:E,Disponibilidade!C73,'Motivos De Parada'!D:D,Disponibilidade!E73),"-")</f>
        <v>0</v>
      </c>
      <c r="Z73" s="28" t="str">
        <f t="shared" si="97"/>
        <v>OK</v>
      </c>
      <c r="AA73" s="16">
        <f t="shared" si="59"/>
        <v>0</v>
      </c>
      <c r="AB73" s="16">
        <f>IFERROR(SUMIFS('Motivos De Parada'!K:K,'Motivos De Parada'!G:G,Disponibilidade!G73,'Motivos De Parada'!H:H,Disponibilidade!H73,'Motivos De Parada'!E:E,Disponibilidade!C73,'Motivos De Parada'!D:D,Disponibilidade!E73,'Motivos De Parada'!M:M,"REFEIÇÃO"),"-")</f>
        <v>0</v>
      </c>
      <c r="AC73" s="16">
        <f t="shared" si="60"/>
        <v>0</v>
      </c>
      <c r="AD73" s="28" t="str">
        <f t="shared" si="98"/>
        <v>OK</v>
      </c>
      <c r="AE73" s="16" cm="1">
        <f t="array" ref="AE73">IFERROR(SUM(SUMIFS('Motivos De Parada'!K:K,'Motivos De Parada'!G:G,Disponibilidade!G73,'Motivos De Parada'!H:H,Disponibilidade!H73,'Motivos De Parada'!E:E,Disponibilidade!C73,'Motivos De Parada'!D:D,Disponibilidade!E73,'Motivos De Parada'!O:O,{"DISPONIBILIDADE MECÂNICA";"DISPONIBILIDADE OPERACIONAL"},'Motivos De Parada'!P:P,"NÃO")),"-")</f>
        <v>0</v>
      </c>
      <c r="AF73" s="16" cm="1">
        <f t="array" ref="AF73">IFERROR(SUM(SUMIFS('Motivos De Parada'!K:K,'Motivos De Parada'!G:G,Disponibilidade!G73,'Motivos De Parada'!H:H,Disponibilidade!H73,'Motivos De Parada'!E:E,Disponibilidade!C73,'Motivos De Parada'!D:D,Disponibilidade!E73,'Motivos De Parada'!O:O,{"DISPONIBILIDADE MECÂNICA";"DISPONIBILIDADE OPERACIONAL"},'Motivos De Parada'!P:P,"SIM")),"-")</f>
        <v>0</v>
      </c>
      <c r="AG73" s="16">
        <f t="shared" si="61"/>
        <v>0</v>
      </c>
      <c r="AH73" s="28" t="str">
        <f t="shared" si="99"/>
        <v>OK</v>
      </c>
      <c r="AI73" s="16" t="str" cm="1">
        <f t="array" ref="AI73">IFERROR(INDEX('Metas DM &amp; DO'!$A:$AAD,MATCH(Disponibilidade!$G73,'Metas DM &amp; DO'!$A:$A,0),MATCH(Disponibilidade!$U73,'Metas DM &amp; DO'!$1:$1,0)+2),"-")</f>
        <v>-</v>
      </c>
      <c r="AJ73" s="16" t="str" cm="1">
        <f t="array" ref="AJ73">IFERROR(INDEX('Metas DM &amp; DO'!$A:$AAD,MATCH(Disponibilidade!$G73,'Metas DM &amp; DO'!$A:$A,0),MATCH(Disponibilidade!$U73,'Metas DM &amp; DO'!$1:$1,0)+3),"-")</f>
        <v>-</v>
      </c>
      <c r="AK73" s="16" t="str" cm="1">
        <f t="array" ref="AK73">IFERROR(INDEX('Metas DM &amp; DO'!$A:$AAD,MATCH(Disponibilidade!$G73,'Metas DM &amp; DO'!$A:$A,0),MATCH(Disponibilidade!$U73,'Metas DM &amp; DO'!$1:$1,0)+4),"-")</f>
        <v>-</v>
      </c>
      <c r="AL73" s="11" t="str">
        <f t="shared" si="62"/>
        <v>EXCELENTE</v>
      </c>
    </row>
  </sheetData>
  <autoFilter ref="A1:AR9" xr:uid="{DB19D2F1-82F5-47FF-BF24-BE594ECF190B}"/>
  <conditionalFormatting sqref="A1">
    <cfRule type="duplicateValues" dxfId="22" priority="31"/>
  </conditionalFormatting>
  <conditionalFormatting sqref="N1:N1048576 T1:T1048576">
    <cfRule type="cellIs" dxfId="21" priority="28" operator="equal">
      <formula>"BOA"</formula>
    </cfRule>
    <cfRule type="cellIs" dxfId="20" priority="29" operator="equal">
      <formula>"MEDIA"</formula>
    </cfRule>
    <cfRule type="cellIs" dxfId="19" priority="30" operator="equal">
      <formula>"RUIM"</formula>
    </cfRule>
  </conditionalFormatting>
  <conditionalFormatting sqref="Z1:Z1048576 AD1:AD1048576 AH1:AH1048576">
    <cfRule type="cellIs" dxfId="18" priority="1" operator="equal">
      <formula>"VERIFICAR"</formula>
    </cfRule>
    <cfRule type="cellIs" dxfId="17" priority="2" operator="equal">
      <formula>"OK"</formula>
    </cfRule>
  </conditionalFormatting>
  <conditionalFormatting sqref="AL1:AL1048576">
    <cfRule type="cellIs" dxfId="16" priority="15" operator="equal">
      <formula>"EXCELENTE"</formula>
    </cfRule>
    <cfRule type="cellIs" dxfId="15" priority="16" operator="equal">
      <formula>"BOM"</formula>
    </cfRule>
    <cfRule type="cellIs" dxfId="14" priority="17" operator="equal">
      <formula>"ATENÇÃO"</formula>
    </cfRule>
    <cfRule type="cellIs" dxfId="13" priority="18" operator="equal">
      <formula>"CRÍTICO"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6CAD2-2FB4-40FA-BC6C-876EE0B91F38}">
  <dimension ref="A1:AF7"/>
  <sheetViews>
    <sheetView zoomScale="85" zoomScaleNormal="85" workbookViewId="0">
      <pane ySplit="1" topLeftCell="A2" activePane="bottomLeft" state="frozen"/>
      <selection pane="bottomLeft" activeCell="E10" sqref="E10"/>
    </sheetView>
  </sheetViews>
  <sheetFormatPr defaultColWidth="8.88671875" defaultRowHeight="14.4" x14ac:dyDescent="0.3"/>
  <cols>
    <col min="1" max="1" width="9.6640625" style="11" customWidth="1"/>
    <col min="2" max="2" width="12.6640625" style="12" customWidth="1"/>
    <col min="3" max="3" width="13.88671875" style="3" customWidth="1"/>
    <col min="4" max="4" width="13.6640625" style="3" bestFit="1" customWidth="1"/>
    <col min="5" max="5" width="22.44140625" style="11" customWidth="1"/>
    <col min="6" max="6" width="16.44140625" style="11" customWidth="1"/>
    <col min="7" max="7" width="28.6640625" style="9" customWidth="1"/>
    <col min="8" max="8" width="10.33203125" style="24" customWidth="1"/>
    <col min="9" max="9" width="11.6640625" style="24" customWidth="1"/>
    <col min="10" max="10" width="12.109375" style="24" customWidth="1"/>
    <col min="11" max="11" width="11.88671875" style="24" customWidth="1"/>
    <col min="12" max="12" width="13.44140625" style="11" customWidth="1"/>
    <col min="13" max="13" width="32.88671875" style="9" customWidth="1"/>
    <col min="14" max="14" width="10.33203125" style="24" customWidth="1"/>
    <col min="15" max="15" width="11.6640625" style="24" customWidth="1"/>
    <col min="16" max="16" width="12.109375" style="24" customWidth="1"/>
    <col min="17" max="17" width="11.88671875" style="24" customWidth="1"/>
    <col min="18" max="18" width="13.44140625" style="11" customWidth="1"/>
    <col min="19" max="19" width="14.6640625" style="9" customWidth="1"/>
    <col min="20" max="21" width="9.6640625" style="16" customWidth="1"/>
    <col min="22" max="22" width="14.44140625" style="16" customWidth="1"/>
    <col min="23" max="23" width="12" style="16" customWidth="1"/>
    <col min="24" max="24" width="14.6640625" style="16" customWidth="1"/>
    <col min="25" max="25" width="12.5546875" style="16" customWidth="1"/>
    <col min="26" max="26" width="12.6640625" style="16" customWidth="1"/>
    <col min="27" max="27" width="21.44140625" style="16" customWidth="1"/>
    <col min="28" max="28" width="19.44140625" style="16" customWidth="1"/>
    <col min="29" max="31" width="14.88671875" style="16" customWidth="1"/>
    <col min="32" max="32" width="16.44140625" style="11" customWidth="1"/>
    <col min="33" max="16384" width="8.88671875" style="3"/>
  </cols>
  <sheetData>
    <row r="1" spans="1:32" s="1" customFormat="1" ht="36" customHeight="1" x14ac:dyDescent="0.3">
      <c r="A1" s="1" t="s">
        <v>22</v>
      </c>
      <c r="B1" s="10" t="s">
        <v>23</v>
      </c>
      <c r="C1" s="1" t="s">
        <v>36</v>
      </c>
      <c r="D1" s="1" t="s">
        <v>0</v>
      </c>
      <c r="E1" s="20" t="s">
        <v>1</v>
      </c>
      <c r="F1" s="1" t="s">
        <v>37</v>
      </c>
      <c r="G1" s="1" t="s">
        <v>20</v>
      </c>
      <c r="H1" s="23" t="s">
        <v>38</v>
      </c>
      <c r="I1" s="23" t="s">
        <v>61</v>
      </c>
      <c r="J1" s="23" t="s">
        <v>62</v>
      </c>
      <c r="K1" s="23" t="s">
        <v>63</v>
      </c>
      <c r="L1" s="15" t="s">
        <v>47</v>
      </c>
      <c r="M1" s="1" t="s">
        <v>19</v>
      </c>
      <c r="N1" s="23" t="s">
        <v>39</v>
      </c>
      <c r="O1" s="23" t="s">
        <v>64</v>
      </c>
      <c r="P1" s="23" t="s">
        <v>65</v>
      </c>
      <c r="Q1" s="23" t="s">
        <v>66</v>
      </c>
      <c r="R1" s="15" t="s">
        <v>48</v>
      </c>
      <c r="S1" s="1" t="s">
        <v>59</v>
      </c>
      <c r="T1" s="15" t="s">
        <v>45</v>
      </c>
      <c r="U1" s="15" t="s">
        <v>46</v>
      </c>
      <c r="V1" s="15" t="s">
        <v>70</v>
      </c>
      <c r="W1" s="15" t="s">
        <v>43</v>
      </c>
      <c r="X1" s="15" t="s">
        <v>71</v>
      </c>
      <c r="Y1" s="15" t="s">
        <v>40</v>
      </c>
      <c r="Z1" s="15" t="s">
        <v>41</v>
      </c>
      <c r="AA1" s="15" t="s">
        <v>42</v>
      </c>
      <c r="AB1" s="15" t="s">
        <v>75</v>
      </c>
      <c r="AC1" s="15" t="s">
        <v>72</v>
      </c>
      <c r="AD1" s="15" t="s">
        <v>73</v>
      </c>
      <c r="AE1" s="15" t="s">
        <v>74</v>
      </c>
      <c r="AF1" s="15" t="s">
        <v>44</v>
      </c>
    </row>
    <row r="2" spans="1:32" x14ac:dyDescent="0.3">
      <c r="A2" s="11">
        <f t="shared" ref="A2:A7" si="0">IFERROR(YEAR(C2),"-")</f>
        <v>2026</v>
      </c>
      <c r="B2" s="12">
        <f t="shared" ref="B2:B7" si="1">IFERROR(DATE(YEAR(C2),MONTH(C2),MONTH(C2)),"-")</f>
        <v>46023</v>
      </c>
      <c r="C2" s="19">
        <v>46023</v>
      </c>
      <c r="D2" s="3" t="s">
        <v>120</v>
      </c>
      <c r="E2" s="11" t="str">
        <f>IFERROR(VLOOKUP(D2,Cadastros!A:B,2,FALSE),"-")</f>
        <v>FELLER BUNCHER 1</v>
      </c>
      <c r="F2" s="11" t="str">
        <f>IFERROR(VLOOKUP(E2,Cadastros!B:D,3,FALSE),"-")</f>
        <v>CORTE</v>
      </c>
      <c r="G2" s="9" t="s">
        <v>20</v>
      </c>
      <c r="H2" s="24">
        <f>IFERROR(MIN(1,MAX(0,1-(SUMIFS('Motivos De Parada'!K:K,'Motivos De Parada'!G:G,'Controle Mensal'!E2,'Motivos De Parada'!H:H,'Controle Mensal'!F2,'Motivos De Parada'!O:O,'Controle Mensal'!G2,'Motivos De Parada'!B:B,'Controle Mensal'!C2)/(24*DAY(EOMONTH('Controle Mensal'!C2,0)))))),"-")</f>
        <v>0.96908602150537637</v>
      </c>
      <c r="I2" s="24" cm="1">
        <f t="array" ref="I2">IFERROR(INDEX('Metas DM &amp; DO'!$A:$AAD,MATCH('Controle Mensal'!$E2,'Metas DM &amp; DO'!$A:$A,0),MATCH('Controle Mensal'!$G2,'Metas DM &amp; DO'!$1:$1,0)+1),"-")</f>
        <v>0.45882352941176474</v>
      </c>
      <c r="J2" s="24" cm="1">
        <f t="array" ref="J2">IFERROR(INDEX('Metas DM &amp; DO'!$A:$AAD,MATCH('Controle Mensal'!$E2,'Metas DM &amp; DO'!$A:$A,0),MATCH('Controle Mensal'!$G2,'Metas DM &amp; DO'!$1:$1,0)+2),"-")</f>
        <v>0.66341463414634161</v>
      </c>
      <c r="K2" s="24" cm="1">
        <f t="array" ref="K2">IFERROR(INDEX('Metas DM &amp; DO'!$A:$AAD,MATCH('Controle Mensal'!$E2,'Metas DM &amp; DO'!$A:$A,0),MATCH('Controle Mensal'!$G2,'Metas DM &amp; DO'!$1:$1,0)+3),"-")</f>
        <v>0.83333333333333337</v>
      </c>
      <c r="L2" s="11" t="str">
        <f>IFERROR(IF(H2&lt;I2,"RUIM",IF(AND(H2&gt;=I2,H2&lt;J2),"MEDIA",IF(AND(H2&gt;=J2,H2&lt;K2),"BOA","-"))),"-")</f>
        <v>-</v>
      </c>
      <c r="M2" s="9" t="s">
        <v>19</v>
      </c>
      <c r="N2" s="24">
        <f>IFERROR(MIN(1,MAX(0,1-(SUMIFS('Motivos De Parada'!K:K,'Motivos De Parada'!G:G,'Controle Mensal'!E2,'Motivos De Parada'!H:H,'Controle Mensal'!F2,'Motivos De Parada'!O:O,'Controle Mensal'!M2,'Motivos De Parada'!B:B,'Controle Mensal'!C2)/(24*DAY(EOMONTH('Controle Mensal'!C2,0)))))),"-")</f>
        <v>0.98521505376344087</v>
      </c>
      <c r="O2" s="24" cm="1">
        <f t="array" ref="O2">IFERROR(INDEX('Metas DM &amp; DO'!$A:$AAD,MATCH('Controle Mensal'!$E2,'Metas DM &amp; DO'!$A:$A,0),MATCH('Controle Mensal'!$M2,'Metas DM &amp; DO'!$1:$1,0)+1),"-")</f>
        <v>0.74117647058823533</v>
      </c>
      <c r="P2" s="24" cm="1">
        <f t="array" ref="P2">IFERROR(INDEX('Metas DM &amp; DO'!$A:$AAD,MATCH('Controle Mensal'!$E2,'Metas DM &amp; DO'!$A:$A,0),MATCH('Controle Mensal'!$M2,'Metas DM &amp; DO'!$1:$1,0)+2),"-")</f>
        <v>0.83902439024390252</v>
      </c>
      <c r="Q2" s="24" cm="1">
        <f t="array" ref="Q2">IFERROR(INDEX('Metas DM &amp; DO'!$A:$AAD,MATCH('Controle Mensal'!$E2,'Metas DM &amp; DO'!$A:$A,0),MATCH('Controle Mensal'!$M2,'Metas DM &amp; DO'!$1:$1,0)+3),"-")</f>
        <v>0.79166666666666674</v>
      </c>
      <c r="R2" s="11" t="str">
        <f>IFERROR(IF(N2&lt;O2,"RUIM",IF(AND(N2&gt;=O2,N2&lt;P2),"MEDIA",IF(AND(N2&gt;=P2,N2&lt;Q2),"BOA","-"))),"-")</f>
        <v>-</v>
      </c>
      <c r="S2" s="9" t="s">
        <v>59</v>
      </c>
      <c r="T2" s="16">
        <f>IFERROR(SUMIFS('Motivos De Parada'!K:K,'Motivos De Parada'!G:G,'Controle Mensal'!E2,'Motivos De Parada'!H:H,'Controle Mensal'!F2,'Motivos De Parada'!O:O,'Controle Mensal'!G2,'Motivos De Parada'!B:B,'Controle Mensal'!B2),"-")</f>
        <v>23</v>
      </c>
      <c r="U2" s="16">
        <f>IFERROR(SUMIFS('Motivos De Parada'!K:K,'Motivos De Parada'!G:G,'Controle Mensal'!E2,'Motivos De Parada'!H:H,'Controle Mensal'!F2,'Motivos De Parada'!O:O,'Controle Mensal'!M2,'Motivos De Parada'!B:B,'Controle Mensal'!B2),"-")</f>
        <v>10.999999999999998</v>
      </c>
      <c r="V2" s="16">
        <f>IFERROR(AVERAGE(T2,U2),"-")</f>
        <v>17</v>
      </c>
      <c r="W2" s="16">
        <f>IFERROR(SUMIFS('Motivos De Parada'!K:K,'Motivos De Parada'!G:G,'Controle Mensal'!E2,'Motivos De Parada'!H:H,'Controle Mensal'!F2,'Motivos De Parada'!B:B,'Controle Mensal'!B2),"-")</f>
        <v>48</v>
      </c>
      <c r="X2" s="16">
        <f>IFERROR(U2+T2,"-")</f>
        <v>34</v>
      </c>
      <c r="Y2" s="16">
        <f>IFERROR(SUMIFS('Motivos De Parada'!K:K,'Motivos De Parada'!G:G,'Controle Mensal'!E2,'Motivos De Parada'!H:H,'Controle Mensal'!F2,'Motivos De Parada'!B:B,'Controle Mensal'!B2,'Motivos De Parada'!M:M,"REFEIÇÃO"),"-")</f>
        <v>0</v>
      </c>
      <c r="Z2" s="16">
        <f>IFERROR(W2-X2-Y2,"-")</f>
        <v>14</v>
      </c>
      <c r="AA2" s="16">
        <f>IFERROR(SUMIFS('Motivos De Parada'!K:K,'Motivos De Parada'!G:G,'Controle Mensal'!E2,'Motivos De Parada'!H:H,'Controle Mensal'!F2,'Motivos De Parada'!B:B,'Controle Mensal'!B2,'Motivos De Parada'!P:P,"SIM"),"-")</f>
        <v>1.9999999999999996</v>
      </c>
      <c r="AB2" s="16">
        <f>IFERROR(IF((Z2-AA2)&lt;0,0,(Z2-AA2)),"-")</f>
        <v>12</v>
      </c>
      <c r="AC2" s="16" cm="1">
        <f t="array" ref="AC2">IFERROR(INDEX('Metas DM &amp; DO'!$A:$AAD,MATCH('Controle Mensal'!$E2,'Metas DM &amp; DO'!$A:$A,0),MATCH('Controle Mensal'!$S2,'Metas DM &amp; DO'!$1:$1,0)+2),"-")</f>
        <v>4.8</v>
      </c>
      <c r="AD2" s="16" cm="1">
        <f t="array" ref="AD2">IFERROR(INDEX('Metas DM &amp; DO'!$A:$AAD,MATCH('Controle Mensal'!$E2,'Metas DM &amp; DO'!$A:$A,0),MATCH('Controle Mensal'!$S2,'Metas DM &amp; DO'!$1:$1,0)+3),"-")</f>
        <v>2.9853658536585361</v>
      </c>
      <c r="AE2" s="16" cm="1">
        <f t="array" ref="AE2">IFERROR(INDEX('Metas DM &amp; DO'!$A:$AAD,MATCH('Controle Mensal'!$E2,'Metas DM &amp; DO'!$A:$A,0),MATCH('Controle Mensal'!$S2,'Metas DM &amp; DO'!$1:$1,0)+4),"-")</f>
        <v>12</v>
      </c>
      <c r="AF2" s="11" t="str">
        <f>IFERROR(IF(V2&lt;=AD2,"EXCELENTE",IF(V2&lt;=AC2,"BOM",IF(V2&lt;=AE2,"ATENÇÃO",IF(V2&gt;AE2,"CRÍTICO","-")))),"-")</f>
        <v>CRÍTICO</v>
      </c>
    </row>
    <row r="3" spans="1:32" x14ac:dyDescent="0.3">
      <c r="A3" s="11">
        <f t="shared" si="0"/>
        <v>2026</v>
      </c>
      <c r="B3" s="12">
        <f t="shared" si="1"/>
        <v>46023</v>
      </c>
      <c r="C3" s="19">
        <v>46023</v>
      </c>
      <c r="D3" s="3" t="s">
        <v>122</v>
      </c>
      <c r="E3" s="11" t="str">
        <f>IFERROR(VLOOKUP(D3,Cadastros!A:B,2,FALSE),"-")</f>
        <v>FELLER BUNCHER 2</v>
      </c>
      <c r="F3" s="11" t="str">
        <f>IFERROR(VLOOKUP(E3,Cadastros!B:D,3,FALSE),"-")</f>
        <v>CORTE</v>
      </c>
      <c r="G3" s="9" t="s">
        <v>20</v>
      </c>
      <c r="H3" s="24">
        <f>IFERROR(MIN(1,MAX(0,1-(SUMIFS('Motivos De Parada'!K:K,'Motivos De Parada'!G:G,'Controle Mensal'!E3,'Motivos De Parada'!H:H,'Controle Mensal'!F3,'Motivos De Parada'!O:O,'Controle Mensal'!G3,'Motivos De Parada'!B:B,'Controle Mensal'!C3)/(24*DAY(EOMONTH('Controle Mensal'!C3,0)))))),"-")</f>
        <v>1</v>
      </c>
      <c r="I3" s="24" cm="1">
        <f t="array" ref="I3">IFERROR(INDEX('Metas DM &amp; DO'!$A:$AAD,MATCH('Controle Mensal'!$E3,'Metas DM &amp; DO'!$A:$A,0),MATCH('Controle Mensal'!$G3,'Metas DM &amp; DO'!$1:$1,0)+1),"-")</f>
        <v>1</v>
      </c>
      <c r="J3" s="24" cm="1">
        <f t="array" ref="J3">IFERROR(INDEX('Metas DM &amp; DO'!$A:$AAD,MATCH('Controle Mensal'!$E3,'Metas DM &amp; DO'!$A:$A,0),MATCH('Controle Mensal'!$G3,'Metas DM &amp; DO'!$1:$1,0)+2),"-")</f>
        <v>1</v>
      </c>
      <c r="K3" s="24" t="str" cm="1">
        <f t="array" ref="K3">IFERROR(INDEX('Metas DM &amp; DO'!$A:$AAD,MATCH('Controle Mensal'!$E3,'Metas DM &amp; DO'!$A:$A,0),MATCH('Controle Mensal'!$G3,'Metas DM &amp; DO'!$1:$1,0)+3),"-")</f>
        <v>-</v>
      </c>
      <c r="L3" s="11" t="str">
        <f t="shared" ref="L3:L7" si="2">IFERROR(IF(H3&lt;I3,"RUIM",IF(AND(H3&gt;=I3,H3&lt;J3),"MEDIA",IF(AND(H3&gt;=J3,H3&lt;K3),"BOA","-"))),"-")</f>
        <v>BOA</v>
      </c>
      <c r="M3" s="9" t="s">
        <v>19</v>
      </c>
      <c r="N3" s="24">
        <f>IFERROR(MIN(1,MAX(0,1-(SUMIFS('Motivos De Parada'!K:K,'Motivos De Parada'!G:G,'Controle Mensal'!E3,'Motivos De Parada'!H:H,'Controle Mensal'!F3,'Motivos De Parada'!O:O,'Controle Mensal'!M3,'Motivos De Parada'!B:B,'Controle Mensal'!C3)/(24*DAY(EOMONTH('Controle Mensal'!C3,0)))))),"-")</f>
        <v>0.97043010752688175</v>
      </c>
      <c r="O3" s="24" cm="1">
        <f t="array" ref="O3">IFERROR(INDEX('Metas DM &amp; DO'!$A:$AAD,MATCH('Controle Mensal'!$E3,'Metas DM &amp; DO'!$A:$A,0),MATCH('Controle Mensal'!$M3,'Metas DM &amp; DO'!$1:$1,0)+1),"-")</f>
        <v>0.11999999999999977</v>
      </c>
      <c r="P3" s="24" cm="1">
        <f t="array" ref="P3">IFERROR(INDEX('Metas DM &amp; DO'!$A:$AAD,MATCH('Controle Mensal'!$E3,'Metas DM &amp; DO'!$A:$A,0),MATCH('Controle Mensal'!$M3,'Metas DM &amp; DO'!$1:$1,0)+2),"-")</f>
        <v>0.2584269662921348</v>
      </c>
      <c r="Q3" s="24" cm="1">
        <f t="array" ref="Q3">IFERROR(INDEX('Metas DM &amp; DO'!$A:$AAD,MATCH('Controle Mensal'!$E3,'Metas DM &amp; DO'!$A:$A,0),MATCH('Controle Mensal'!$M3,'Metas DM &amp; DO'!$1:$1,0)+3),"-")</f>
        <v>0.58333333333333348</v>
      </c>
      <c r="R3" s="11" t="str">
        <f t="shared" ref="R3:R7" si="3">IFERROR(IF(N3&lt;O3,"RUIM",IF(AND(N3&gt;=O3,N3&lt;P3),"MEDIA",IF(AND(N3&gt;=P3,N3&lt;Q3),"BOA","-"))),"-")</f>
        <v>-</v>
      </c>
      <c r="S3" s="9" t="s">
        <v>59</v>
      </c>
      <c r="T3" s="16">
        <f>IFERROR(SUMIFS('Motivos De Parada'!K:K,'Motivos De Parada'!G:G,'Controle Mensal'!E3,'Motivos De Parada'!H:H,'Controle Mensal'!F3,'Motivos De Parada'!O:O,'Controle Mensal'!G3,'Motivos De Parada'!B:B,'Controle Mensal'!B3),"-")</f>
        <v>0</v>
      </c>
      <c r="U3" s="16">
        <f>IFERROR(SUMIFS('Motivos De Parada'!K:K,'Motivos De Parada'!G:G,'Controle Mensal'!E3,'Motivos De Parada'!H:H,'Controle Mensal'!F3,'Motivos De Parada'!O:O,'Controle Mensal'!M3,'Motivos De Parada'!B:B,'Controle Mensal'!B3),"-")</f>
        <v>22</v>
      </c>
      <c r="V3" s="16">
        <f t="shared" ref="V3:V7" si="4">IFERROR(AVERAGE(T3,U3),"-")</f>
        <v>11</v>
      </c>
      <c r="W3" s="16">
        <f>IFERROR(SUMIFS('Motivos De Parada'!K:K,'Motivos De Parada'!G:G,'Controle Mensal'!E3,'Motivos De Parada'!H:H,'Controle Mensal'!F3,'Motivos De Parada'!B:B,'Controle Mensal'!B3),"-")</f>
        <v>24</v>
      </c>
      <c r="X3" s="16">
        <f t="shared" ref="X3:X7" si="5">IFERROR(U3+T3,"-")</f>
        <v>22</v>
      </c>
      <c r="Y3" s="16">
        <f>IFERROR(SUMIFS('Motivos De Parada'!K:K,'Motivos De Parada'!G:G,'Controle Mensal'!E3,'Motivos De Parada'!H:H,'Controle Mensal'!F3,'Motivos De Parada'!B:B,'Controle Mensal'!B3,'Motivos De Parada'!M:M,"REFEIÇÃO"),"-")</f>
        <v>0</v>
      </c>
      <c r="Z3" s="16">
        <f t="shared" ref="Z3:Z7" si="6">IFERROR(W3-X3-Y3,"-")</f>
        <v>2</v>
      </c>
      <c r="AA3" s="16">
        <f>IFERROR(SUMIFS('Motivos De Parada'!K:K,'Motivos De Parada'!G:G,'Controle Mensal'!E3,'Motivos De Parada'!H:H,'Controle Mensal'!F3,'Motivos De Parada'!B:B,'Controle Mensal'!B3,'Motivos De Parada'!P:P,"SIM"),"-")</f>
        <v>2.0000000000000009</v>
      </c>
      <c r="AB3" s="16">
        <f t="shared" ref="AB3:AB7" si="7">IFERROR(IF((Z3-AA3)&lt;0,0,(Z3-AA3)),"-")</f>
        <v>0</v>
      </c>
      <c r="AC3" s="16" cm="1">
        <f t="array" ref="AC3">IFERROR(INDEX('Metas DM &amp; DO'!$A:$AAD,MATCH('Controle Mensal'!$E3,'Metas DM &amp; DO'!$A:$A,0),MATCH('Controle Mensal'!$S3,'Metas DM &amp; DO'!$1:$1,0)+2),"-")</f>
        <v>5.2800000000000011</v>
      </c>
      <c r="AD3" s="16" cm="1">
        <f t="array" ref="AD3">IFERROR(INDEX('Metas DM &amp; DO'!$A:$AAD,MATCH('Controle Mensal'!$E3,'Metas DM &amp; DO'!$A:$A,0),MATCH('Controle Mensal'!$S3,'Metas DM &amp; DO'!$1:$1,0)+3),"-")</f>
        <v>4.4494382022471912</v>
      </c>
      <c r="AE3" s="16" cm="1">
        <f t="array" ref="AE3">IFERROR(INDEX('Metas DM &amp; DO'!$A:$AAD,MATCH('Controle Mensal'!$E3,'Metas DM &amp; DO'!$A:$A,0),MATCH('Controle Mensal'!$S3,'Metas DM &amp; DO'!$1:$1,0)+4),"-")</f>
        <v>9</v>
      </c>
      <c r="AF3" s="11" t="str">
        <f t="shared" ref="AF3:AF7" si="8">IFERROR(IF(V3&lt;=AD3,"EXCELENTE",
 IF(V3&lt;=AC3,"BOM",
 IF(V3&lt;=AE3,"ATENÇÃO",IF(V3&gt;AE3,"CRÍTICO","-")))),"-")</f>
        <v>CRÍTICO</v>
      </c>
    </row>
    <row r="4" spans="1:32" x14ac:dyDescent="0.3">
      <c r="A4" s="11">
        <f t="shared" si="0"/>
        <v>2026</v>
      </c>
      <c r="B4" s="12">
        <f t="shared" si="1"/>
        <v>46023</v>
      </c>
      <c r="C4" s="19">
        <v>46023</v>
      </c>
      <c r="D4" s="3" t="s">
        <v>124</v>
      </c>
      <c r="E4" s="11" t="str">
        <f>IFERROR(VLOOKUP(D4,Cadastros!A:B,2,FALSE),"-")</f>
        <v>SKIDDER 1</v>
      </c>
      <c r="F4" s="11" t="str">
        <f>IFERROR(VLOOKUP(E4,Cadastros!B:D,3,FALSE),"-")</f>
        <v>ARRASTE</v>
      </c>
      <c r="G4" s="9" t="s">
        <v>20</v>
      </c>
      <c r="H4" s="24">
        <f>IFERROR(MIN(1,MAX(0,1-(SUMIFS('Motivos De Parada'!K:K,'Motivos De Parada'!G:G,'Controle Mensal'!E4,'Motivos De Parada'!H:H,'Controle Mensal'!F4,'Motivos De Parada'!O:O,'Controle Mensal'!G4,'Motivos De Parada'!B:B,'Controle Mensal'!C4)/(24*DAY(EOMONTH('Controle Mensal'!C4,0)))))),"-")</f>
        <v>1</v>
      </c>
      <c r="I4" s="24" t="str" cm="1">
        <f t="array" ref="I4">IFERROR(INDEX('Metas DM &amp; DO'!$A:$AAD,MATCH('Controle Mensal'!$E4,'Metas DM &amp; DO'!$A:$A,0),MATCH('Controle Mensal'!$G4,'Metas DM &amp; DO'!$1:$1,0)+1),"-")</f>
        <v>-</v>
      </c>
      <c r="J4" s="24" t="str" cm="1">
        <f t="array" ref="J4">IFERROR(INDEX('Metas DM &amp; DO'!$A:$AAD,MATCH('Controle Mensal'!$E4,'Metas DM &amp; DO'!$A:$A,0),MATCH('Controle Mensal'!$G4,'Metas DM &amp; DO'!$1:$1,0)+2),"-")</f>
        <v>-</v>
      </c>
      <c r="K4" s="24" t="str" cm="1">
        <f t="array" ref="K4">IFERROR(INDEX('Metas DM &amp; DO'!$A:$AAD,MATCH('Controle Mensal'!$E4,'Metas DM &amp; DO'!$A:$A,0),MATCH('Controle Mensal'!$G4,'Metas DM &amp; DO'!$1:$1,0)+3),"-")</f>
        <v>-</v>
      </c>
      <c r="L4" s="11" t="str">
        <f t="shared" si="2"/>
        <v>RUIM</v>
      </c>
      <c r="M4" s="9" t="s">
        <v>19</v>
      </c>
      <c r="N4" s="24">
        <f>IFERROR(MIN(1,MAX(0,1-(SUMIFS('Motivos De Parada'!K:K,'Motivos De Parada'!G:G,'Controle Mensal'!E4,'Motivos De Parada'!H:H,'Controle Mensal'!F4,'Motivos De Parada'!O:O,'Controle Mensal'!M4,'Motivos De Parada'!B:B,'Controle Mensal'!C4)/(24*DAY(EOMONTH('Controle Mensal'!C4,0)))))),"-")</f>
        <v>1</v>
      </c>
      <c r="O4" s="24" t="str" cm="1">
        <f t="array" ref="O4">IFERROR(INDEX('Metas DM &amp; DO'!$A:$AAD,MATCH('Controle Mensal'!$E4,'Metas DM &amp; DO'!$A:$A,0),MATCH('Controle Mensal'!$M4,'Metas DM &amp; DO'!$1:$1,0)+1),"-")</f>
        <v>-</v>
      </c>
      <c r="P4" s="24" t="str" cm="1">
        <f t="array" ref="P4">IFERROR(INDEX('Metas DM &amp; DO'!$A:$AAD,MATCH('Controle Mensal'!$E4,'Metas DM &amp; DO'!$A:$A,0),MATCH('Controle Mensal'!$M4,'Metas DM &amp; DO'!$1:$1,0)+2),"-")</f>
        <v>-</v>
      </c>
      <c r="Q4" s="24" t="str" cm="1">
        <f t="array" ref="Q4">IFERROR(INDEX('Metas DM &amp; DO'!$A:$AAD,MATCH('Controle Mensal'!$E4,'Metas DM &amp; DO'!$A:$A,0),MATCH('Controle Mensal'!$M4,'Metas DM &amp; DO'!$1:$1,0)+3),"-")</f>
        <v>-</v>
      </c>
      <c r="R4" s="11" t="str">
        <f t="shared" si="3"/>
        <v>RUIM</v>
      </c>
      <c r="S4" s="9" t="s">
        <v>59</v>
      </c>
      <c r="T4" s="16">
        <f>IFERROR(SUMIFS('Motivos De Parada'!K:K,'Motivos De Parada'!G:G,'Controle Mensal'!E4,'Motivos De Parada'!H:H,'Controle Mensal'!F4,'Motivos De Parada'!O:O,'Controle Mensal'!G4,'Motivos De Parada'!B:B,'Controle Mensal'!B4),"-")</f>
        <v>0</v>
      </c>
      <c r="U4" s="16">
        <f>IFERROR(SUMIFS('Motivos De Parada'!K:K,'Motivos De Parada'!G:G,'Controle Mensal'!E4,'Motivos De Parada'!H:H,'Controle Mensal'!F4,'Motivos De Parada'!O:O,'Controle Mensal'!M4,'Motivos De Parada'!B:B,'Controle Mensal'!B4),"-")</f>
        <v>0</v>
      </c>
      <c r="V4" s="16">
        <f t="shared" si="4"/>
        <v>0</v>
      </c>
      <c r="W4" s="16">
        <f>IFERROR(SUMIFS('Motivos De Parada'!K:K,'Motivos De Parada'!G:G,'Controle Mensal'!E4,'Motivos De Parada'!H:H,'Controle Mensal'!F4,'Motivos De Parada'!B:B,'Controle Mensal'!B4),"-")</f>
        <v>0</v>
      </c>
      <c r="X4" s="16">
        <f t="shared" si="5"/>
        <v>0</v>
      </c>
      <c r="Y4" s="16">
        <f>IFERROR(SUMIFS('Motivos De Parada'!K:K,'Motivos De Parada'!G:G,'Controle Mensal'!E4,'Motivos De Parada'!H:H,'Controle Mensal'!F4,'Motivos De Parada'!B:B,'Controle Mensal'!B4,'Motivos De Parada'!M:M,"REFEIÇÃO"),"-")</f>
        <v>0</v>
      </c>
      <c r="Z4" s="16">
        <f t="shared" si="6"/>
        <v>0</v>
      </c>
      <c r="AA4" s="16">
        <f>IFERROR(SUMIFS('Motivos De Parada'!K:K,'Motivos De Parada'!G:G,'Controle Mensal'!E4,'Motivos De Parada'!H:H,'Controle Mensal'!F4,'Motivos De Parada'!B:B,'Controle Mensal'!B4,'Motivos De Parada'!P:P,"SIM"),"-")</f>
        <v>0</v>
      </c>
      <c r="AB4" s="16">
        <f t="shared" si="7"/>
        <v>0</v>
      </c>
      <c r="AC4" s="16" t="str" cm="1">
        <f t="array" ref="AC4">IFERROR(INDEX('Metas DM &amp; DO'!$A:$AAD,MATCH('Controle Mensal'!$E4,'Metas DM &amp; DO'!$A:$A,0),MATCH('Controle Mensal'!$S4,'Metas DM &amp; DO'!$1:$1,0)+2),"-")</f>
        <v>-</v>
      </c>
      <c r="AD4" s="16" t="str" cm="1">
        <f t="array" ref="AD4">IFERROR(INDEX('Metas DM &amp; DO'!$A:$AAD,MATCH('Controle Mensal'!$E4,'Metas DM &amp; DO'!$A:$A,0),MATCH('Controle Mensal'!$S4,'Metas DM &amp; DO'!$1:$1,0)+3),"-")</f>
        <v>-</v>
      </c>
      <c r="AE4" s="16" t="str" cm="1">
        <f t="array" ref="AE4">IFERROR(INDEX('Metas DM &amp; DO'!$A:$AAD,MATCH('Controle Mensal'!$E4,'Metas DM &amp; DO'!$A:$A,0),MATCH('Controle Mensal'!$S4,'Metas DM &amp; DO'!$1:$1,0)+4),"-")</f>
        <v>-</v>
      </c>
      <c r="AF4" s="11" t="str">
        <f t="shared" si="8"/>
        <v>EXCELENTE</v>
      </c>
    </row>
    <row r="5" spans="1:32" x14ac:dyDescent="0.3">
      <c r="A5" s="11">
        <f t="shared" si="0"/>
        <v>2026</v>
      </c>
      <c r="B5" s="12">
        <f t="shared" si="1"/>
        <v>46023</v>
      </c>
      <c r="C5" s="19">
        <v>46023</v>
      </c>
      <c r="D5" s="3" t="s">
        <v>126</v>
      </c>
      <c r="E5" s="11" t="str">
        <f>IFERROR(VLOOKUP(D5,Cadastros!A:B,2,FALSE),"-")</f>
        <v>SKIDDER 2</v>
      </c>
      <c r="F5" s="11" t="str">
        <f>IFERROR(VLOOKUP(E5,Cadastros!B:D,3,FALSE),"-")</f>
        <v>ARRASTE</v>
      </c>
      <c r="G5" s="9" t="s">
        <v>20</v>
      </c>
      <c r="H5" s="24">
        <f>IFERROR(MIN(1,MAX(0,1-(SUMIFS('Motivos De Parada'!K:K,'Motivos De Parada'!G:G,'Controle Mensal'!E5,'Motivos De Parada'!H:H,'Controle Mensal'!F5,'Motivos De Parada'!O:O,'Controle Mensal'!G5,'Motivos De Parada'!B:B,'Controle Mensal'!C5)/(24*DAY(EOMONTH('Controle Mensal'!C5,0)))))),"-")</f>
        <v>0.967741935483871</v>
      </c>
      <c r="I5" s="24" cm="1">
        <f t="array" ref="I5">IFERROR(INDEX('Metas DM &amp; DO'!$A:$AAD,MATCH('Controle Mensal'!$E5,'Metas DM &amp; DO'!$A:$A,0),MATCH('Controle Mensal'!$G5,'Metas DM &amp; DO'!$1:$1,0)+1),"-")</f>
        <v>0.5</v>
      </c>
      <c r="J5" s="24" cm="1">
        <f t="array" ref="J5">IFERROR(INDEX('Metas DM &amp; DO'!$A:$AAD,MATCH('Controle Mensal'!$E5,'Metas DM &amp; DO'!$A:$A,0),MATCH('Controle Mensal'!$G5,'Metas DM &amp; DO'!$1:$1,0)+2),"-")</f>
        <v>0.5</v>
      </c>
      <c r="K5" s="24" cm="1">
        <f t="array" ref="K5">IFERROR(INDEX('Metas DM &amp; DO'!$A:$AAD,MATCH('Controle Mensal'!$E5,'Metas DM &amp; DO'!$A:$A,0),MATCH('Controle Mensal'!$G5,'Metas DM &amp; DO'!$1:$1,0)+3),"-")</f>
        <v>0.5</v>
      </c>
      <c r="L5" s="11" t="str">
        <f t="shared" si="2"/>
        <v>-</v>
      </c>
      <c r="M5" s="9" t="s">
        <v>19</v>
      </c>
      <c r="N5" s="24">
        <f>IFERROR(MIN(1,MAX(0,1-(SUMIFS('Motivos De Parada'!K:K,'Motivos De Parada'!G:G,'Controle Mensal'!E5,'Motivos De Parada'!H:H,'Controle Mensal'!F5,'Motivos De Parada'!O:O,'Controle Mensal'!M5,'Motivos De Parada'!B:B,'Controle Mensal'!C5)/(24*DAY(EOMONTH('Controle Mensal'!C5,0)))))),"-")</f>
        <v>0.967741935483871</v>
      </c>
      <c r="O5" s="24" cm="1">
        <f t="array" ref="O5">IFERROR(INDEX('Metas DM &amp; DO'!$A:$AAD,MATCH('Controle Mensal'!$E5,'Metas DM &amp; DO'!$A:$A,0),MATCH('Controle Mensal'!$M5,'Metas DM &amp; DO'!$1:$1,0)+1),"-")</f>
        <v>0.5</v>
      </c>
      <c r="P5" s="24" cm="1">
        <f t="array" ref="P5">IFERROR(INDEX('Metas DM &amp; DO'!$A:$AAD,MATCH('Controle Mensal'!$E5,'Metas DM &amp; DO'!$A:$A,0),MATCH('Controle Mensal'!$M5,'Metas DM &amp; DO'!$1:$1,0)+2),"-")</f>
        <v>0.5</v>
      </c>
      <c r="Q5" s="24" cm="1">
        <f t="array" ref="Q5">IFERROR(INDEX('Metas DM &amp; DO'!$A:$AAD,MATCH('Controle Mensal'!$E5,'Metas DM &amp; DO'!$A:$A,0),MATCH('Controle Mensal'!$M5,'Metas DM &amp; DO'!$1:$1,0)+3),"-")</f>
        <v>0.5</v>
      </c>
      <c r="R5" s="11" t="str">
        <f t="shared" si="3"/>
        <v>-</v>
      </c>
      <c r="S5" s="9" t="s">
        <v>59</v>
      </c>
      <c r="T5" s="16">
        <f>IFERROR(SUMIFS('Motivos De Parada'!K:K,'Motivos De Parada'!G:G,'Controle Mensal'!E5,'Motivos De Parada'!H:H,'Controle Mensal'!F5,'Motivos De Parada'!O:O,'Controle Mensal'!G5,'Motivos De Parada'!B:B,'Controle Mensal'!B5),"-")</f>
        <v>24</v>
      </c>
      <c r="U5" s="16">
        <f>IFERROR(SUMIFS('Motivos De Parada'!K:K,'Motivos De Parada'!G:G,'Controle Mensal'!E5,'Motivos De Parada'!H:H,'Controle Mensal'!F5,'Motivos De Parada'!O:O,'Controle Mensal'!M5,'Motivos De Parada'!B:B,'Controle Mensal'!B5),"-")</f>
        <v>24</v>
      </c>
      <c r="V5" s="16">
        <f t="shared" si="4"/>
        <v>24</v>
      </c>
      <c r="W5" s="16">
        <f>IFERROR(SUMIFS('Motivos De Parada'!K:K,'Motivos De Parada'!G:G,'Controle Mensal'!E5,'Motivos De Parada'!H:H,'Controle Mensal'!F5,'Motivos De Parada'!B:B,'Controle Mensal'!B5),"-")</f>
        <v>48</v>
      </c>
      <c r="X5" s="16">
        <f t="shared" si="5"/>
        <v>48</v>
      </c>
      <c r="Y5" s="16">
        <f>IFERROR(SUMIFS('Motivos De Parada'!K:K,'Motivos De Parada'!G:G,'Controle Mensal'!E5,'Motivos De Parada'!H:H,'Controle Mensal'!F5,'Motivos De Parada'!B:B,'Controle Mensal'!B5,'Motivos De Parada'!M:M,"REFEIÇÃO"),"-")</f>
        <v>0</v>
      </c>
      <c r="Z5" s="16">
        <f t="shared" si="6"/>
        <v>0</v>
      </c>
      <c r="AA5" s="16">
        <f>IFERROR(SUMIFS('Motivos De Parada'!K:K,'Motivos De Parada'!G:G,'Controle Mensal'!E5,'Motivos De Parada'!H:H,'Controle Mensal'!F5,'Motivos De Parada'!B:B,'Controle Mensal'!B5,'Motivos De Parada'!P:P,"SIM"),"-")</f>
        <v>0</v>
      </c>
      <c r="AB5" s="16">
        <f t="shared" si="7"/>
        <v>0</v>
      </c>
      <c r="AC5" s="16" cm="1">
        <f t="array" ref="AC5">IFERROR(INDEX('Metas DM &amp; DO'!$A:$AAD,MATCH('Controle Mensal'!$E5,'Metas DM &amp; DO'!$A:$A,0),MATCH('Controle Mensal'!$S5,'Metas DM &amp; DO'!$1:$1,0)+2),"-")</f>
        <v>12</v>
      </c>
      <c r="AD5" s="16" cm="1">
        <f t="array" ref="AD5">IFERROR(INDEX('Metas DM &amp; DO'!$A:$AAD,MATCH('Controle Mensal'!$E5,'Metas DM &amp; DO'!$A:$A,0),MATCH('Controle Mensal'!$S5,'Metas DM &amp; DO'!$1:$1,0)+3),"-")</f>
        <v>12</v>
      </c>
      <c r="AE5" s="16" cm="1">
        <f t="array" ref="AE5">IFERROR(INDEX('Metas DM &amp; DO'!$A:$AAD,MATCH('Controle Mensal'!$E5,'Metas DM &amp; DO'!$A:$A,0),MATCH('Controle Mensal'!$S5,'Metas DM &amp; DO'!$1:$1,0)+4),"-")</f>
        <v>12</v>
      </c>
      <c r="AF5" s="11" t="str">
        <f t="shared" si="8"/>
        <v>CRÍTICO</v>
      </c>
    </row>
    <row r="6" spans="1:32" x14ac:dyDescent="0.3">
      <c r="A6" s="11">
        <f t="shared" si="0"/>
        <v>2026</v>
      </c>
      <c r="B6" s="12">
        <f t="shared" si="1"/>
        <v>46023</v>
      </c>
      <c r="C6" s="19">
        <v>46023</v>
      </c>
      <c r="D6" s="3" t="s">
        <v>128</v>
      </c>
      <c r="E6" s="11" t="str">
        <f>IFERROR(VLOOKUP(D6,Cadastros!A:B,2,FALSE),"-")</f>
        <v>GARRA TRAÇADORA 1</v>
      </c>
      <c r="F6" s="11" t="str">
        <f>IFERROR(VLOOKUP(E6,Cadastros!B:D,3,FALSE),"-")</f>
        <v>TRAÇAMENTO</v>
      </c>
      <c r="G6" s="9" t="s">
        <v>20</v>
      </c>
      <c r="H6" s="24">
        <f>IFERROR(MIN(1,MAX(0,1-(SUMIFS('Motivos De Parada'!K:K,'Motivos De Parada'!G:G,'Controle Mensal'!E6,'Motivos De Parada'!H:H,'Controle Mensal'!F6,'Motivos De Parada'!O:O,'Controle Mensal'!G6,'Motivos De Parada'!B:B,'Controle Mensal'!C6)/(24*DAY(EOMONTH('Controle Mensal'!C6,0)))))),"-")</f>
        <v>0.99697580645161288</v>
      </c>
      <c r="I6" s="24" cm="1">
        <f t="array" ref="I6">IFERROR(INDEX('Metas DM &amp; DO'!$A:$AAD,MATCH('Controle Mensal'!$E6,'Metas DM &amp; DO'!$A:$A,0),MATCH('Controle Mensal'!$G6,'Metas DM &amp; DO'!$1:$1,0)+1),"-")</f>
        <v>0.91724137931034488</v>
      </c>
      <c r="J6" s="24" cm="1">
        <f t="array" ref="J6">IFERROR(INDEX('Metas DM &amp; DO'!$A:$AAD,MATCH('Controle Mensal'!$E6,'Metas DM &amp; DO'!$A:$A,0),MATCH('Controle Mensal'!$G6,'Metas DM &amp; DO'!$1:$1,0)+2),"-")</f>
        <v>0.92489568845618919</v>
      </c>
      <c r="K6" s="24" cm="1">
        <f t="array" ref="K6">IFERROR(INDEX('Metas DM &amp; DO'!$A:$AAD,MATCH('Controle Mensal'!$E6,'Metas DM &amp; DO'!$A:$A,0),MATCH('Controle Mensal'!$G6,'Metas DM &amp; DO'!$1:$1,0)+3),"-")</f>
        <v>0.90625</v>
      </c>
      <c r="L6" s="11" t="str">
        <f t="shared" si="2"/>
        <v>-</v>
      </c>
      <c r="M6" s="9" t="s">
        <v>19</v>
      </c>
      <c r="N6" s="24">
        <f>IFERROR(MIN(1,MAX(0,1-(SUMIFS('Motivos De Parada'!K:K,'Motivos De Parada'!G:G,'Controle Mensal'!E6,'Motivos De Parada'!H:H,'Controle Mensal'!F6,'Motivos De Parada'!O:O,'Controle Mensal'!M6,'Motivos De Parada'!B:B,'Controle Mensal'!C6)/(24*DAY(EOMONTH('Controle Mensal'!C6,0)))))),"-")</f>
        <v>0.97939068100358417</v>
      </c>
      <c r="O6" s="24" cm="1">
        <f t="array" ref="O6">IFERROR(INDEX('Metas DM &amp; DO'!$A:$AAD,MATCH('Controle Mensal'!$E6,'Metas DM &amp; DO'!$A:$A,0),MATCH('Controle Mensal'!$M6,'Metas DM &amp; DO'!$1:$1,0)+1),"-")</f>
        <v>0.43601532567049806</v>
      </c>
      <c r="P6" s="24" cm="1">
        <f t="array" ref="P6">IFERROR(INDEX('Metas DM &amp; DO'!$A:$AAD,MATCH('Controle Mensal'!$E6,'Metas DM &amp; DO'!$A:$A,0),MATCH('Controle Mensal'!$M6,'Metas DM &amp; DO'!$1:$1,0)+2),"-")</f>
        <v>0.48817802503477059</v>
      </c>
      <c r="Q6" s="24" cm="1">
        <f t="array" ref="Q6">IFERROR(INDEX('Metas DM &amp; DO'!$A:$AAD,MATCH('Controle Mensal'!$E6,'Metas DM &amp; DO'!$A:$A,0),MATCH('Controle Mensal'!$M6,'Metas DM &amp; DO'!$1:$1,0)+3),"-")</f>
        <v>0.71875</v>
      </c>
      <c r="R6" s="11" t="str">
        <f t="shared" si="3"/>
        <v>-</v>
      </c>
      <c r="S6" s="9" t="s">
        <v>59</v>
      </c>
      <c r="T6" s="16">
        <f>IFERROR(SUMIFS('Motivos De Parada'!K:K,'Motivos De Parada'!G:G,'Controle Mensal'!E6,'Motivos De Parada'!H:H,'Controle Mensal'!F6,'Motivos De Parada'!O:O,'Controle Mensal'!G6,'Motivos De Parada'!B:B,'Controle Mensal'!B6),"-")</f>
        <v>2.25</v>
      </c>
      <c r="U6" s="16">
        <f>IFERROR(SUMIFS('Motivos De Parada'!K:K,'Motivos De Parada'!G:G,'Controle Mensal'!E6,'Motivos De Parada'!H:H,'Controle Mensal'!F6,'Motivos De Parada'!O:O,'Controle Mensal'!M6,'Motivos De Parada'!B:B,'Controle Mensal'!B6),"-")</f>
        <v>15.333333333333336</v>
      </c>
      <c r="V6" s="16">
        <f t="shared" si="4"/>
        <v>8.7916666666666679</v>
      </c>
      <c r="W6" s="16">
        <f>IFERROR(SUMIFS('Motivos De Parada'!K:K,'Motivos De Parada'!G:G,'Controle Mensal'!E6,'Motivos De Parada'!H:H,'Controle Mensal'!F6,'Motivos De Parada'!B:B,'Controle Mensal'!B6),"-")</f>
        <v>24</v>
      </c>
      <c r="X6" s="16">
        <f t="shared" si="5"/>
        <v>17.583333333333336</v>
      </c>
      <c r="Y6" s="16">
        <f>IFERROR(SUMIFS('Motivos De Parada'!K:K,'Motivos De Parada'!G:G,'Controle Mensal'!E6,'Motivos De Parada'!H:H,'Controle Mensal'!F6,'Motivos De Parada'!B:B,'Controle Mensal'!B6,'Motivos De Parada'!M:M,"REFEIÇÃO"),"-")</f>
        <v>0</v>
      </c>
      <c r="Z6" s="16">
        <f t="shared" si="6"/>
        <v>6.4166666666666643</v>
      </c>
      <c r="AA6" s="16">
        <f>IFERROR(SUMIFS('Motivos De Parada'!K:K,'Motivos De Parada'!G:G,'Controle Mensal'!E6,'Motivos De Parada'!H:H,'Controle Mensal'!F6,'Motivos De Parada'!B:B,'Controle Mensal'!B6,'Motivos De Parada'!P:P,"SIM"),"-")</f>
        <v>5.4166666666666661</v>
      </c>
      <c r="AB6" s="16">
        <f t="shared" si="7"/>
        <v>0.99999999999999822</v>
      </c>
      <c r="AC6" s="16" cm="1">
        <f t="array" ref="AC6">IFERROR(INDEX('Metas DM &amp; DO'!$A:$AAD,MATCH('Controle Mensal'!$E6,'Metas DM &amp; DO'!$A:$A,0),MATCH('Controle Mensal'!$S6,'Metas DM &amp; DO'!$1:$1,0)+2),"-")</f>
        <v>2.2174055829228245</v>
      </c>
      <c r="AD6" s="16" cm="1">
        <f t="array" ref="AD6">IFERROR(INDEX('Metas DM &amp; DO'!$A:$AAD,MATCH('Controle Mensal'!$E6,'Metas DM &amp; DO'!$A:$A,0),MATCH('Controle Mensal'!$S6,'Metas DM &amp; DO'!$1:$1,0)+3),"-")</f>
        <v>2.0123186966024238</v>
      </c>
      <c r="AE6" s="16" cm="1">
        <f t="array" ref="AE6">IFERROR(INDEX('Metas DM &amp; DO'!$A:$AAD,MATCH('Controle Mensal'!$E6,'Metas DM &amp; DO'!$A:$A,0),MATCH('Controle Mensal'!$S6,'Metas DM &amp; DO'!$1:$1,0)+4),"-")</f>
        <v>3.9999999999999991</v>
      </c>
      <c r="AF6" s="11" t="str">
        <f t="shared" si="8"/>
        <v>CRÍTICO</v>
      </c>
    </row>
    <row r="7" spans="1:32" x14ac:dyDescent="0.3">
      <c r="A7" s="11">
        <f t="shared" si="0"/>
        <v>2026</v>
      </c>
      <c r="B7" s="12">
        <f t="shared" si="1"/>
        <v>46023</v>
      </c>
      <c r="C7" s="19">
        <v>46023</v>
      </c>
      <c r="D7" s="3" t="s">
        <v>130</v>
      </c>
      <c r="E7" s="11" t="str">
        <f>IFERROR(VLOOKUP(D7,Cadastros!A:B,2,FALSE),"-")</f>
        <v>GARRA TRAÇADORA 2</v>
      </c>
      <c r="F7" s="11" t="str">
        <f>IFERROR(VLOOKUP(E7,Cadastros!B:D,3,FALSE),"-")</f>
        <v>TRAÇAMENTO</v>
      </c>
      <c r="G7" s="9" t="s">
        <v>20</v>
      </c>
      <c r="H7" s="24">
        <f>IFERROR(MIN(1,MAX(0,1-(SUMIFS('Motivos De Parada'!K:K,'Motivos De Parada'!G:G,'Controle Mensal'!E7,'Motivos De Parada'!H:H,'Controle Mensal'!F7,'Motivos De Parada'!O:O,'Controle Mensal'!G7,'Motivos De Parada'!B:B,'Controle Mensal'!C7)/(24*DAY(EOMONTH('Controle Mensal'!C7,0)))))),"-")</f>
        <v>1</v>
      </c>
      <c r="I7" s="24" t="str" cm="1">
        <f t="array" ref="I7">IFERROR(INDEX('Metas DM &amp; DO'!$A:$AAD,MATCH('Controle Mensal'!$E7,'Metas DM &amp; DO'!$A:$A,0),MATCH('Controle Mensal'!$G7,'Metas DM &amp; DO'!$1:$1,0)+1),"-")</f>
        <v>-</v>
      </c>
      <c r="J7" s="24" t="str" cm="1">
        <f t="array" ref="J7">IFERROR(INDEX('Metas DM &amp; DO'!$A:$AAD,MATCH('Controle Mensal'!$E7,'Metas DM &amp; DO'!$A:$A,0),MATCH('Controle Mensal'!$G7,'Metas DM &amp; DO'!$1:$1,0)+2),"-")</f>
        <v>-</v>
      </c>
      <c r="K7" s="24" t="str" cm="1">
        <f t="array" ref="K7">IFERROR(INDEX('Metas DM &amp; DO'!$A:$AAD,MATCH('Controle Mensal'!$E7,'Metas DM &amp; DO'!$A:$A,0),MATCH('Controle Mensal'!$G7,'Metas DM &amp; DO'!$1:$1,0)+3),"-")</f>
        <v>-</v>
      </c>
      <c r="L7" s="11" t="str">
        <f t="shared" si="2"/>
        <v>RUIM</v>
      </c>
      <c r="M7" s="9" t="s">
        <v>19</v>
      </c>
      <c r="N7" s="24">
        <f>IFERROR(MIN(1,MAX(0,1-(SUMIFS('Motivos De Parada'!K:K,'Motivos De Parada'!G:G,'Controle Mensal'!E7,'Motivos De Parada'!H:H,'Controle Mensal'!F7,'Motivos De Parada'!O:O,'Controle Mensal'!M7,'Motivos De Parada'!B:B,'Controle Mensal'!C7)/(24*DAY(EOMONTH('Controle Mensal'!C7,0)))))),"-")</f>
        <v>1</v>
      </c>
      <c r="O7" s="24" t="str" cm="1">
        <f t="array" ref="O7">IFERROR(INDEX('Metas DM &amp; DO'!$A:$AAD,MATCH('Controle Mensal'!$E7,'Metas DM &amp; DO'!$A:$A,0),MATCH('Controle Mensal'!$M7,'Metas DM &amp; DO'!$1:$1,0)+1),"-")</f>
        <v>-</v>
      </c>
      <c r="P7" s="24" t="str" cm="1">
        <f t="array" ref="P7">IFERROR(INDEX('Metas DM &amp; DO'!$A:$AAD,MATCH('Controle Mensal'!$E7,'Metas DM &amp; DO'!$A:$A,0),MATCH('Controle Mensal'!$M7,'Metas DM &amp; DO'!$1:$1,0)+2),"-")</f>
        <v>-</v>
      </c>
      <c r="Q7" s="24" t="str" cm="1">
        <f t="array" ref="Q7">IFERROR(INDEX('Metas DM &amp; DO'!$A:$AAD,MATCH('Controle Mensal'!$E7,'Metas DM &amp; DO'!$A:$A,0),MATCH('Controle Mensal'!$M7,'Metas DM &amp; DO'!$1:$1,0)+3),"-")</f>
        <v>-</v>
      </c>
      <c r="R7" s="11" t="str">
        <f t="shared" si="3"/>
        <v>RUIM</v>
      </c>
      <c r="S7" s="9" t="s">
        <v>59</v>
      </c>
      <c r="T7" s="16">
        <f>IFERROR(SUMIFS('Motivos De Parada'!K:K,'Motivos De Parada'!G:G,'Controle Mensal'!E7,'Motivos De Parada'!H:H,'Controle Mensal'!F7,'Motivos De Parada'!O:O,'Controle Mensal'!G7,'Motivos De Parada'!B:B,'Controle Mensal'!B7),"-")</f>
        <v>0</v>
      </c>
      <c r="U7" s="16">
        <f>IFERROR(SUMIFS('Motivos De Parada'!K:K,'Motivos De Parada'!G:G,'Controle Mensal'!E7,'Motivos De Parada'!H:H,'Controle Mensal'!F7,'Motivos De Parada'!O:O,'Controle Mensal'!M7,'Motivos De Parada'!B:B,'Controle Mensal'!B7),"-")</f>
        <v>0</v>
      </c>
      <c r="V7" s="16">
        <f t="shared" si="4"/>
        <v>0</v>
      </c>
      <c r="W7" s="16">
        <f>IFERROR(SUMIFS('Motivos De Parada'!K:K,'Motivos De Parada'!G:G,'Controle Mensal'!E7,'Motivos De Parada'!H:H,'Controle Mensal'!F7,'Motivos De Parada'!B:B,'Controle Mensal'!B7),"-")</f>
        <v>0</v>
      </c>
      <c r="X7" s="16">
        <f t="shared" si="5"/>
        <v>0</v>
      </c>
      <c r="Y7" s="16">
        <f>IFERROR(SUMIFS('Motivos De Parada'!K:K,'Motivos De Parada'!G:G,'Controle Mensal'!E7,'Motivos De Parada'!H:H,'Controle Mensal'!F7,'Motivos De Parada'!B:B,'Controle Mensal'!B7,'Motivos De Parada'!M:M,"REFEIÇÃO"),"-")</f>
        <v>0</v>
      </c>
      <c r="Z7" s="16">
        <f t="shared" si="6"/>
        <v>0</v>
      </c>
      <c r="AA7" s="16">
        <f>IFERROR(SUMIFS('Motivos De Parada'!K:K,'Motivos De Parada'!G:G,'Controle Mensal'!E7,'Motivos De Parada'!H:H,'Controle Mensal'!F7,'Motivos De Parada'!B:B,'Controle Mensal'!B7,'Motivos De Parada'!P:P,"SIM"),"-")</f>
        <v>0</v>
      </c>
      <c r="AB7" s="16">
        <f t="shared" si="7"/>
        <v>0</v>
      </c>
      <c r="AC7" s="16" t="str" cm="1">
        <f t="array" ref="AC7">IFERROR(INDEX('Metas DM &amp; DO'!$A:$AAD,MATCH('Controle Mensal'!$E7,'Metas DM &amp; DO'!$A:$A,0),MATCH('Controle Mensal'!$S7,'Metas DM &amp; DO'!$1:$1,0)+2),"-")</f>
        <v>-</v>
      </c>
      <c r="AD7" s="16" t="str" cm="1">
        <f t="array" ref="AD7">IFERROR(INDEX('Metas DM &amp; DO'!$A:$AAD,MATCH('Controle Mensal'!$E7,'Metas DM &amp; DO'!$A:$A,0),MATCH('Controle Mensal'!$S7,'Metas DM &amp; DO'!$1:$1,0)+3),"-")</f>
        <v>-</v>
      </c>
      <c r="AE7" s="16" t="str" cm="1">
        <f t="array" ref="AE7">IFERROR(INDEX('Metas DM &amp; DO'!$A:$AAD,MATCH('Controle Mensal'!$E7,'Metas DM &amp; DO'!$A:$A,0),MATCH('Controle Mensal'!$S7,'Metas DM &amp; DO'!$1:$1,0)+4),"-")</f>
        <v>-</v>
      </c>
      <c r="AF7" s="11" t="str">
        <f t="shared" si="8"/>
        <v>EXCELENTE</v>
      </c>
    </row>
  </sheetData>
  <conditionalFormatting sqref="A1">
    <cfRule type="duplicateValues" dxfId="12" priority="11"/>
  </conditionalFormatting>
  <conditionalFormatting sqref="L1:L1048576 R1:R1048576">
    <cfRule type="cellIs" dxfId="11" priority="8" operator="equal">
      <formula>"BOA"</formula>
    </cfRule>
    <cfRule type="cellIs" dxfId="10" priority="9" operator="equal">
      <formula>"MEDIA"</formula>
    </cfRule>
    <cfRule type="cellIs" dxfId="9" priority="10" operator="equal">
      <formula>"RUIM"</formula>
    </cfRule>
  </conditionalFormatting>
  <conditionalFormatting sqref="AF1:AF1048576">
    <cfRule type="cellIs" dxfId="8" priority="1" operator="equal">
      <formula>"EXCELENTE"</formula>
    </cfRule>
    <cfRule type="cellIs" dxfId="7" priority="2" operator="equal">
      <formula>"BOM"</formula>
    </cfRule>
    <cfRule type="cellIs" dxfId="6" priority="3" operator="equal">
      <formula>"ATENÇÃO"</formula>
    </cfRule>
    <cfRule type="cellIs" dxfId="5" priority="4" operator="equal">
      <formula>"CRÍTICO"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CE8E2-CF35-4555-9104-91B14116DE6D}">
  <dimension ref="A1:Z9"/>
  <sheetViews>
    <sheetView zoomScale="70" zoomScaleNormal="70" workbookViewId="0">
      <pane ySplit="1" topLeftCell="A2" activePane="bottomLeft" state="frozen"/>
      <selection pane="bottomLeft" activeCell="H49" sqref="H49"/>
    </sheetView>
  </sheetViews>
  <sheetFormatPr defaultColWidth="8.88671875" defaultRowHeight="14.4" x14ac:dyDescent="0.3"/>
  <cols>
    <col min="1" max="1" width="25.6640625" style="3" customWidth="1"/>
    <col min="2" max="2" width="15.5546875" style="11" customWidth="1"/>
    <col min="3" max="3" width="13.5546875" style="16" customWidth="1"/>
    <col min="4" max="6" width="11.5546875" style="16" customWidth="1"/>
    <col min="7" max="7" width="8.88671875" style="16"/>
    <col min="8" max="8" width="14.33203125" style="16" customWidth="1"/>
    <col min="9" max="9" width="13.44140625" style="11" customWidth="1"/>
    <col min="10" max="12" width="14.33203125" style="16" customWidth="1"/>
    <col min="13" max="13" width="17.6640625" style="16" customWidth="1"/>
    <col min="14" max="14" width="25.44140625" style="3" bestFit="1" customWidth="1"/>
    <col min="15" max="17" width="8.88671875" style="24"/>
    <col min="18" max="18" width="28.33203125" style="3" bestFit="1" customWidth="1"/>
    <col min="19" max="21" width="8.88671875" style="24"/>
    <col min="22" max="22" width="8.88671875" style="3"/>
    <col min="23" max="23" width="14.44140625" style="16" customWidth="1"/>
    <col min="24" max="26" width="8.88671875" style="16"/>
    <col min="27" max="16384" width="8.88671875" style="3"/>
  </cols>
  <sheetData>
    <row r="1" spans="1:26" s="1" customFormat="1" ht="36" customHeight="1" x14ac:dyDescent="0.3">
      <c r="A1" s="1" t="s">
        <v>49</v>
      </c>
      <c r="B1" s="10" t="s">
        <v>37</v>
      </c>
      <c r="C1" s="15" t="s">
        <v>53</v>
      </c>
      <c r="D1" s="15" t="s">
        <v>50</v>
      </c>
      <c r="E1" s="15" t="s">
        <v>51</v>
      </c>
      <c r="F1" s="15" t="s">
        <v>68</v>
      </c>
      <c r="G1" s="15" t="s">
        <v>52</v>
      </c>
      <c r="H1" s="15" t="s">
        <v>54</v>
      </c>
      <c r="I1" s="15" t="s">
        <v>34</v>
      </c>
      <c r="J1" s="15" t="s">
        <v>55</v>
      </c>
      <c r="K1" s="15" t="s">
        <v>69</v>
      </c>
      <c r="L1" s="15" t="s">
        <v>60</v>
      </c>
      <c r="M1" s="15" t="s">
        <v>67</v>
      </c>
      <c r="N1" s="13" t="s">
        <v>20</v>
      </c>
      <c r="O1" s="23" t="s">
        <v>56</v>
      </c>
      <c r="P1" s="23" t="s">
        <v>57</v>
      </c>
      <c r="Q1" s="23" t="s">
        <v>58</v>
      </c>
      <c r="R1" s="13" t="s">
        <v>19</v>
      </c>
      <c r="S1" s="23" t="s">
        <v>56</v>
      </c>
      <c r="T1" s="23" t="s">
        <v>57</v>
      </c>
      <c r="U1" s="23" t="s">
        <v>58</v>
      </c>
      <c r="V1" s="21" t="s">
        <v>59</v>
      </c>
      <c r="W1" s="15" t="s">
        <v>70</v>
      </c>
      <c r="X1" s="15" t="s">
        <v>56</v>
      </c>
      <c r="Y1" s="15" t="s">
        <v>57</v>
      </c>
      <c r="Z1" s="15" t="s">
        <v>58</v>
      </c>
    </row>
    <row r="2" spans="1:26" x14ac:dyDescent="0.3">
      <c r="A2" s="3" t="s">
        <v>121</v>
      </c>
      <c r="B2" s="11" t="str">
        <f>IFERROR(VLOOKUP(A2,Cadastros!B:D,3,FALSE),"-")</f>
        <v>CORTE</v>
      </c>
      <c r="C2" s="16">
        <f>IFERROR(AVERAGEIFS('Motivos De Parada'!K:K,'Motivos De Parada'!G:G,'Metas DM &amp; DO'!A2),"-")</f>
        <v>4.8</v>
      </c>
      <c r="D2" s="16" cm="1">
        <f t="array" ref="D2">IFERROR(_xlfn.PERCENTILE.INC(_xlfn._xlws.FILTER('Motivos De Parada'!K:K,('Motivos De Parada'!G:G='Metas DM &amp; DO'!A2)*('Motivos De Parada'!H:H='Metas DM &amp; DO'!B2)),0.5),"-")</f>
        <v>3.5</v>
      </c>
      <c r="E2" s="16" cm="1">
        <f t="array" ref="E2">IFERROR(_xlfn.PERCENTILE.INC(_xlfn._xlws.FILTER('Motivos De Parada'!K:K,('Motivos De Parada'!G:G='Metas DM &amp; DO'!A2)*('Motivos De Parada'!H:H='Metas DM &amp; DO'!B2)),0.75),"-")</f>
        <v>5</v>
      </c>
      <c r="F2" s="16" cm="1">
        <f t="array" ref="F2">IFERROR(_xlfn.PERCENTILE.INC(_xlfn._xlws.FILTER('Motivos De Parada'!K:K,('Motivos De Parada'!G:G='Metas DM &amp; DO'!A2)*('Motivos De Parada'!H:H='Metas DM &amp; DO'!B2)),0.9),"-")</f>
        <v>12</v>
      </c>
      <c r="G2" s="16">
        <f>IFERROR(_xlfn.MAXIFS('Motivos De Parada'!K:K,'Motivos De Parada'!G:G,'Metas DM &amp; DO'!A2),"-")</f>
        <v>12</v>
      </c>
      <c r="H2" s="16">
        <f>IFERROR(COUNTIFS('Motivos De Parada'!G:G,'Metas DM &amp; DO'!A2,'Motivos De Parada'!H:H,'Metas DM &amp; DO'!B2),"-")</f>
        <v>10</v>
      </c>
      <c r="I2" s="11" t="str">
        <f>IFERROR(IF(C2&lt;D2,"BAIXO",IF(AND(C2&gt;=D2,C2&lt;E2),"MEDIO",IF(AND(C2&gt;=E2,C2&lt;G2),"ALTO","-"))),"-")</f>
        <v>MEDIO</v>
      </c>
      <c r="J2" s="16">
        <f>IFERROR(AVERAGE((D2/C2),(E2/C2)),"-")</f>
        <v>0.88541666666666674</v>
      </c>
      <c r="K2" s="16">
        <f>IFERROR(AVERAGE((D2/C2),(E2/C2),(F2/C2)),"-")</f>
        <v>1.4236111111111114</v>
      </c>
      <c r="L2" s="16">
        <f>IFERROR(1/J2,"-")</f>
        <v>1.1294117647058823</v>
      </c>
      <c r="M2" s="16">
        <f>IFERROR(1/K2,"-")</f>
        <v>0.70243902439024375</v>
      </c>
      <c r="N2" s="3" t="s">
        <v>20</v>
      </c>
      <c r="O2" s="24" cm="1">
        <f t="array" ref="O2">IFERROR(MIN(1,MAX(0,1-(SUMIFS('Motivos De Parada'!K:K,'Motivos De Parada'!G:G,'Metas DM &amp; DO'!A2,'Motivos De Parada'!H:H,'Metas DM &amp; DO'!B2,'Motivos De Parada'!O:O,'Metas DM &amp; DO'!N2)*L2/(24*COUNTA(_xlfn.UNIQUE(_xlfn._xlws.FILTER('Motivos De Parada'!E:E,('Motivos De Parada'!G:G='Metas DM &amp; DO'!A2)*('Motivos De Parada'!H:H='Metas DM &amp; DO'!B2)))))))),"-")</f>
        <v>0.45882352941176474</v>
      </c>
      <c r="P2" s="24" cm="1">
        <f t="array" ref="P2">IFERROR(MIN(1,MAX(0,1-(SUMIFS('Motivos De Parada'!K:K,'Motivos De Parada'!G:G,'Metas DM &amp; DO'!A2,'Motivos De Parada'!H:H,'Metas DM &amp; DO'!B2,'Motivos De Parada'!O:O,'Metas DM &amp; DO'!N2)*M2/(24*COUNTA(_xlfn.UNIQUE(_xlfn._xlws.FILTER('Motivos De Parada'!E:E,('Motivos De Parada'!G:G='Metas DM &amp; DO'!A2)*('Motivos De Parada'!H:H='Metas DM &amp; DO'!B2)))))))),"-")</f>
        <v>0.66341463414634161</v>
      </c>
      <c r="Q2" s="24" cm="1">
        <f t="array" ref="Q2">IFERROR(MAX(_xlfn._xlws.FILTER(Disponibilidade!J:J,(Disponibilidade!J:J&lt;1)*(Disponibilidade!G:G='Metas DM &amp; DO'!A2)*(Disponibilidade!H:H='Metas DM &amp; DO'!B2)*(ISNUMBER(Disponibilidade!J:J)))),"-")</f>
        <v>0.83333333333333337</v>
      </c>
      <c r="R2" s="3" t="s">
        <v>19</v>
      </c>
      <c r="S2" s="24" cm="1">
        <f t="array" ref="S2">IFERROR(MIN(1,MAX(0,1-(SUMIFS('Motivos De Parada'!K:K,'Motivos De Parada'!G:G,'Metas DM &amp; DO'!A2,'Motivos De Parada'!H:H,'Metas DM &amp; DO'!B2,'Motivos De Parada'!O:O,'Metas DM &amp; DO'!R2)*L2/(24*COUNTA(_xlfn.UNIQUE(_xlfn._xlws.FILTER('Motivos De Parada'!E:E,('Motivos De Parada'!G:G='Metas DM &amp; DO'!A2)*('Motivos De Parada'!H:H='Metas DM &amp; DO'!B2)))))))),"-")</f>
        <v>0.74117647058823533</v>
      </c>
      <c r="T2" s="24" cm="1">
        <f t="array" ref="T2">IFERROR(MIN(1,MAX(0,1-(SUMIFS('Motivos De Parada'!K:K,'Motivos De Parada'!G:G,'Metas DM &amp; DO'!A2,'Motivos De Parada'!H:H,'Metas DM &amp; DO'!B2,'Motivos De Parada'!O:O,'Metas DM &amp; DO'!R2)*M2/(24*COUNTA(_xlfn.UNIQUE(_xlfn._xlws.FILTER('Motivos De Parada'!E:E,('Motivos De Parada'!G:G='Metas DM &amp; DO'!A2)*('Motivos De Parada'!H:H='Metas DM &amp; DO'!B2)))))))),"-")</f>
        <v>0.83902439024390252</v>
      </c>
      <c r="U2" s="24" cm="1">
        <f t="array" ref="U2">IFERROR(MAX(_xlfn._xlws.FILTER(Disponibilidade!P:P,(Disponibilidade!P:P&lt;1)*(Disponibilidade!G:G='Metas DM &amp; DO'!A2)*(Disponibilidade!H:H='Metas DM &amp; DO'!B2)*(ISNUMBER(Disponibilidade!P:P)))),"-")</f>
        <v>0.79166666666666674</v>
      </c>
      <c r="V2" s="3" t="s">
        <v>59</v>
      </c>
      <c r="W2" s="16" cm="1">
        <f t="array" ref="W2">IFERROR(AVERAGE(_xlfn._xlws.FILTER('Motivos De Parada'!K:K,('Motivos De Parada'!G:G='Metas DM &amp; DO'!A2)*(('Motivos De Parada'!O:O='Metas DM &amp; DO'!N2)+('Motivos De Parada'!O:O='Metas DM &amp; DO'!R2)))),"-")</f>
        <v>4.25</v>
      </c>
      <c r="X2" s="16">
        <f>IFERROR(W2*L2,"-")</f>
        <v>4.8</v>
      </c>
      <c r="Y2" s="16">
        <f>IFERROR(W2*M2,"-")</f>
        <v>2.9853658536585361</v>
      </c>
      <c r="Z2" s="16" cm="1">
        <f t="array" ref="Z2">IFERROR(MAX(_xlfn._xlws.FILTER('Motivos De Parada'!K:K,('Motivos De Parada'!G:G='Metas DM &amp; DO'!A2)*(('Motivos De Parada'!O:O='Metas DM &amp; DO'!N2)+('Motivos De Parada'!O:O='Metas DM &amp; DO'!R2)))),"-")</f>
        <v>12</v>
      </c>
    </row>
    <row r="3" spans="1:26" x14ac:dyDescent="0.3">
      <c r="A3" s="3" t="s">
        <v>123</v>
      </c>
      <c r="B3" s="11" t="str">
        <f>IFERROR(VLOOKUP(A3,Cadastros!B:D,3,FALSE),"-")</f>
        <v>CORTE</v>
      </c>
      <c r="C3" s="16">
        <f>IFERROR(AVERAGEIFS('Motivos De Parada'!K:K,'Motivos De Parada'!G:G,'Metas DM &amp; DO'!A3),"-")</f>
        <v>4.8</v>
      </c>
      <c r="D3" s="16" cm="1">
        <f t="array" ref="D3">IFERROR(_xlfn.PERCENTILE.INC(_xlfn._xlws.FILTER('Motivos De Parada'!K:K,('Motivos De Parada'!G:G='Metas DM &amp; DO'!A3)*('Motivos De Parada'!H:H='Metas DM &amp; DO'!B3)),0.5),"-")</f>
        <v>4</v>
      </c>
      <c r="E3" s="16" cm="1">
        <f t="array" ref="E3">IFERROR(_xlfn.PERCENTILE.INC(_xlfn._xlws.FILTER('Motivos De Parada'!K:K,('Motivos De Parada'!G:G='Metas DM &amp; DO'!A3)*('Motivos De Parada'!H:H='Metas DM &amp; DO'!B3)),0.75),"-")</f>
        <v>5.9999999999999982</v>
      </c>
      <c r="F3" s="16" cm="1">
        <f t="array" ref="F3">IFERROR(_xlfn.PERCENTILE.INC(_xlfn._xlws.FILTER('Motivos De Parada'!K:K,('Motivos De Parada'!G:G='Metas DM &amp; DO'!A3)*('Motivos De Parada'!H:H='Metas DM &amp; DO'!B3)),0.9),"-")</f>
        <v>7.799999999999998</v>
      </c>
      <c r="G3" s="16">
        <f>IFERROR(_xlfn.MAXIFS('Motivos De Parada'!K:K,'Motivos De Parada'!G:G,'Metas DM &amp; DO'!A3),"-")</f>
        <v>9</v>
      </c>
      <c r="H3" s="16">
        <f>IFERROR(COUNTIFS('Motivos De Parada'!G:G,'Metas DM &amp; DO'!A3,'Motivos De Parada'!H:H,'Metas DM &amp; DO'!B3),"-")</f>
        <v>5</v>
      </c>
      <c r="I3" s="11" t="str">
        <f t="shared" ref="I3:I7" si="0">IFERROR(IF(C3&lt;D3,"BAIXO",IF(AND(C3&gt;=D3,C3&lt;E3),"MEDIO",IF(AND(C3&gt;=E3,C3&lt;G3),"ALTO","-"))),"-")</f>
        <v>MEDIO</v>
      </c>
      <c r="J3" s="16">
        <f t="shared" ref="J3:J7" si="1">IFERROR(AVERAGE((D3/C3),(E3/C3)),"-")</f>
        <v>1.0416666666666665</v>
      </c>
      <c r="K3" s="16">
        <f t="shared" ref="K3:K7" si="2">IFERROR(AVERAGE((D3/C3),(E3/C3),(F3/C3)),"-")</f>
        <v>1.2361111111111109</v>
      </c>
      <c r="L3" s="16">
        <f t="shared" ref="L3:M7" si="3">IFERROR(1/J3,"-")</f>
        <v>0.96000000000000019</v>
      </c>
      <c r="M3" s="16">
        <f t="shared" si="3"/>
        <v>0.80898876404494391</v>
      </c>
      <c r="N3" s="3" t="s">
        <v>20</v>
      </c>
      <c r="O3" s="24" cm="1">
        <f t="array" ref="O3">IFERROR(MIN(1,MAX(0,1-(SUMIFS('Motivos De Parada'!K:K,'Motivos De Parada'!G:G,'Metas DM &amp; DO'!A3,'Motivos De Parada'!H:H,'Metas DM &amp; DO'!B3,'Motivos De Parada'!O:O,'Metas DM &amp; DO'!N3)*L3/(24*COUNTA(_xlfn.UNIQUE(_xlfn._xlws.FILTER('Motivos De Parada'!E:E,('Motivos De Parada'!G:G='Metas DM &amp; DO'!A3)*('Motivos De Parada'!H:H='Metas DM &amp; DO'!B3)))))))),"-")</f>
        <v>1</v>
      </c>
      <c r="P3" s="24" cm="1">
        <f t="array" ref="P3">IFERROR(MIN(1,MAX(0,1-(SUMIFS('Motivos De Parada'!K:K,'Motivos De Parada'!G:G,'Metas DM &amp; DO'!A3,'Motivos De Parada'!H:H,'Metas DM &amp; DO'!B3,'Motivos De Parada'!O:O,'Metas DM &amp; DO'!N3)*M3/(24*COUNTA(_xlfn.UNIQUE(_xlfn._xlws.FILTER('Motivos De Parada'!E:E,('Motivos De Parada'!G:G='Metas DM &amp; DO'!A3)*('Motivos De Parada'!H:H='Metas DM &amp; DO'!B3)))))))),"-")</f>
        <v>1</v>
      </c>
      <c r="Q3" s="24" t="str" cm="1">
        <f t="array" ref="Q3">IFERROR(MAX(_xlfn._xlws.FILTER(Disponibilidade!J:J,(Disponibilidade!J:J&lt;1)*(Disponibilidade!G:G='Metas DM &amp; DO'!A3)*(Disponibilidade!H:H='Metas DM &amp; DO'!B3)*(ISNUMBER(Disponibilidade!J:J)))),"-")</f>
        <v>-</v>
      </c>
      <c r="R3" s="3" t="s">
        <v>19</v>
      </c>
      <c r="S3" s="24" cm="1">
        <f t="array" ref="S3">IFERROR(MIN(1,MAX(0,1-(SUMIFS('Motivos De Parada'!K:K,'Motivos De Parada'!G:G,'Metas DM &amp; DO'!A3,'Motivos De Parada'!H:H,'Metas DM &amp; DO'!B3,'Motivos De Parada'!O:O,'Metas DM &amp; DO'!R3)*L3/(24*COUNTA(_xlfn.UNIQUE(_xlfn._xlws.FILTER('Motivos De Parada'!E:E,('Motivos De Parada'!G:G='Metas DM &amp; DO'!A3)*('Motivos De Parada'!H:H='Metas DM &amp; DO'!B3)))))))),"-")</f>
        <v>0.11999999999999977</v>
      </c>
      <c r="T3" s="24" cm="1">
        <f t="array" ref="T3">IFERROR(MIN(1,MAX(0,1-(SUMIFS('Motivos De Parada'!K:K,'Motivos De Parada'!G:G,'Metas DM &amp; DO'!A3,'Motivos De Parada'!H:H,'Metas DM &amp; DO'!B3,'Motivos De Parada'!O:O,'Metas DM &amp; DO'!R3)*M3/(24*COUNTA(_xlfn.UNIQUE(_xlfn._xlws.FILTER('Motivos De Parada'!E:E,('Motivos De Parada'!G:G='Metas DM &amp; DO'!A3)*('Motivos De Parada'!H:H='Metas DM &amp; DO'!B3)))))))),"-")</f>
        <v>0.2584269662921348</v>
      </c>
      <c r="U3" s="24" cm="1">
        <f t="array" ref="U3">IFERROR(MAX(_xlfn._xlws.FILTER(Disponibilidade!P:P,(Disponibilidade!P:P&lt;1)*(Disponibilidade!G:G='Metas DM &amp; DO'!A3)*(Disponibilidade!H:H='Metas DM &amp; DO'!B3)*(ISNUMBER(Disponibilidade!P:P)))),"-")</f>
        <v>0.58333333333333348</v>
      </c>
      <c r="V3" s="3" t="s">
        <v>59</v>
      </c>
      <c r="W3" s="16" cm="1">
        <f t="array" ref="W3">IFERROR(AVERAGE(_xlfn._xlws.FILTER('Motivos De Parada'!K:K,('Motivos De Parada'!G:G='Metas DM &amp; DO'!A3)*(('Motivos De Parada'!O:O='Metas DM &amp; DO'!N3)+('Motivos De Parada'!O:O='Metas DM &amp; DO'!R3)))),"-")</f>
        <v>5.5</v>
      </c>
      <c r="X3" s="16">
        <f t="shared" ref="X3:X7" si="4">IFERROR(W3*L3,"-")</f>
        <v>5.2800000000000011</v>
      </c>
      <c r="Y3" s="16">
        <f t="shared" ref="Y3:Y7" si="5">IFERROR(W3*M3,"-")</f>
        <v>4.4494382022471912</v>
      </c>
      <c r="Z3" s="16" cm="1">
        <f t="array" ref="Z3">IFERROR(MAX(_xlfn._xlws.FILTER('Motivos De Parada'!K:K,('Motivos De Parada'!G:G='Metas DM &amp; DO'!A3)*(('Motivos De Parada'!O:O='Metas DM &amp; DO'!N3)+('Motivos De Parada'!O:O='Metas DM &amp; DO'!R3)))),"-")</f>
        <v>9</v>
      </c>
    </row>
    <row r="4" spans="1:26" x14ac:dyDescent="0.3">
      <c r="A4" s="3" t="s">
        <v>125</v>
      </c>
      <c r="B4" s="11" t="str">
        <f>IFERROR(VLOOKUP(A4,Cadastros!B:D,3,FALSE),"-")</f>
        <v>ARRASTE</v>
      </c>
      <c r="C4" s="16" t="str">
        <f>IFERROR(AVERAGEIFS('Motivos De Parada'!K:K,'Motivos De Parada'!G:G,'Metas DM &amp; DO'!A4),"-")</f>
        <v>-</v>
      </c>
      <c r="D4" s="16" t="str" cm="1">
        <f t="array" ref="D4">IFERROR(_xlfn.PERCENTILE.INC(_xlfn._xlws.FILTER('Motivos De Parada'!K:K,('Motivos De Parada'!G:G='Metas DM &amp; DO'!A4)*('Motivos De Parada'!H:H='Metas DM &amp; DO'!B4)),0.5),"-")</f>
        <v>-</v>
      </c>
      <c r="E4" s="16" t="str" cm="1">
        <f t="array" ref="E4">IFERROR(_xlfn.PERCENTILE.INC(_xlfn._xlws.FILTER('Motivos De Parada'!K:K,('Motivos De Parada'!G:G='Metas DM &amp; DO'!A4)*('Motivos De Parada'!H:H='Metas DM &amp; DO'!B4)),0.75),"-")</f>
        <v>-</v>
      </c>
      <c r="F4" s="16" t="str" cm="1">
        <f t="array" ref="F4">IFERROR(_xlfn.PERCENTILE.INC(_xlfn._xlws.FILTER('Motivos De Parada'!K:K,('Motivos De Parada'!G:G='Metas DM &amp; DO'!A4)*('Motivos De Parada'!H:H='Metas DM &amp; DO'!B4)),0.9),"-")</f>
        <v>-</v>
      </c>
      <c r="G4" s="16">
        <f>IFERROR(_xlfn.MAXIFS('Motivos De Parada'!K:K,'Motivos De Parada'!G:G,'Metas DM &amp; DO'!A4),"-")</f>
        <v>0</v>
      </c>
      <c r="H4" s="16">
        <f>IFERROR(COUNTIFS('Motivos De Parada'!G:G,'Metas DM &amp; DO'!A4,'Motivos De Parada'!H:H,'Metas DM &amp; DO'!B4),"-")</f>
        <v>0</v>
      </c>
      <c r="I4" s="11" t="str">
        <f t="shared" si="0"/>
        <v>-</v>
      </c>
      <c r="J4" s="16" t="str">
        <f t="shared" si="1"/>
        <v>-</v>
      </c>
      <c r="K4" s="16" t="str">
        <f t="shared" si="2"/>
        <v>-</v>
      </c>
      <c r="L4" s="16" t="str">
        <f t="shared" si="3"/>
        <v>-</v>
      </c>
      <c r="M4" s="16" t="str">
        <f t="shared" si="3"/>
        <v>-</v>
      </c>
      <c r="N4" s="3" t="s">
        <v>20</v>
      </c>
      <c r="O4" s="24" t="str" cm="1">
        <f t="array" ref="O4">IFERROR(MIN(1,MAX(0,1-(SUMIFS('Motivos De Parada'!K:K,'Motivos De Parada'!G:G,'Metas DM &amp; DO'!A4,'Motivos De Parada'!H:H,'Metas DM &amp; DO'!B4,'Motivos De Parada'!O:O,'Metas DM &amp; DO'!N4)*L4/(24*COUNTA(_xlfn.UNIQUE(_xlfn._xlws.FILTER('Motivos De Parada'!E:E,('Motivos De Parada'!G:G='Metas DM &amp; DO'!A4)*('Motivos De Parada'!H:H='Metas DM &amp; DO'!B4)))))))),"-")</f>
        <v>-</v>
      </c>
      <c r="P4" s="24" t="str" cm="1">
        <f t="array" ref="P4">IFERROR(MIN(1,MAX(0,1-(SUMIFS('Motivos De Parada'!K:K,'Motivos De Parada'!G:G,'Metas DM &amp; DO'!A4,'Motivos De Parada'!H:H,'Metas DM &amp; DO'!B4,'Motivos De Parada'!O:O,'Metas DM &amp; DO'!N4)*M4/(24*COUNTA(_xlfn.UNIQUE(_xlfn._xlws.FILTER('Motivos De Parada'!E:E,('Motivos De Parada'!G:G='Metas DM &amp; DO'!A4)*('Motivos De Parada'!H:H='Metas DM &amp; DO'!B4)))))))),"-")</f>
        <v>-</v>
      </c>
      <c r="Q4" s="24" t="str" cm="1">
        <f t="array" ref="Q4">IFERROR(MAX(_xlfn._xlws.FILTER(Disponibilidade!J:J,(Disponibilidade!J:J&lt;1)*(Disponibilidade!G:G='Metas DM &amp; DO'!A4)*(Disponibilidade!H:H='Metas DM &amp; DO'!B4)*(ISNUMBER(Disponibilidade!J:J)))),"-")</f>
        <v>-</v>
      </c>
      <c r="R4" s="3" t="s">
        <v>19</v>
      </c>
      <c r="S4" s="24" t="str" cm="1">
        <f t="array" ref="S4">IFERROR(MIN(1,MAX(0,1-(SUMIFS('Motivos De Parada'!K:K,'Motivos De Parada'!G:G,'Metas DM &amp; DO'!A4,'Motivos De Parada'!H:H,'Metas DM &amp; DO'!B4,'Motivos De Parada'!O:O,'Metas DM &amp; DO'!R4)*L4/(24*COUNTA(_xlfn.UNIQUE(_xlfn._xlws.FILTER('Motivos De Parada'!E:E,('Motivos De Parada'!G:G='Metas DM &amp; DO'!A4)*('Motivos De Parada'!H:H='Metas DM &amp; DO'!B4)))))))),"-")</f>
        <v>-</v>
      </c>
      <c r="T4" s="24" t="str" cm="1">
        <f t="array" ref="T4">IFERROR(MIN(1,MAX(0,1-(SUMIFS('Motivos De Parada'!K:K,'Motivos De Parada'!G:G,'Metas DM &amp; DO'!A4,'Motivos De Parada'!H:H,'Metas DM &amp; DO'!B4,'Motivos De Parada'!O:O,'Metas DM &amp; DO'!R4)*M4/(24*COUNTA(_xlfn.UNIQUE(_xlfn._xlws.FILTER('Motivos De Parada'!E:E,('Motivos De Parada'!G:G='Metas DM &amp; DO'!A4)*('Motivos De Parada'!H:H='Metas DM &amp; DO'!B4)))))))),"-")</f>
        <v>-</v>
      </c>
      <c r="U4" s="24" t="str" cm="1">
        <f t="array" ref="U4">IFERROR(MAX(_xlfn._xlws.FILTER(Disponibilidade!P:P,(Disponibilidade!P:P&lt;1)*(Disponibilidade!G:G='Metas DM &amp; DO'!A4)*(Disponibilidade!H:H='Metas DM &amp; DO'!B4)*(ISNUMBER(Disponibilidade!P:P)))),"-")</f>
        <v>-</v>
      </c>
      <c r="V4" s="3" t="s">
        <v>59</v>
      </c>
      <c r="W4" s="16" t="str" cm="1">
        <f t="array" ref="W4">IFERROR(AVERAGE(_xlfn._xlws.FILTER('Motivos De Parada'!K:K,('Motivos De Parada'!G:G='Metas DM &amp; DO'!A4)*(('Motivos De Parada'!O:O='Metas DM &amp; DO'!N4)+('Motivos De Parada'!O:O='Metas DM &amp; DO'!R4)))),"-")</f>
        <v>-</v>
      </c>
      <c r="X4" s="16" t="str">
        <f t="shared" si="4"/>
        <v>-</v>
      </c>
      <c r="Y4" s="16" t="str">
        <f t="shared" si="5"/>
        <v>-</v>
      </c>
      <c r="Z4" s="16" t="str" cm="1">
        <f t="array" ref="Z4">IFERROR(MAX(_xlfn._xlws.FILTER('Motivos De Parada'!K:K,('Motivos De Parada'!G:G='Metas DM &amp; DO'!A4)*(('Motivos De Parada'!O:O='Metas DM &amp; DO'!N4)+('Motivos De Parada'!O:O='Metas DM &amp; DO'!R4)))),"-")</f>
        <v>-</v>
      </c>
    </row>
    <row r="5" spans="1:26" x14ac:dyDescent="0.3">
      <c r="A5" s="3" t="s">
        <v>127</v>
      </c>
      <c r="B5" s="11" t="str">
        <f>IFERROR(VLOOKUP(A5,Cadastros!B:D,3,FALSE),"-")</f>
        <v>ARRASTE</v>
      </c>
      <c r="C5" s="16">
        <f>IFERROR(AVERAGEIFS('Motivos De Parada'!K:K,'Motivos De Parada'!G:G,'Metas DM &amp; DO'!A5),"-")</f>
        <v>12</v>
      </c>
      <c r="D5" s="16" cm="1">
        <f t="array" ref="D5">IFERROR(_xlfn.PERCENTILE.INC(_xlfn._xlws.FILTER('Motivos De Parada'!K:K,('Motivos De Parada'!G:G='Metas DM &amp; DO'!A5)*('Motivos De Parada'!H:H='Metas DM &amp; DO'!B5)),0.5),"-")</f>
        <v>12</v>
      </c>
      <c r="E5" s="16" cm="1">
        <f t="array" ref="E5">IFERROR(_xlfn.PERCENTILE.INC(_xlfn._xlws.FILTER('Motivos De Parada'!K:K,('Motivos De Parada'!G:G='Metas DM &amp; DO'!A5)*('Motivos De Parada'!H:H='Metas DM &amp; DO'!B5)),0.75),"-")</f>
        <v>12</v>
      </c>
      <c r="F5" s="16" cm="1">
        <f t="array" ref="F5">IFERROR(_xlfn.PERCENTILE.INC(_xlfn._xlws.FILTER('Motivos De Parada'!K:K,('Motivos De Parada'!G:G='Metas DM &amp; DO'!A5)*('Motivos De Parada'!H:H='Metas DM &amp; DO'!B5)),0.9),"-")</f>
        <v>12</v>
      </c>
      <c r="G5" s="16">
        <f>IFERROR(_xlfn.MAXIFS('Motivos De Parada'!K:K,'Motivos De Parada'!G:G,'Metas DM &amp; DO'!A5),"-")</f>
        <v>12</v>
      </c>
      <c r="H5" s="16">
        <f>IFERROR(COUNTIFS('Motivos De Parada'!G:G,'Metas DM &amp; DO'!A5,'Motivos De Parada'!H:H,'Metas DM &amp; DO'!B5),"-")</f>
        <v>4</v>
      </c>
      <c r="I5" s="11" t="str">
        <f t="shared" si="0"/>
        <v>-</v>
      </c>
      <c r="J5" s="16">
        <f t="shared" si="1"/>
        <v>1</v>
      </c>
      <c r="K5" s="16">
        <f t="shared" si="2"/>
        <v>1</v>
      </c>
      <c r="L5" s="16">
        <f t="shared" si="3"/>
        <v>1</v>
      </c>
      <c r="M5" s="16">
        <f t="shared" si="3"/>
        <v>1</v>
      </c>
      <c r="N5" s="3" t="s">
        <v>20</v>
      </c>
      <c r="O5" s="24" cm="1">
        <f t="array" ref="O5">IFERROR(MIN(1,MAX(0,1-(SUMIFS('Motivos De Parada'!K:K,'Motivos De Parada'!G:G,'Metas DM &amp; DO'!A5,'Motivos De Parada'!H:H,'Metas DM &amp; DO'!B5,'Motivos De Parada'!O:O,'Metas DM &amp; DO'!N5)*L5/(24*COUNTA(_xlfn.UNIQUE(_xlfn._xlws.FILTER('Motivos De Parada'!E:E,('Motivos De Parada'!G:G='Metas DM &amp; DO'!A5)*('Motivos De Parada'!H:H='Metas DM &amp; DO'!B5)))))))),"-")</f>
        <v>0.5</v>
      </c>
      <c r="P5" s="24" cm="1">
        <f t="array" ref="P5">IFERROR(MIN(1,MAX(0,1-(SUMIFS('Motivos De Parada'!K:K,'Motivos De Parada'!G:G,'Metas DM &amp; DO'!A5,'Motivos De Parada'!H:H,'Metas DM &amp; DO'!B5,'Motivos De Parada'!O:O,'Metas DM &amp; DO'!N5)*M5/(24*COUNTA(_xlfn.UNIQUE(_xlfn._xlws.FILTER('Motivos De Parada'!E:E,('Motivos De Parada'!G:G='Metas DM &amp; DO'!A5)*('Motivos De Parada'!H:H='Metas DM &amp; DO'!B5)))))))),"-")</f>
        <v>0.5</v>
      </c>
      <c r="Q5" s="24" cm="1">
        <f t="array" ref="Q5">IFERROR(MAX(_xlfn._xlws.FILTER(Disponibilidade!J:J,(Disponibilidade!J:J&lt;1)*(Disponibilidade!G:G='Metas DM &amp; DO'!A5)*(Disponibilidade!H:H='Metas DM &amp; DO'!B5)*(ISNUMBER(Disponibilidade!J:J)))),"-")</f>
        <v>0.5</v>
      </c>
      <c r="R5" s="3" t="s">
        <v>19</v>
      </c>
      <c r="S5" s="24" cm="1">
        <f t="array" ref="S5">IFERROR(MIN(1,MAX(0,1-(SUMIFS('Motivos De Parada'!K:K,'Motivos De Parada'!G:G,'Metas DM &amp; DO'!A5,'Motivos De Parada'!H:H,'Metas DM &amp; DO'!B5,'Motivos De Parada'!O:O,'Metas DM &amp; DO'!R5)*L5/(24*COUNTA(_xlfn.UNIQUE(_xlfn._xlws.FILTER('Motivos De Parada'!E:E,('Motivos De Parada'!G:G='Metas DM &amp; DO'!A5)*('Motivos De Parada'!H:H='Metas DM &amp; DO'!B5)))))))),"-")</f>
        <v>0.5</v>
      </c>
      <c r="T5" s="24" cm="1">
        <f t="array" ref="T5">IFERROR(MIN(1,MAX(0,1-(SUMIFS('Motivos De Parada'!K:K,'Motivos De Parada'!G:G,'Metas DM &amp; DO'!A5,'Motivos De Parada'!H:H,'Metas DM &amp; DO'!B5,'Motivos De Parada'!O:O,'Metas DM &amp; DO'!R5)*M5/(24*COUNTA(_xlfn.UNIQUE(_xlfn._xlws.FILTER('Motivos De Parada'!E:E,('Motivos De Parada'!G:G='Metas DM &amp; DO'!A5)*('Motivos De Parada'!H:H='Metas DM &amp; DO'!B5)))))))),"-")</f>
        <v>0.5</v>
      </c>
      <c r="U5" s="24" cm="1">
        <f t="array" ref="U5">IFERROR(MAX(_xlfn._xlws.FILTER(Disponibilidade!P:P,(Disponibilidade!P:P&lt;1)*(Disponibilidade!G:G='Metas DM &amp; DO'!A5)*(Disponibilidade!H:H='Metas DM &amp; DO'!B5)*(ISNUMBER(Disponibilidade!P:P)))),"-")</f>
        <v>0.5</v>
      </c>
      <c r="V5" s="3" t="s">
        <v>59</v>
      </c>
      <c r="W5" s="16" cm="1">
        <f t="array" ref="W5">IFERROR(AVERAGE(_xlfn._xlws.FILTER('Motivos De Parada'!K:K,('Motivos De Parada'!G:G='Metas DM &amp; DO'!A5)*(('Motivos De Parada'!O:O='Metas DM &amp; DO'!N5)+('Motivos De Parada'!O:O='Metas DM &amp; DO'!R5)))),"-")</f>
        <v>12</v>
      </c>
      <c r="X5" s="16">
        <f t="shared" si="4"/>
        <v>12</v>
      </c>
      <c r="Y5" s="16">
        <f t="shared" si="5"/>
        <v>12</v>
      </c>
      <c r="Z5" s="16" cm="1">
        <f t="array" ref="Z5">IFERROR(MAX(_xlfn._xlws.FILTER('Motivos De Parada'!K:K,('Motivos De Parada'!G:G='Metas DM &amp; DO'!A5)*(('Motivos De Parada'!O:O='Metas DM &amp; DO'!N5)+('Motivos De Parada'!O:O='Metas DM &amp; DO'!R5)))),"-")</f>
        <v>12</v>
      </c>
    </row>
    <row r="6" spans="1:26" x14ac:dyDescent="0.3">
      <c r="A6" s="3" t="s">
        <v>129</v>
      </c>
      <c r="B6" s="11" t="str">
        <f>IFERROR(VLOOKUP(A6,Cadastros!B:D,3,FALSE),"-")</f>
        <v>TRAÇAMENTO</v>
      </c>
      <c r="C6" s="16">
        <f>IFERROR(AVERAGEIFS('Motivos De Parada'!K:K,'Motivos De Parada'!G:G,'Metas DM &amp; DO'!A6),"-")</f>
        <v>2.4</v>
      </c>
      <c r="D6" s="16" cm="1">
        <f t="array" ref="D6">IFERROR(_xlfn.PERCENTILE.INC(_xlfn._xlws.FILTER('Motivos De Parada'!K:K,('Motivos De Parada'!G:G='Metas DM &amp; DO'!A6)*('Motivos De Parada'!H:H='Metas DM &amp; DO'!B6)),0.5),"-")</f>
        <v>2.5000000000000004</v>
      </c>
      <c r="E6" s="16" cm="1">
        <f t="array" ref="E6">IFERROR(_xlfn.PERCENTILE.INC(_xlfn._xlws.FILTER('Motivos De Parada'!K:K,('Motivos De Parada'!G:G='Metas DM &amp; DO'!A6)*('Motivos De Parada'!H:H='Metas DM &amp; DO'!B6)),0.75),"-")</f>
        <v>2.9375</v>
      </c>
      <c r="F6" s="16" cm="1">
        <f t="array" ref="F6">IFERROR(_xlfn.PERCENTILE.INC(_xlfn._xlws.FILTER('Motivos De Parada'!K:K,('Motivos De Parada'!G:G='Metas DM &amp; DO'!A6)*('Motivos De Parada'!H:H='Metas DM &amp; DO'!B6)),0.9),"-")</f>
        <v>3.5499999999999994</v>
      </c>
      <c r="G6" s="16">
        <f>IFERROR(_xlfn.MAXIFS('Motivos De Parada'!K:K,'Motivos De Parada'!G:G,'Metas DM &amp; DO'!A6),"-")</f>
        <v>3.9999999999999991</v>
      </c>
      <c r="H6" s="16">
        <f>IFERROR(COUNTIFS('Motivos De Parada'!G:G,'Metas DM &amp; DO'!A6,'Motivos De Parada'!H:H,'Metas DM &amp; DO'!B6),"-")</f>
        <v>10</v>
      </c>
      <c r="I6" s="11" t="str">
        <f t="shared" si="0"/>
        <v>BAIXO</v>
      </c>
      <c r="J6" s="16">
        <f t="shared" si="1"/>
        <v>1.1328125000000002</v>
      </c>
      <c r="K6" s="16">
        <f t="shared" si="2"/>
        <v>1.2482638888888891</v>
      </c>
      <c r="L6" s="16">
        <f t="shared" si="3"/>
        <v>0.88275862068965505</v>
      </c>
      <c r="M6" s="16">
        <f t="shared" si="3"/>
        <v>0.80111265646731555</v>
      </c>
      <c r="N6" s="3" t="s">
        <v>20</v>
      </c>
      <c r="O6" s="24" cm="1">
        <f t="array" ref="O6">IFERROR(MIN(1,MAX(0,1-(SUMIFS('Motivos De Parada'!K:K,'Motivos De Parada'!G:G,'Metas DM &amp; DO'!A6,'Motivos De Parada'!H:H,'Metas DM &amp; DO'!B6,'Motivos De Parada'!O:O,'Metas DM &amp; DO'!N6)*L6/(24*COUNTA(_xlfn.UNIQUE(_xlfn._xlws.FILTER('Motivos De Parada'!E:E,('Motivos De Parada'!G:G='Metas DM &amp; DO'!A6)*('Motivos De Parada'!H:H='Metas DM &amp; DO'!B6)))))))),"-")</f>
        <v>0.91724137931034488</v>
      </c>
      <c r="P6" s="24" cm="1">
        <f t="array" ref="P6">IFERROR(MIN(1,MAX(0,1-(SUMIFS('Motivos De Parada'!K:K,'Motivos De Parada'!G:G,'Metas DM &amp; DO'!A6,'Motivos De Parada'!H:H,'Metas DM &amp; DO'!B6,'Motivos De Parada'!O:O,'Metas DM &amp; DO'!N6)*M6/(24*COUNTA(_xlfn.UNIQUE(_xlfn._xlws.FILTER('Motivos De Parada'!E:E,('Motivos De Parada'!G:G='Metas DM &amp; DO'!A6)*('Motivos De Parada'!H:H='Metas DM &amp; DO'!B6)))))))),"-")</f>
        <v>0.92489568845618919</v>
      </c>
      <c r="Q6" s="24" cm="1">
        <f t="array" ref="Q6">IFERROR(MAX(_xlfn._xlws.FILTER(Disponibilidade!J:J,(Disponibilidade!J:J&lt;1)*(Disponibilidade!G:G='Metas DM &amp; DO'!A6)*(Disponibilidade!H:H='Metas DM &amp; DO'!B6)*(ISNUMBER(Disponibilidade!J:J)))),"-")</f>
        <v>0.90625</v>
      </c>
      <c r="R6" s="3" t="s">
        <v>19</v>
      </c>
      <c r="S6" s="24" cm="1">
        <f t="array" ref="S6">IFERROR(MIN(1,MAX(0,1-(SUMIFS('Motivos De Parada'!K:K,'Motivos De Parada'!G:G,'Metas DM &amp; DO'!A6,'Motivos De Parada'!H:H,'Metas DM &amp; DO'!B6,'Motivos De Parada'!O:O,'Metas DM &amp; DO'!R6)*L6/(24*COUNTA(_xlfn.UNIQUE(_xlfn._xlws.FILTER('Motivos De Parada'!E:E,('Motivos De Parada'!G:G='Metas DM &amp; DO'!A6)*('Motivos De Parada'!H:H='Metas DM &amp; DO'!B6)))))))),"-")</f>
        <v>0.43601532567049806</v>
      </c>
      <c r="T6" s="24" cm="1">
        <f t="array" ref="T6">IFERROR(MIN(1,MAX(0,1-(SUMIFS('Motivos De Parada'!K:K,'Motivos De Parada'!G:G,'Metas DM &amp; DO'!A6,'Motivos De Parada'!H:H,'Metas DM &amp; DO'!B6,'Motivos De Parada'!O:O,'Metas DM &amp; DO'!R6)*M6/(24*COUNTA(_xlfn.UNIQUE(_xlfn._xlws.FILTER('Motivos De Parada'!E:E,('Motivos De Parada'!G:G='Metas DM &amp; DO'!A6)*('Motivos De Parada'!H:H='Metas DM &amp; DO'!B6)))))))),"-")</f>
        <v>0.48817802503477059</v>
      </c>
      <c r="U6" s="24" cm="1">
        <f t="array" ref="U6">IFERROR(MAX(_xlfn._xlws.FILTER(Disponibilidade!P:P,(Disponibilidade!P:P&lt;1)*(Disponibilidade!G:G='Metas DM &amp; DO'!A6)*(Disponibilidade!H:H='Metas DM &amp; DO'!B6)*(ISNUMBER(Disponibilidade!P:P)))),"-")</f>
        <v>0.71875</v>
      </c>
      <c r="V6" s="3" t="s">
        <v>59</v>
      </c>
      <c r="W6" s="16" cm="1">
        <f t="array" ref="W6">IFERROR(AVERAGE(_xlfn._xlws.FILTER('Motivos De Parada'!K:K,('Motivos De Parada'!G:G='Metas DM &amp; DO'!A6)*(('Motivos De Parada'!O:O='Metas DM &amp; DO'!N6)+('Motivos De Parada'!O:O='Metas DM &amp; DO'!R6)))),"-")</f>
        <v>2.5119047619047623</v>
      </c>
      <c r="X6" s="16">
        <f t="shared" si="4"/>
        <v>2.2174055829228245</v>
      </c>
      <c r="Y6" s="16">
        <f t="shared" si="5"/>
        <v>2.0123186966024238</v>
      </c>
      <c r="Z6" s="16" cm="1">
        <f t="array" ref="Z6">IFERROR(MAX(_xlfn._xlws.FILTER('Motivos De Parada'!K:K,('Motivos De Parada'!G:G='Metas DM &amp; DO'!A6)*(('Motivos De Parada'!O:O='Metas DM &amp; DO'!N6)+('Motivos De Parada'!O:O='Metas DM &amp; DO'!R6)))),"-")</f>
        <v>3.9999999999999991</v>
      </c>
    </row>
    <row r="7" spans="1:26" x14ac:dyDescent="0.3">
      <c r="A7" s="3" t="s">
        <v>131</v>
      </c>
      <c r="B7" s="11" t="str">
        <f>IFERROR(VLOOKUP(A7,Cadastros!B:D,3,FALSE),"-")</f>
        <v>TRAÇAMENTO</v>
      </c>
      <c r="C7" s="16" t="str">
        <f>IFERROR(AVERAGEIFS('Motivos De Parada'!K:K,'Motivos De Parada'!G:G,'Metas DM &amp; DO'!A7),"-")</f>
        <v>-</v>
      </c>
      <c r="D7" s="16" t="str" cm="1">
        <f t="array" ref="D7">IFERROR(_xlfn.PERCENTILE.INC(_xlfn._xlws.FILTER('Motivos De Parada'!K:K,('Motivos De Parada'!G:G='Metas DM &amp; DO'!A7)*('Motivos De Parada'!H:H='Metas DM &amp; DO'!B7)),0.5),"-")</f>
        <v>-</v>
      </c>
      <c r="E7" s="16" t="str" cm="1">
        <f t="array" ref="E7">IFERROR(_xlfn.PERCENTILE.INC(_xlfn._xlws.FILTER('Motivos De Parada'!K:K,('Motivos De Parada'!G:G='Metas DM &amp; DO'!A7)*('Motivos De Parada'!H:H='Metas DM &amp; DO'!B7)),0.75),"-")</f>
        <v>-</v>
      </c>
      <c r="F7" s="16" t="str" cm="1">
        <f t="array" ref="F7">IFERROR(_xlfn.PERCENTILE.INC(_xlfn._xlws.FILTER('Motivos De Parada'!K:K,('Motivos De Parada'!G:G='Metas DM &amp; DO'!A7)*('Motivos De Parada'!H:H='Metas DM &amp; DO'!B7)),0.9),"-")</f>
        <v>-</v>
      </c>
      <c r="G7" s="16">
        <f>IFERROR(_xlfn.MAXIFS('Motivos De Parada'!K:K,'Motivos De Parada'!G:G,'Metas DM &amp; DO'!A7),"-")</f>
        <v>0</v>
      </c>
      <c r="H7" s="16">
        <f>IFERROR(COUNTIFS('Motivos De Parada'!G:G,'Metas DM &amp; DO'!A7,'Motivos De Parada'!H:H,'Metas DM &amp; DO'!B7),"-")</f>
        <v>0</v>
      </c>
      <c r="I7" s="11" t="str">
        <f t="shared" si="0"/>
        <v>-</v>
      </c>
      <c r="J7" s="16" t="str">
        <f t="shared" si="1"/>
        <v>-</v>
      </c>
      <c r="K7" s="16" t="str">
        <f t="shared" si="2"/>
        <v>-</v>
      </c>
      <c r="L7" s="16" t="str">
        <f t="shared" si="3"/>
        <v>-</v>
      </c>
      <c r="M7" s="16" t="str">
        <f t="shared" si="3"/>
        <v>-</v>
      </c>
      <c r="N7" s="3" t="s">
        <v>20</v>
      </c>
      <c r="O7" s="24" t="str" cm="1">
        <f t="array" ref="O7">IFERROR(MIN(1,MAX(0,1-(SUMIFS('Motivos De Parada'!K:K,'Motivos De Parada'!G:G,'Metas DM &amp; DO'!A7,'Motivos De Parada'!H:H,'Metas DM &amp; DO'!B7,'Motivos De Parada'!O:O,'Metas DM &amp; DO'!N7)*L7/(24*COUNTA(_xlfn.UNIQUE(_xlfn._xlws.FILTER('Motivos De Parada'!E:E,('Motivos De Parada'!G:G='Metas DM &amp; DO'!A7)*('Motivos De Parada'!H:H='Metas DM &amp; DO'!B7)))))))),"-")</f>
        <v>-</v>
      </c>
      <c r="P7" s="24" t="str" cm="1">
        <f t="array" ref="P7">IFERROR(MIN(1,MAX(0,1-(SUMIFS('Motivos De Parada'!K:K,'Motivos De Parada'!G:G,'Metas DM &amp; DO'!A7,'Motivos De Parada'!H:H,'Metas DM &amp; DO'!B7,'Motivos De Parada'!O:O,'Metas DM &amp; DO'!N7)*M7/(24*COUNTA(_xlfn.UNIQUE(_xlfn._xlws.FILTER('Motivos De Parada'!E:E,('Motivos De Parada'!G:G='Metas DM &amp; DO'!A7)*('Motivos De Parada'!H:H='Metas DM &amp; DO'!B7)))))))),"-")</f>
        <v>-</v>
      </c>
      <c r="Q7" s="24" t="str" cm="1">
        <f t="array" ref="Q7">IFERROR(MAX(_xlfn._xlws.FILTER(Disponibilidade!J:J,(Disponibilidade!J:J&lt;1)*(Disponibilidade!G:G='Metas DM &amp; DO'!A7)*(Disponibilidade!H:H='Metas DM &amp; DO'!B7)*(ISNUMBER(Disponibilidade!J:J)))),"-")</f>
        <v>-</v>
      </c>
      <c r="R7" s="3" t="s">
        <v>19</v>
      </c>
      <c r="S7" s="24" t="str" cm="1">
        <f t="array" ref="S7">IFERROR(MIN(1,MAX(0,1-(SUMIFS('Motivos De Parada'!K:K,'Motivos De Parada'!G:G,'Metas DM &amp; DO'!A7,'Motivos De Parada'!H:H,'Metas DM &amp; DO'!B7,'Motivos De Parada'!O:O,'Metas DM &amp; DO'!R7)*L7/(24*COUNTA(_xlfn.UNIQUE(_xlfn._xlws.FILTER('Motivos De Parada'!E:E,('Motivos De Parada'!G:G='Metas DM &amp; DO'!A7)*('Motivos De Parada'!H:H='Metas DM &amp; DO'!B7)))))))),"-")</f>
        <v>-</v>
      </c>
      <c r="T7" s="24" t="str" cm="1">
        <f t="array" ref="T7">IFERROR(MIN(1,MAX(0,1-(SUMIFS('Motivos De Parada'!K:K,'Motivos De Parada'!G:G,'Metas DM &amp; DO'!A7,'Motivos De Parada'!H:H,'Metas DM &amp; DO'!B7,'Motivos De Parada'!O:O,'Metas DM &amp; DO'!R7)*M7/(24*COUNTA(_xlfn.UNIQUE(_xlfn._xlws.FILTER('Motivos De Parada'!E:E,('Motivos De Parada'!G:G='Metas DM &amp; DO'!A7)*('Motivos De Parada'!H:H='Metas DM &amp; DO'!B7)))))))),"-")</f>
        <v>-</v>
      </c>
      <c r="U7" s="24" t="str" cm="1">
        <f t="array" ref="U7">IFERROR(MAX(_xlfn._xlws.FILTER(Disponibilidade!P:P,(Disponibilidade!P:P&lt;1)*(Disponibilidade!G:G='Metas DM &amp; DO'!A7)*(Disponibilidade!H:H='Metas DM &amp; DO'!B7)*(ISNUMBER(Disponibilidade!P:P)))),"-")</f>
        <v>-</v>
      </c>
      <c r="V7" s="3" t="s">
        <v>59</v>
      </c>
      <c r="W7" s="16" t="str" cm="1">
        <f t="array" ref="W7">IFERROR(AVERAGE(_xlfn._xlws.FILTER('Motivos De Parada'!K:K,('Motivos De Parada'!G:G='Metas DM &amp; DO'!A7)*(('Motivos De Parada'!O:O='Metas DM &amp; DO'!N7)+('Motivos De Parada'!O:O='Metas DM &amp; DO'!R7)))),"-")</f>
        <v>-</v>
      </c>
      <c r="X7" s="16" t="str">
        <f t="shared" si="4"/>
        <v>-</v>
      </c>
      <c r="Y7" s="16" t="str">
        <f t="shared" si="5"/>
        <v>-</v>
      </c>
      <c r="Z7" s="16" t="str" cm="1">
        <f t="array" ref="Z7">IFERROR(MAX(_xlfn._xlws.FILTER('Motivos De Parada'!K:K,('Motivos De Parada'!G:G='Metas DM &amp; DO'!A7)*(('Motivos De Parada'!O:O='Metas DM &amp; DO'!N7)+('Motivos De Parada'!O:O='Metas DM &amp; DO'!R7)))),"-")</f>
        <v>-</v>
      </c>
    </row>
    <row r="9" spans="1:26" x14ac:dyDescent="0.3">
      <c r="N9" s="25"/>
    </row>
  </sheetData>
  <conditionalFormatting sqref="A1">
    <cfRule type="duplicateValues" dxfId="4" priority="4"/>
  </conditionalFormatting>
  <conditionalFormatting sqref="I1:I1048576">
    <cfRule type="cellIs" dxfId="3" priority="1" operator="equal">
      <formula>"ALTO"</formula>
    </cfRule>
    <cfRule type="cellIs" dxfId="2" priority="2" operator="equal">
      <formula>"MEDIO"</formula>
    </cfRule>
    <cfRule type="cellIs" dxfId="1" priority="3" operator="equal">
      <formula>"BAIXO"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FD39-D470-4AAF-BCEE-725E120F7E71}">
  <dimension ref="A1:H21"/>
  <sheetViews>
    <sheetView zoomScale="70" zoomScaleNormal="70" workbookViewId="0">
      <pane ySplit="1" topLeftCell="A2" activePane="bottomLeft" state="frozen"/>
      <selection pane="bottomLeft" activeCell="C35" sqref="C35"/>
    </sheetView>
  </sheetViews>
  <sheetFormatPr defaultColWidth="8.44140625" defaultRowHeight="14.4" x14ac:dyDescent="0.3"/>
  <cols>
    <col min="1" max="1" width="9.44140625" style="8" bestFit="1" customWidth="1"/>
    <col min="2" max="2" width="77.88671875" style="8" bestFit="1" customWidth="1"/>
    <col min="3" max="3" width="38.5546875" style="8" bestFit="1" customWidth="1"/>
    <col min="4" max="4" width="30.33203125" style="8" bestFit="1" customWidth="1"/>
    <col min="5" max="5" width="21.44140625" style="8" bestFit="1" customWidth="1"/>
    <col min="7" max="7" width="16.44140625" bestFit="1" customWidth="1"/>
    <col min="8" max="8" width="43.44140625" bestFit="1" customWidth="1"/>
  </cols>
  <sheetData>
    <row r="1" spans="1:8" s="1" customFormat="1" ht="36" customHeight="1" x14ac:dyDescent="0.3">
      <c r="A1" s="1" t="s">
        <v>21</v>
      </c>
      <c r="B1" s="1" t="s">
        <v>8</v>
      </c>
      <c r="C1" s="1" t="s">
        <v>9</v>
      </c>
      <c r="D1" s="1" t="s">
        <v>10</v>
      </c>
      <c r="E1" s="1" t="s">
        <v>11</v>
      </c>
      <c r="F1" s="7"/>
      <c r="G1" s="1" t="s">
        <v>12</v>
      </c>
      <c r="H1" s="1" t="s">
        <v>8</v>
      </c>
    </row>
    <row r="2" spans="1:8" x14ac:dyDescent="0.3">
      <c r="A2" s="3">
        <v>1</v>
      </c>
      <c r="B2" s="3" t="s">
        <v>13</v>
      </c>
      <c r="C2" s="3" t="s">
        <v>14</v>
      </c>
      <c r="D2" s="9" t="s">
        <v>13</v>
      </c>
      <c r="E2" s="3" t="s">
        <v>15</v>
      </c>
      <c r="F2" s="6"/>
      <c r="G2" s="3">
        <v>1</v>
      </c>
      <c r="H2" s="3" t="s">
        <v>16</v>
      </c>
    </row>
    <row r="3" spans="1:8" x14ac:dyDescent="0.3">
      <c r="A3" s="3">
        <v>2</v>
      </c>
      <c r="B3" s="3" t="s">
        <v>82</v>
      </c>
      <c r="C3" s="3" t="s">
        <v>101</v>
      </c>
      <c r="D3" s="9" t="s">
        <v>13</v>
      </c>
      <c r="E3" s="3" t="s">
        <v>17</v>
      </c>
      <c r="F3" s="6"/>
      <c r="G3" s="3">
        <v>2</v>
      </c>
      <c r="H3" s="3" t="s">
        <v>82</v>
      </c>
    </row>
    <row r="4" spans="1:8" x14ac:dyDescent="0.3">
      <c r="A4" s="3">
        <v>3</v>
      </c>
      <c r="B4" s="3" t="s">
        <v>83</v>
      </c>
      <c r="C4" s="3" t="s">
        <v>102</v>
      </c>
      <c r="D4" s="9" t="s">
        <v>18</v>
      </c>
      <c r="E4" s="3" t="s">
        <v>17</v>
      </c>
      <c r="F4" s="6"/>
      <c r="G4" s="3">
        <v>3</v>
      </c>
      <c r="H4" s="3" t="s">
        <v>83</v>
      </c>
    </row>
    <row r="5" spans="1:8" x14ac:dyDescent="0.3">
      <c r="A5" s="3">
        <v>4</v>
      </c>
      <c r="B5" s="3" t="s">
        <v>84</v>
      </c>
      <c r="C5" s="3" t="s">
        <v>103</v>
      </c>
      <c r="D5" s="3" t="s">
        <v>19</v>
      </c>
      <c r="E5" s="3" t="s">
        <v>15</v>
      </c>
      <c r="F5" s="6"/>
      <c r="G5" s="3">
        <v>4</v>
      </c>
      <c r="H5" s="3" t="s">
        <v>84</v>
      </c>
    </row>
    <row r="6" spans="1:8" x14ac:dyDescent="0.3">
      <c r="A6" s="3">
        <v>5</v>
      </c>
      <c r="B6" s="3" t="s">
        <v>85</v>
      </c>
      <c r="C6" s="3" t="s">
        <v>104</v>
      </c>
      <c r="D6" s="3" t="s">
        <v>19</v>
      </c>
      <c r="E6" s="3" t="s">
        <v>15</v>
      </c>
      <c r="F6" s="6"/>
      <c r="G6" s="3">
        <v>5</v>
      </c>
      <c r="H6" s="3" t="s">
        <v>85</v>
      </c>
    </row>
    <row r="7" spans="1:8" x14ac:dyDescent="0.3">
      <c r="A7" s="3">
        <v>6</v>
      </c>
      <c r="B7" s="3" t="s">
        <v>86</v>
      </c>
      <c r="C7" s="3" t="s">
        <v>105</v>
      </c>
      <c r="D7" s="3" t="s">
        <v>19</v>
      </c>
      <c r="E7" s="3" t="s">
        <v>15</v>
      </c>
      <c r="F7" s="6"/>
      <c r="G7" s="3">
        <v>6</v>
      </c>
      <c r="H7" s="3" t="s">
        <v>86</v>
      </c>
    </row>
    <row r="8" spans="1:8" x14ac:dyDescent="0.3">
      <c r="A8" s="3">
        <v>7</v>
      </c>
      <c r="B8" s="3" t="s">
        <v>87</v>
      </c>
      <c r="C8" s="3" t="s">
        <v>106</v>
      </c>
      <c r="D8" s="3" t="s">
        <v>19</v>
      </c>
      <c r="E8" s="3" t="s">
        <v>15</v>
      </c>
      <c r="F8" s="6"/>
      <c r="G8" s="3">
        <v>7</v>
      </c>
      <c r="H8" s="3" t="s">
        <v>87</v>
      </c>
    </row>
    <row r="9" spans="1:8" x14ac:dyDescent="0.3">
      <c r="A9" s="3">
        <v>8</v>
      </c>
      <c r="B9" s="3" t="s">
        <v>88</v>
      </c>
      <c r="C9" s="3" t="s">
        <v>107</v>
      </c>
      <c r="D9" s="3" t="s">
        <v>19</v>
      </c>
      <c r="E9" s="3" t="s">
        <v>15</v>
      </c>
      <c r="F9" s="6"/>
      <c r="G9" s="3">
        <v>8</v>
      </c>
      <c r="H9" s="3" t="s">
        <v>88</v>
      </c>
    </row>
    <row r="10" spans="1:8" x14ac:dyDescent="0.3">
      <c r="A10" s="3">
        <v>9</v>
      </c>
      <c r="B10" s="3" t="s">
        <v>89</v>
      </c>
      <c r="C10" s="3" t="s">
        <v>108</v>
      </c>
      <c r="D10" s="3" t="s">
        <v>19</v>
      </c>
      <c r="E10" s="3" t="s">
        <v>15</v>
      </c>
      <c r="F10" s="6"/>
      <c r="G10" s="3">
        <v>9</v>
      </c>
      <c r="H10" s="3" t="s">
        <v>89</v>
      </c>
    </row>
    <row r="11" spans="1:8" x14ac:dyDescent="0.3">
      <c r="A11" s="3">
        <v>10</v>
      </c>
      <c r="B11" s="3" t="s">
        <v>90</v>
      </c>
      <c r="C11" s="3" t="s">
        <v>109</v>
      </c>
      <c r="D11" s="3" t="s">
        <v>19</v>
      </c>
      <c r="E11" s="3" t="s">
        <v>15</v>
      </c>
      <c r="F11" s="6"/>
      <c r="G11" s="3">
        <v>10</v>
      </c>
      <c r="H11" s="3" t="s">
        <v>90</v>
      </c>
    </row>
    <row r="12" spans="1:8" x14ac:dyDescent="0.3">
      <c r="A12" s="3">
        <v>11</v>
      </c>
      <c r="B12" s="3" t="s">
        <v>91</v>
      </c>
      <c r="C12" s="3" t="s">
        <v>110</v>
      </c>
      <c r="D12" s="3" t="s">
        <v>19</v>
      </c>
      <c r="E12" s="3" t="s">
        <v>15</v>
      </c>
      <c r="F12" s="6"/>
      <c r="G12" s="3">
        <v>11</v>
      </c>
      <c r="H12" s="3" t="s">
        <v>91</v>
      </c>
    </row>
    <row r="13" spans="1:8" x14ac:dyDescent="0.3">
      <c r="A13" s="3">
        <v>12</v>
      </c>
      <c r="B13" s="3" t="s">
        <v>92</v>
      </c>
      <c r="C13" s="3" t="s">
        <v>111</v>
      </c>
      <c r="D13" s="3" t="s">
        <v>19</v>
      </c>
      <c r="E13" s="3" t="s">
        <v>15</v>
      </c>
      <c r="F13" s="6"/>
      <c r="G13" s="3">
        <v>12</v>
      </c>
      <c r="H13" s="3" t="s">
        <v>92</v>
      </c>
    </row>
    <row r="14" spans="1:8" x14ac:dyDescent="0.3">
      <c r="A14" s="3">
        <v>13</v>
      </c>
      <c r="B14" s="3" t="s">
        <v>93</v>
      </c>
      <c r="C14" s="3" t="s">
        <v>112</v>
      </c>
      <c r="D14" s="3" t="s">
        <v>20</v>
      </c>
      <c r="E14" s="3" t="s">
        <v>15</v>
      </c>
      <c r="F14" s="6"/>
      <c r="G14" s="6"/>
      <c r="H14" s="6"/>
    </row>
    <row r="15" spans="1:8" x14ac:dyDescent="0.3">
      <c r="A15" s="3">
        <v>14</v>
      </c>
      <c r="B15" s="3" t="s">
        <v>94</v>
      </c>
      <c r="C15" s="3" t="s">
        <v>113</v>
      </c>
      <c r="D15" s="3" t="s">
        <v>20</v>
      </c>
      <c r="E15" s="3" t="s">
        <v>15</v>
      </c>
      <c r="F15" s="6"/>
      <c r="G15" s="6"/>
      <c r="H15" s="6"/>
    </row>
    <row r="16" spans="1:8" x14ac:dyDescent="0.3">
      <c r="A16" s="3">
        <v>15</v>
      </c>
      <c r="B16" s="3" t="s">
        <v>95</v>
      </c>
      <c r="C16" s="3" t="s">
        <v>114</v>
      </c>
      <c r="D16" s="3" t="s">
        <v>20</v>
      </c>
      <c r="E16" s="3" t="s">
        <v>15</v>
      </c>
      <c r="F16" s="6"/>
      <c r="G16" s="6"/>
      <c r="H16" s="6"/>
    </row>
    <row r="17" spans="1:8" x14ac:dyDescent="0.3">
      <c r="A17" s="3">
        <v>16</v>
      </c>
      <c r="B17" s="3" t="s">
        <v>96</v>
      </c>
      <c r="C17" s="3" t="s">
        <v>115</v>
      </c>
      <c r="D17" s="3" t="s">
        <v>20</v>
      </c>
      <c r="E17" s="3" t="s">
        <v>15</v>
      </c>
      <c r="F17" s="6"/>
      <c r="G17" s="6"/>
      <c r="H17" s="6"/>
    </row>
    <row r="18" spans="1:8" x14ac:dyDescent="0.3">
      <c r="A18" s="3">
        <v>17</v>
      </c>
      <c r="B18" s="3" t="s">
        <v>97</v>
      </c>
      <c r="C18" s="3" t="s">
        <v>116</v>
      </c>
      <c r="D18" s="3" t="s">
        <v>20</v>
      </c>
      <c r="E18" s="3" t="s">
        <v>15</v>
      </c>
      <c r="F18" s="6"/>
      <c r="G18" s="6"/>
      <c r="H18" s="6"/>
    </row>
    <row r="19" spans="1:8" x14ac:dyDescent="0.3">
      <c r="A19" s="3">
        <v>18</v>
      </c>
      <c r="B19" s="3" t="s">
        <v>98</v>
      </c>
      <c r="C19" s="3" t="s">
        <v>117</v>
      </c>
      <c r="D19" s="3" t="s">
        <v>20</v>
      </c>
      <c r="E19" s="3" t="s">
        <v>15</v>
      </c>
      <c r="F19" s="6"/>
      <c r="G19" s="6"/>
      <c r="H19" s="6"/>
    </row>
    <row r="20" spans="1:8" x14ac:dyDescent="0.3">
      <c r="A20" s="3">
        <v>19</v>
      </c>
      <c r="B20" s="3" t="s">
        <v>99</v>
      </c>
      <c r="C20" s="3" t="s">
        <v>118</v>
      </c>
      <c r="D20" s="3" t="s">
        <v>20</v>
      </c>
      <c r="E20" s="3" t="s">
        <v>15</v>
      </c>
      <c r="F20" s="6"/>
      <c r="G20" s="6"/>
      <c r="H20" s="6"/>
    </row>
    <row r="21" spans="1:8" x14ac:dyDescent="0.3">
      <c r="A21" s="3">
        <v>20</v>
      </c>
      <c r="B21" s="3" t="s">
        <v>100</v>
      </c>
      <c r="C21" s="3" t="s">
        <v>119</v>
      </c>
      <c r="D21" s="3" t="s">
        <v>20</v>
      </c>
      <c r="E21" s="3" t="s">
        <v>15</v>
      </c>
      <c r="F21" s="6"/>
      <c r="G21" s="6"/>
      <c r="H21" s="6"/>
    </row>
  </sheetData>
  <phoneticPr fontId="4" type="noConversion"/>
  <conditionalFormatting sqref="A1:A1048576">
    <cfRule type="duplicateValues" dxfId="0" priority="2"/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9055F-DFF3-43DE-9983-4CE235A4C99E}">
  <sheetPr>
    <tabColor rgb="FFFF0000"/>
  </sheetPr>
  <dimension ref="A1:D8"/>
  <sheetViews>
    <sheetView workbookViewId="0">
      <pane ySplit="1" topLeftCell="A2" activePane="bottomLeft" state="frozen"/>
      <selection pane="bottomLeft" activeCell="A2" sqref="A2:A7"/>
    </sheetView>
  </sheetViews>
  <sheetFormatPr defaultColWidth="9.109375" defaultRowHeight="14.4" x14ac:dyDescent="0.3"/>
  <cols>
    <col min="1" max="1" width="14.88671875" style="2" customWidth="1"/>
    <col min="2" max="2" width="20.6640625" style="2" customWidth="1"/>
    <col min="3" max="3" width="14.88671875" style="2" customWidth="1"/>
    <col min="4" max="4" width="22.6640625" style="2" bestFit="1" customWidth="1"/>
    <col min="5" max="16384" width="9.109375" style="3"/>
  </cols>
  <sheetData>
    <row r="1" spans="1:4" s="1" customFormat="1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120</v>
      </c>
      <c r="B2" s="2" t="s">
        <v>121</v>
      </c>
      <c r="C2" s="2" t="s">
        <v>4</v>
      </c>
      <c r="D2" s="2" t="s">
        <v>5</v>
      </c>
    </row>
    <row r="3" spans="1:4" ht="15" thickBot="1" x14ac:dyDescent="0.35">
      <c r="A3" s="4" t="s">
        <v>122</v>
      </c>
      <c r="B3" s="4" t="s">
        <v>123</v>
      </c>
      <c r="C3" s="4" t="s">
        <v>4</v>
      </c>
      <c r="D3" s="4" t="s">
        <v>5</v>
      </c>
    </row>
    <row r="4" spans="1:4" ht="15" thickTop="1" x14ac:dyDescent="0.3">
      <c r="A4" s="5" t="s">
        <v>124</v>
      </c>
      <c r="B4" s="5" t="s">
        <v>125</v>
      </c>
      <c r="C4" s="5" t="s">
        <v>4</v>
      </c>
      <c r="D4" s="5" t="s">
        <v>6</v>
      </c>
    </row>
    <row r="5" spans="1:4" ht="15" thickBot="1" x14ac:dyDescent="0.35">
      <c r="A5" s="4" t="s">
        <v>126</v>
      </c>
      <c r="B5" s="4" t="s">
        <v>127</v>
      </c>
      <c r="C5" s="4" t="s">
        <v>4</v>
      </c>
      <c r="D5" s="4" t="s">
        <v>6</v>
      </c>
    </row>
    <row r="6" spans="1:4" ht="15" thickTop="1" x14ac:dyDescent="0.3">
      <c r="A6" s="5" t="s">
        <v>128</v>
      </c>
      <c r="B6" s="5" t="s">
        <v>129</v>
      </c>
      <c r="C6" s="5" t="s">
        <v>4</v>
      </c>
      <c r="D6" s="5" t="s">
        <v>7</v>
      </c>
    </row>
    <row r="7" spans="1:4" ht="15" thickBot="1" x14ac:dyDescent="0.35">
      <c r="A7" s="4" t="s">
        <v>130</v>
      </c>
      <c r="B7" s="4" t="s">
        <v>131</v>
      </c>
      <c r="C7" s="4" t="s">
        <v>4</v>
      </c>
      <c r="D7" s="4" t="s">
        <v>7</v>
      </c>
    </row>
    <row r="8" spans="1:4" ht="15" thickTop="1" x14ac:dyDescent="0.3">
      <c r="A8" s="5"/>
      <c r="B8" s="5"/>
      <c r="C8" s="5"/>
      <c r="D8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Motivos De Parada</vt:lpstr>
      <vt:lpstr>Disponibilidade</vt:lpstr>
      <vt:lpstr>Controle Mensal</vt:lpstr>
      <vt:lpstr>Metas DM &amp; DO</vt:lpstr>
      <vt:lpstr>Justificativas</vt:lpstr>
      <vt:lpstr>Cadastros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Henrique</dc:creator>
  <cp:lastModifiedBy>Aprendiz Lavras1</cp:lastModifiedBy>
  <dcterms:created xsi:type="dcterms:W3CDTF">2015-06-05T18:17:20Z</dcterms:created>
  <dcterms:modified xsi:type="dcterms:W3CDTF">2026-02-03T14:27:14Z</dcterms:modified>
</cp:coreProperties>
</file>