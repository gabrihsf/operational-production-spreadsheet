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rtfolio\Programação - Portfólio\Projetos ABR\Planilhas (ABR Indicadores) - LinkedIN\"/>
    </mc:Choice>
  </mc:AlternateContent>
  <xr:revisionPtr revIDLastSave="0" documentId="13_ncr:1_{E4A504E1-79EF-4C5C-8733-18BA521985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esel" sheetId="2" r:id="rId1"/>
    <sheet name="Graxa" sheetId="3" r:id="rId2"/>
    <sheet name="15W40" sheetId="5" r:id="rId3"/>
    <sheet name="Hidráulico 68" sheetId="6" r:id="rId4"/>
    <sheet name="Metas Diesel" sheetId="9" r:id="rId5"/>
    <sheet name="Metas Lubrificantes" sheetId="10" r:id="rId6"/>
    <sheet name="Cadastros" sheetId="11" r:id="rId7"/>
  </sheets>
  <definedNames>
    <definedName name="_xlnm._FilterDatabase" localSheetId="2" hidden="1">'15W40'!$A$1:$AA$25</definedName>
    <definedName name="_xlnm._FilterDatabase" localSheetId="6" hidden="1">Cadastros!$A$1:$D$1</definedName>
    <definedName name="_xlnm._FilterDatabase" localSheetId="0" hidden="1">Diesel!$A$1:$AB$18</definedName>
    <definedName name="_xlnm._FilterDatabase" localSheetId="1" hidden="1">Graxa!$A$1:$AA$18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6" l="1" a="1"/>
  <c r="G18" i="6" s="1"/>
  <c r="G17" i="6"/>
  <c r="G17" i="6" a="1"/>
  <c r="G16" i="6"/>
  <c r="G16" i="6" a="1"/>
  <c r="G15" i="6" a="1"/>
  <c r="G15" i="6" s="1"/>
  <c r="G14" i="6" a="1"/>
  <c r="G14" i="6" s="1"/>
  <c r="G12" i="6"/>
  <c r="G12" i="6" a="1"/>
  <c r="G11" i="6"/>
  <c r="G11" i="6" a="1"/>
  <c r="G10" i="6" a="1"/>
  <c r="G10" i="6" s="1"/>
  <c r="G9" i="6" a="1"/>
  <c r="G9" i="6" s="1"/>
  <c r="G8" i="6" a="1"/>
  <c r="G8" i="6" s="1"/>
  <c r="G6" i="6"/>
  <c r="G6" i="6" a="1"/>
  <c r="G18" i="5" a="1"/>
  <c r="G18" i="5" s="1"/>
  <c r="G17" i="5" a="1"/>
  <c r="G17" i="5" s="1"/>
  <c r="G16" i="5" a="1"/>
  <c r="G16" i="5" s="1"/>
  <c r="G15" i="5" a="1"/>
  <c r="G15" i="5" s="1"/>
  <c r="G14" i="5" a="1"/>
  <c r="G14" i="5" s="1"/>
  <c r="G12" i="5" a="1"/>
  <c r="G12" i="5" s="1"/>
  <c r="G11" i="5" a="1"/>
  <c r="G11" i="5" s="1"/>
  <c r="G10" i="5" a="1"/>
  <c r="G10" i="5" s="1"/>
  <c r="G9" i="5" a="1"/>
  <c r="G9" i="5" s="1"/>
  <c r="G8" i="5" a="1"/>
  <c r="G8" i="5" s="1"/>
  <c r="G6" i="5" a="1"/>
  <c r="G6" i="5" s="1"/>
  <c r="G18" i="3" a="1"/>
  <c r="G18" i="3" s="1"/>
  <c r="G17" i="3" a="1"/>
  <c r="G17" i="3" s="1"/>
  <c r="G16" i="3" a="1"/>
  <c r="G16" i="3" s="1"/>
  <c r="G15" i="3" a="1"/>
  <c r="G15" i="3" s="1"/>
  <c r="G14" i="3" a="1"/>
  <c r="G14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6" i="3" a="1"/>
  <c r="G6" i="3" s="1"/>
  <c r="AA18" i="2"/>
  <c r="G6" i="2" l="1" a="1"/>
  <c r="G6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J18" i="5" l="1"/>
  <c r="M18" i="5" s="1"/>
  <c r="E18" i="5"/>
  <c r="F18" i="5" s="1"/>
  <c r="A18" i="5"/>
  <c r="B18" i="5"/>
  <c r="A17" i="5"/>
  <c r="B17" i="5"/>
  <c r="J16" i="5"/>
  <c r="M16" i="5" s="1"/>
  <c r="J17" i="5"/>
  <c r="M17" i="5" s="1"/>
  <c r="E17" i="5"/>
  <c r="F17" i="5" s="1"/>
  <c r="A16" i="5"/>
  <c r="B16" i="5"/>
  <c r="J15" i="5" l="1"/>
  <c r="M15" i="5" s="1"/>
  <c r="E16" i="5"/>
  <c r="F16" i="5" s="1"/>
  <c r="A15" i="5"/>
  <c r="B15" i="5"/>
  <c r="E15" i="5"/>
  <c r="F15" i="5" s="1"/>
  <c r="J14" i="5"/>
  <c r="M14" i="5" s="1"/>
  <c r="A14" i="5"/>
  <c r="B14" i="5"/>
  <c r="E14" i="5"/>
  <c r="F14" i="5" s="1"/>
  <c r="E10" i="5"/>
  <c r="J10" i="5"/>
  <c r="M10" i="5" s="1"/>
  <c r="E11" i="5"/>
  <c r="J11" i="5"/>
  <c r="E12" i="5"/>
  <c r="F12" i="5" s="1"/>
  <c r="J12" i="5"/>
  <c r="M12" i="5" s="1"/>
  <c r="E13" i="5"/>
  <c r="F13" i="5" s="1"/>
  <c r="J13" i="5"/>
  <c r="M13" i="5" s="1"/>
  <c r="A10" i="5"/>
  <c r="B10" i="5"/>
  <c r="A11" i="5"/>
  <c r="B11" i="5"/>
  <c r="A12" i="5"/>
  <c r="B12" i="5"/>
  <c r="A13" i="5"/>
  <c r="B13" i="5"/>
  <c r="J18" i="6"/>
  <c r="M18" i="6" s="1"/>
  <c r="J17" i="6"/>
  <c r="E17" i="6"/>
  <c r="F17" i="6" s="1"/>
  <c r="E18" i="6"/>
  <c r="F18" i="6" s="1"/>
  <c r="A16" i="6"/>
  <c r="B16" i="6"/>
  <c r="A17" i="6"/>
  <c r="B17" i="6"/>
  <c r="A18" i="6"/>
  <c r="B18" i="6"/>
  <c r="E9" i="5"/>
  <c r="F9" i="5" s="1"/>
  <c r="J9" i="5"/>
  <c r="M9" i="5" s="1"/>
  <c r="A9" i="5"/>
  <c r="B9" i="5"/>
  <c r="J15" i="6"/>
  <c r="E16" i="6"/>
  <c r="F16" i="6" s="1"/>
  <c r="J16" i="6"/>
  <c r="M16" i="6" s="1"/>
  <c r="E14" i="6"/>
  <c r="F14" i="6" s="1"/>
  <c r="J14" i="6"/>
  <c r="M14" i="6" s="1"/>
  <c r="E15" i="6"/>
  <c r="F15" i="6" s="1"/>
  <c r="A14" i="6"/>
  <c r="B14" i="6"/>
  <c r="A15" i="6"/>
  <c r="B15" i="6"/>
  <c r="J8" i="5"/>
  <c r="M8" i="5" s="1"/>
  <c r="E8" i="5"/>
  <c r="F8" i="5" s="1"/>
  <c r="A8" i="5"/>
  <c r="B8" i="5"/>
  <c r="J12" i="6"/>
  <c r="J13" i="6"/>
  <c r="E12" i="6"/>
  <c r="F12" i="6" s="1"/>
  <c r="E13" i="6"/>
  <c r="A11" i="6"/>
  <c r="B11" i="6"/>
  <c r="A12" i="6"/>
  <c r="B12" i="6"/>
  <c r="A13" i="6"/>
  <c r="B13" i="6"/>
  <c r="J7" i="5"/>
  <c r="M7" i="5" s="1"/>
  <c r="E7" i="5"/>
  <c r="F7" i="5" s="1"/>
  <c r="A7" i="5"/>
  <c r="B7" i="5"/>
  <c r="J10" i="6"/>
  <c r="M10" i="6" s="1"/>
  <c r="E11" i="6"/>
  <c r="F11" i="6" s="1"/>
  <c r="J11" i="6"/>
  <c r="M11" i="6" s="1"/>
  <c r="E10" i="6"/>
  <c r="F10" i="6" s="1"/>
  <c r="A10" i="6"/>
  <c r="B10" i="6"/>
  <c r="A8" i="3"/>
  <c r="J9" i="6"/>
  <c r="M9" i="6" s="1"/>
  <c r="E9" i="6"/>
  <c r="F9" i="6" s="1"/>
  <c r="A9" i="6"/>
  <c r="B9" i="6"/>
  <c r="J7" i="6"/>
  <c r="M7" i="6"/>
  <c r="J8" i="6"/>
  <c r="E7" i="6"/>
  <c r="F7" i="6" s="1"/>
  <c r="E8" i="6"/>
  <c r="F8" i="6" s="1"/>
  <c r="A7" i="6"/>
  <c r="B7" i="6"/>
  <c r="A8" i="6"/>
  <c r="B8" i="6"/>
  <c r="J18" i="3"/>
  <c r="E17" i="3"/>
  <c r="F17" i="3" s="1"/>
  <c r="J17" i="3"/>
  <c r="M17" i="3" s="1"/>
  <c r="E18" i="3"/>
  <c r="F18" i="3" s="1"/>
  <c r="A17" i="3"/>
  <c r="B17" i="3"/>
  <c r="A18" i="3"/>
  <c r="B18" i="3"/>
  <c r="J14" i="3"/>
  <c r="J15" i="3"/>
  <c r="J16" i="3"/>
  <c r="M16" i="3" s="1"/>
  <c r="E13" i="3"/>
  <c r="F13" i="3" s="1"/>
  <c r="E14" i="3"/>
  <c r="F14" i="3" s="1"/>
  <c r="E15" i="3"/>
  <c r="F15" i="3" s="1"/>
  <c r="E16" i="3"/>
  <c r="F16" i="3" s="1"/>
  <c r="A13" i="3"/>
  <c r="B13" i="3"/>
  <c r="A14" i="3"/>
  <c r="B14" i="3"/>
  <c r="A15" i="3"/>
  <c r="B15" i="3"/>
  <c r="A16" i="3"/>
  <c r="B16" i="3"/>
  <c r="J12" i="3"/>
  <c r="M12" i="3" s="1"/>
  <c r="J13" i="3"/>
  <c r="M13" i="3" s="1"/>
  <c r="E12" i="3"/>
  <c r="A12" i="3"/>
  <c r="B12" i="3"/>
  <c r="J8" i="3"/>
  <c r="M8" i="3" s="1"/>
  <c r="J9" i="3"/>
  <c r="M9" i="3" s="1"/>
  <c r="J10" i="3"/>
  <c r="J11" i="3"/>
  <c r="M11" i="3" s="1"/>
  <c r="E8" i="3"/>
  <c r="F8" i="3" s="1"/>
  <c r="E9" i="3"/>
  <c r="F9" i="3" s="1"/>
  <c r="E10" i="3"/>
  <c r="F10" i="3" s="1"/>
  <c r="E11" i="3"/>
  <c r="B8" i="3"/>
  <c r="A9" i="3"/>
  <c r="B9" i="3"/>
  <c r="A10" i="3"/>
  <c r="B10" i="3"/>
  <c r="A11" i="3"/>
  <c r="B11" i="3"/>
  <c r="E7" i="3"/>
  <c r="F7" i="3" s="1"/>
  <c r="A7" i="3"/>
  <c r="B7" i="3"/>
  <c r="J7" i="3"/>
  <c r="M7" i="3" s="1"/>
  <c r="Z2" i="6"/>
  <c r="Y3" i="6" s="1" a="1"/>
  <c r="Y3" i="6" s="1"/>
  <c r="Z3" i="6" s="1"/>
  <c r="Y4" i="6" s="1" a="1"/>
  <c r="Y4" i="6" s="1"/>
  <c r="Z4" i="6" s="1"/>
  <c r="Y5" i="6" s="1" a="1"/>
  <c r="Y5" i="6" s="1"/>
  <c r="Z5" i="6" s="1"/>
  <c r="Y6" i="6" s="1" a="1"/>
  <c r="Y6" i="6" s="1"/>
  <c r="Z6" i="6" s="1"/>
  <c r="Y7" i="6" s="1" a="1"/>
  <c r="Y7" i="6" s="1"/>
  <c r="Z7" i="6" s="1"/>
  <c r="Y8" i="6" s="1" a="1"/>
  <c r="Y8" i="6" s="1"/>
  <c r="Z8" i="6" s="1"/>
  <c r="Y9" i="6" s="1" a="1"/>
  <c r="Y9" i="6" s="1"/>
  <c r="Z9" i="6" s="1"/>
  <c r="Y10" i="6" s="1" a="1"/>
  <c r="Y10" i="6" s="1"/>
  <c r="Z10" i="6" s="1"/>
  <c r="Y11" i="6" s="1" a="1"/>
  <c r="Y11" i="6" s="1"/>
  <c r="Z11" i="6" s="1"/>
  <c r="Y12" i="6" s="1" a="1"/>
  <c r="Y12" i="6" s="1"/>
  <c r="Z12" i="6" s="1"/>
  <c r="Y13" i="6" s="1" a="1"/>
  <c r="Y13" i="6" s="1"/>
  <c r="Z13" i="6" s="1"/>
  <c r="Y14" i="6" s="1" a="1"/>
  <c r="Y14" i="6" s="1"/>
  <c r="Z14" i="6" s="1"/>
  <c r="Y15" i="6" s="1" a="1"/>
  <c r="Y15" i="6" s="1"/>
  <c r="Z15" i="6" s="1"/>
  <c r="Y16" i="6" s="1" a="1"/>
  <c r="Y16" i="6" s="1"/>
  <c r="Z16" i="6" s="1"/>
  <c r="Y17" i="6" s="1" a="1"/>
  <c r="Y17" i="6" s="1"/>
  <c r="Z17" i="6" s="1"/>
  <c r="Y18" i="6" s="1" a="1"/>
  <c r="Y18" i="6" s="1"/>
  <c r="Z18" i="6" s="1"/>
  <c r="Z2" i="5"/>
  <c r="Y3" i="5" s="1" a="1"/>
  <c r="Y3" i="5" s="1"/>
  <c r="Z3" i="5" s="1"/>
  <c r="Y4" i="5" s="1" a="1"/>
  <c r="Y4" i="5" s="1"/>
  <c r="Z4" i="5" s="1"/>
  <c r="Y5" i="5" s="1" a="1"/>
  <c r="Y5" i="5" s="1"/>
  <c r="Z5" i="5" s="1"/>
  <c r="Y6" i="5" s="1" a="1"/>
  <c r="Y6" i="5" s="1"/>
  <c r="Z6" i="5" s="1"/>
  <c r="Y7" i="5" s="1" a="1"/>
  <c r="Y7" i="5" s="1"/>
  <c r="Z7" i="5" s="1"/>
  <c r="Y8" i="5" s="1" a="1"/>
  <c r="Y8" i="5" s="1"/>
  <c r="Z8" i="5" s="1"/>
  <c r="Y9" i="5" s="1" a="1"/>
  <c r="Y9" i="5" s="1"/>
  <c r="Z9" i="5" s="1"/>
  <c r="Y10" i="5" s="1" a="1"/>
  <c r="Y10" i="5" s="1"/>
  <c r="Z10" i="5" s="1"/>
  <c r="Y11" i="5" s="1" a="1"/>
  <c r="Y11" i="5" s="1"/>
  <c r="Z11" i="5" s="1"/>
  <c r="Y12" i="5" s="1" a="1"/>
  <c r="Y12" i="5" s="1"/>
  <c r="Z12" i="5" s="1"/>
  <c r="Y13" i="5" s="1" a="1"/>
  <c r="Y13" i="5" s="1"/>
  <c r="Z13" i="5" s="1"/>
  <c r="Y14" i="5" s="1" a="1"/>
  <c r="Y14" i="5" s="1"/>
  <c r="Z14" i="5" s="1"/>
  <c r="Y15" i="5" s="1" a="1"/>
  <c r="Y15" i="5" s="1"/>
  <c r="Z15" i="5" s="1"/>
  <c r="Y16" i="5" s="1" a="1"/>
  <c r="Y16" i="5" s="1"/>
  <c r="Z16" i="5" s="1"/>
  <c r="Y17" i="5" s="1" a="1"/>
  <c r="Y17" i="5" s="1"/>
  <c r="Z17" i="5" s="1"/>
  <c r="Y18" i="5" s="1" a="1"/>
  <c r="Y18" i="5" s="1"/>
  <c r="Z18" i="5" s="1"/>
  <c r="J2" i="6"/>
  <c r="J2" i="5"/>
  <c r="J2" i="3"/>
  <c r="I7" i="2"/>
  <c r="I8" i="2"/>
  <c r="I9" i="2"/>
  <c r="I10" i="2"/>
  <c r="I11" i="2"/>
  <c r="I12" i="2"/>
  <c r="I13" i="2"/>
  <c r="I14" i="2"/>
  <c r="I15" i="2"/>
  <c r="I16" i="2"/>
  <c r="I17" i="2"/>
  <c r="I18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B7" i="10"/>
  <c r="B6" i="10"/>
  <c r="B5" i="10"/>
  <c r="B4" i="10"/>
  <c r="B3" i="10"/>
  <c r="B2" i="10"/>
  <c r="B6" i="6"/>
  <c r="A6" i="6"/>
  <c r="B5" i="6"/>
  <c r="A5" i="6"/>
  <c r="B4" i="6"/>
  <c r="A4" i="6"/>
  <c r="B3" i="6"/>
  <c r="A3" i="6"/>
  <c r="B2" i="6"/>
  <c r="A2" i="6"/>
  <c r="B6" i="5"/>
  <c r="A6" i="5"/>
  <c r="B5" i="5"/>
  <c r="A5" i="5"/>
  <c r="B4" i="5"/>
  <c r="A4" i="5"/>
  <c r="B3" i="5"/>
  <c r="A3" i="5"/>
  <c r="B2" i="5"/>
  <c r="A2" i="5"/>
  <c r="B6" i="3"/>
  <c r="A6" i="3"/>
  <c r="B5" i="3"/>
  <c r="A5" i="3"/>
  <c r="B4" i="3"/>
  <c r="A4" i="3"/>
  <c r="B3" i="3"/>
  <c r="A3" i="3"/>
  <c r="Z2" i="3"/>
  <c r="Y3" i="3" s="1" a="1"/>
  <c r="Y3" i="3" s="1"/>
  <c r="Z3" i="3" s="1"/>
  <c r="Y4" i="3" s="1" a="1"/>
  <c r="Y4" i="3" s="1"/>
  <c r="Z4" i="3" s="1"/>
  <c r="Y5" i="3" s="1" a="1"/>
  <c r="Y5" i="3" s="1"/>
  <c r="Z5" i="3" s="1"/>
  <c r="Y6" i="3" s="1" a="1"/>
  <c r="Y6" i="3" s="1"/>
  <c r="Z6" i="3" s="1"/>
  <c r="Y7" i="3" s="1" a="1"/>
  <c r="Y7" i="3" s="1"/>
  <c r="Z7" i="3" s="1"/>
  <c r="Y8" i="3" s="1" a="1"/>
  <c r="Y8" i="3" s="1"/>
  <c r="Z8" i="3" s="1"/>
  <c r="Y9" i="3" s="1" a="1"/>
  <c r="Y9" i="3" s="1"/>
  <c r="Z9" i="3" s="1"/>
  <c r="Y10" i="3" s="1" a="1"/>
  <c r="Y10" i="3" s="1"/>
  <c r="Z10" i="3" s="1"/>
  <c r="Y11" i="3" s="1" a="1"/>
  <c r="Y11" i="3" s="1"/>
  <c r="Z11" i="3" s="1"/>
  <c r="Y12" i="3" s="1" a="1"/>
  <c r="Y12" i="3" s="1"/>
  <c r="Z12" i="3" s="1"/>
  <c r="Y13" i="3" s="1" a="1"/>
  <c r="Y13" i="3" s="1"/>
  <c r="Z13" i="3" s="1"/>
  <c r="Y14" i="3" s="1" a="1"/>
  <c r="Y14" i="3" s="1"/>
  <c r="Z14" i="3" s="1"/>
  <c r="Y15" i="3" s="1" a="1"/>
  <c r="Y15" i="3" s="1"/>
  <c r="Z15" i="3" s="1"/>
  <c r="Y16" i="3" s="1" a="1"/>
  <c r="Y16" i="3" s="1"/>
  <c r="Z16" i="3" s="1"/>
  <c r="Y17" i="3" s="1" a="1"/>
  <c r="Y17" i="3" s="1"/>
  <c r="Z17" i="3" s="1"/>
  <c r="Y18" i="3" s="1" a="1"/>
  <c r="Y18" i="3" s="1"/>
  <c r="Z18" i="3" s="1"/>
  <c r="B2" i="3"/>
  <c r="A2" i="3"/>
  <c r="F11" i="5" l="1"/>
  <c r="F12" i="3"/>
  <c r="M11" i="5"/>
  <c r="F10" i="5"/>
  <c r="M17" i="6"/>
  <c r="M15" i="6"/>
  <c r="F13" i="6"/>
  <c r="M12" i="6"/>
  <c r="M13" i="6"/>
  <c r="M8" i="6"/>
  <c r="M18" i="3"/>
  <c r="M15" i="3"/>
  <c r="M14" i="3"/>
  <c r="F11" i="3"/>
  <c r="M10" i="3"/>
  <c r="J12" i="2"/>
  <c r="J18" i="2"/>
  <c r="M18" i="2" s="1"/>
  <c r="J4" i="5"/>
  <c r="M4" i="5" s="1"/>
  <c r="J17" i="2"/>
  <c r="M17" i="2" s="1"/>
  <c r="J10" i="2"/>
  <c r="M10" i="2" s="1"/>
  <c r="J8" i="2"/>
  <c r="J11" i="2"/>
  <c r="J14" i="2"/>
  <c r="M14" i="2" s="1"/>
  <c r="J9" i="2"/>
  <c r="M9" i="2" s="1"/>
  <c r="J13" i="2"/>
  <c r="M13" i="2" s="1"/>
  <c r="J7" i="2"/>
  <c r="M7" i="2" s="1"/>
  <c r="J16" i="2"/>
  <c r="M16" i="2" s="1"/>
  <c r="J15" i="2"/>
  <c r="M15" i="2" s="1"/>
  <c r="J3" i="3"/>
  <c r="M3" i="3" s="1"/>
  <c r="J5" i="6"/>
  <c r="M5" i="6" s="1"/>
  <c r="J3" i="6"/>
  <c r="M3" i="6" s="1"/>
  <c r="J4" i="6"/>
  <c r="M4" i="6" s="1"/>
  <c r="J3" i="5"/>
  <c r="M3" i="5" s="1"/>
  <c r="M2" i="6"/>
  <c r="J6" i="6"/>
  <c r="J5" i="5"/>
  <c r="J6" i="5"/>
  <c r="M2" i="5"/>
  <c r="J4" i="3"/>
  <c r="J5" i="3"/>
  <c r="J6" i="3"/>
  <c r="M2" i="3"/>
  <c r="M12" i="2" l="1"/>
  <c r="M11" i="2"/>
  <c r="M8" i="2"/>
  <c r="M6" i="6"/>
  <c r="M6" i="5"/>
  <c r="M5" i="5"/>
  <c r="M6" i="3"/>
  <c r="M5" i="3"/>
  <c r="M4" i="3"/>
  <c r="Y3" i="2" l="1" a="1"/>
  <c r="Y3" i="2" s="1"/>
  <c r="I3" i="2" s="1"/>
  <c r="Y4" i="2" a="1"/>
  <c r="Y4" i="2" s="1"/>
  <c r="I4" i="2" s="1"/>
  <c r="Y5" i="2" a="1"/>
  <c r="Y5" i="2" s="1"/>
  <c r="Y6" i="2" a="1"/>
  <c r="Y6" i="2" s="1"/>
  <c r="I2" i="2"/>
  <c r="AA2" i="2" s="1"/>
  <c r="X3" i="2" l="1" a="1"/>
  <c r="X3" i="2" s="1"/>
  <c r="AA3" i="2" s="1"/>
  <c r="X4" i="2" s="1" a="1"/>
  <c r="X4" i="2" s="1"/>
  <c r="AA4" i="2" s="1"/>
  <c r="X5" i="2" s="1" a="1"/>
  <c r="X5" i="2" s="1"/>
  <c r="B3" i="9" l="1"/>
  <c r="B4" i="9"/>
  <c r="B5" i="9"/>
  <c r="B6" i="9"/>
  <c r="B7" i="9"/>
  <c r="B2" i="9"/>
  <c r="I5" i="2" l="1"/>
  <c r="I6" i="2"/>
  <c r="AA5" i="2" l="1"/>
  <c r="X6" i="2" s="1" a="1"/>
  <c r="X6" i="2" s="1"/>
  <c r="AA6" i="2" s="1"/>
  <c r="B3" i="2"/>
  <c r="B4" i="2"/>
  <c r="B5" i="2"/>
  <c r="B6" i="2"/>
  <c r="B2" i="2"/>
  <c r="A3" i="2"/>
  <c r="A4" i="2"/>
  <c r="A5" i="2"/>
  <c r="A6" i="2"/>
  <c r="A2" i="2"/>
  <c r="X7" i="2" l="1" a="1"/>
  <c r="X7" i="2" s="1"/>
  <c r="AA7" i="2" s="1"/>
  <c r="X8" i="2" s="1" a="1"/>
  <c r="X8" i="2" s="1"/>
  <c r="AA8" i="2" s="1"/>
  <c r="X9" i="2" s="1" a="1"/>
  <c r="X9" i="2" s="1"/>
  <c r="AA9" i="2" s="1"/>
  <c r="X10" i="2" s="1" a="1"/>
  <c r="X10" i="2" s="1"/>
  <c r="AA10" i="2" s="1"/>
  <c r="X11" i="2" s="1" a="1"/>
  <c r="X11" i="2" s="1"/>
  <c r="AA11" i="2" s="1"/>
  <c r="X12" i="2" s="1" a="1"/>
  <c r="X12" i="2" s="1"/>
  <c r="AA12" i="2" s="1"/>
  <c r="J6" i="2"/>
  <c r="M6" i="2" s="1"/>
  <c r="J3" i="2"/>
  <c r="M3" i="2" s="1"/>
  <c r="J2" i="2"/>
  <c r="J5" i="2"/>
  <c r="J4" i="2"/>
  <c r="M4" i="2" s="1"/>
  <c r="X13" i="2" l="1" a="1"/>
  <c r="X13" i="2" s="1"/>
  <c r="AA13" i="2" s="1"/>
  <c r="E13" i="2"/>
  <c r="F13" i="2" s="1"/>
  <c r="E3" i="2"/>
  <c r="F3" i="2" s="1"/>
  <c r="E4" i="2"/>
  <c r="F4" i="2" s="1"/>
  <c r="E5" i="2"/>
  <c r="F5" i="2" s="1"/>
  <c r="E6" i="2"/>
  <c r="F6" i="2" s="1"/>
  <c r="E2" i="2"/>
  <c r="E14" i="2"/>
  <c r="E18" i="2"/>
  <c r="E2" i="6"/>
  <c r="E2" i="5"/>
  <c r="E2" i="3"/>
  <c r="E6" i="5"/>
  <c r="E3" i="6"/>
  <c r="E3" i="3"/>
  <c r="E5" i="3"/>
  <c r="E7" i="2"/>
  <c r="E11" i="2"/>
  <c r="E4" i="6"/>
  <c r="E4" i="5"/>
  <c r="E4" i="3"/>
  <c r="E6" i="3"/>
  <c r="E6" i="6"/>
  <c r="E8" i="2"/>
  <c r="E12" i="2"/>
  <c r="E15" i="2"/>
  <c r="E17" i="2"/>
  <c r="E3" i="5"/>
  <c r="E5" i="5"/>
  <c r="E10" i="2"/>
  <c r="E9" i="2"/>
  <c r="E16" i="2"/>
  <c r="E5" i="6"/>
  <c r="M5" i="2"/>
  <c r="M2" i="2"/>
  <c r="X14" i="2" l="1" a="1"/>
  <c r="X14" i="2" s="1"/>
  <c r="AA14" i="2" s="1"/>
  <c r="K10" i="6"/>
  <c r="K15" i="6"/>
  <c r="K18" i="6"/>
  <c r="K12" i="6"/>
  <c r="K8" i="6"/>
  <c r="K16" i="6"/>
  <c r="K13" i="6"/>
  <c r="K17" i="6"/>
  <c r="K7" i="6"/>
  <c r="K11" i="6"/>
  <c r="K14" i="6"/>
  <c r="K9" i="6"/>
  <c r="K18" i="5"/>
  <c r="K17" i="5"/>
  <c r="K16" i="5"/>
  <c r="K9" i="5"/>
  <c r="K11" i="5"/>
  <c r="K14" i="5"/>
  <c r="K13" i="5"/>
  <c r="K12" i="5"/>
  <c r="K8" i="5"/>
  <c r="K10" i="5"/>
  <c r="K15" i="5"/>
  <c r="K13" i="3"/>
  <c r="K7" i="3"/>
  <c r="K14" i="3"/>
  <c r="K18" i="3"/>
  <c r="K15" i="3"/>
  <c r="K10" i="3"/>
  <c r="K16" i="3"/>
  <c r="K8" i="3"/>
  <c r="K11" i="3"/>
  <c r="K17" i="3"/>
  <c r="K9" i="3"/>
  <c r="K12" i="3"/>
  <c r="K7" i="5"/>
  <c r="K4" i="2"/>
  <c r="K5" i="2"/>
  <c r="F6" i="5"/>
  <c r="K6" i="5"/>
  <c r="K2" i="2"/>
  <c r="K14" i="2"/>
  <c r="K3" i="2"/>
  <c r="K6" i="2"/>
  <c r="K15" i="2"/>
  <c r="F6" i="3"/>
  <c r="K6" i="3"/>
  <c r="K11" i="2"/>
  <c r="K2" i="3"/>
  <c r="I2" i="10"/>
  <c r="P6" i="9"/>
  <c r="G6" i="9"/>
  <c r="C6" i="9"/>
  <c r="H6" i="9"/>
  <c r="F2" i="2"/>
  <c r="C2" i="9" s="1"/>
  <c r="F5" i="6"/>
  <c r="AH5" i="10" s="1"/>
  <c r="K5" i="6"/>
  <c r="F12" i="2"/>
  <c r="K12" i="2"/>
  <c r="K7" i="2"/>
  <c r="K2" i="5"/>
  <c r="F8" i="2"/>
  <c r="C3" i="9" s="1"/>
  <c r="K8" i="2"/>
  <c r="F4" i="3"/>
  <c r="Q4" i="10" s="1"/>
  <c r="K4" i="3"/>
  <c r="K16" i="2"/>
  <c r="F5" i="5"/>
  <c r="K5" i="5"/>
  <c r="F6" i="6"/>
  <c r="K6" i="6"/>
  <c r="F4" i="5"/>
  <c r="AF4" i="10" s="1"/>
  <c r="R18" i="5" s="1" a="1"/>
  <c r="R18" i="5" s="1"/>
  <c r="S18" i="5" s="1"/>
  <c r="K4" i="5"/>
  <c r="F5" i="3"/>
  <c r="Q5" i="10" s="1"/>
  <c r="K5" i="3"/>
  <c r="F9" i="2"/>
  <c r="K9" i="2"/>
  <c r="F4" i="6"/>
  <c r="AL4" i="10" s="1"/>
  <c r="K4" i="6"/>
  <c r="F3" i="3"/>
  <c r="D3" i="10" s="1"/>
  <c r="K3" i="3"/>
  <c r="F10" i="2"/>
  <c r="K10" i="2"/>
  <c r="F3" i="5"/>
  <c r="K3" i="5"/>
  <c r="F3" i="6"/>
  <c r="AM3" i="10" s="1"/>
  <c r="K3" i="6"/>
  <c r="K13" i="2"/>
  <c r="F16" i="2"/>
  <c r="F17" i="2"/>
  <c r="K17" i="2"/>
  <c r="F15" i="2"/>
  <c r="F11" i="2"/>
  <c r="P5" i="9" s="1"/>
  <c r="R11" i="2" s="1"/>
  <c r="S11" i="2" s="1"/>
  <c r="F7" i="2"/>
  <c r="G7" i="9" s="1"/>
  <c r="D7" i="10"/>
  <c r="D6" i="10"/>
  <c r="Q6" i="10"/>
  <c r="H6" i="10"/>
  <c r="F2" i="3"/>
  <c r="H2" i="10" s="1"/>
  <c r="I6" i="10"/>
  <c r="I7" i="10"/>
  <c r="D5" i="10"/>
  <c r="Q7" i="10"/>
  <c r="H7" i="10"/>
  <c r="F2" i="5"/>
  <c r="S2" i="10" s="1"/>
  <c r="X7" i="10"/>
  <c r="AF6" i="10"/>
  <c r="W6" i="10"/>
  <c r="S5" i="10"/>
  <c r="AF5" i="10"/>
  <c r="R11" i="5" s="1" a="1"/>
  <c r="R11" i="5" s="1"/>
  <c r="S11" i="5" s="1"/>
  <c r="W5" i="10"/>
  <c r="W7" i="10"/>
  <c r="S7" i="10"/>
  <c r="AF7" i="10"/>
  <c r="S6" i="10"/>
  <c r="X6" i="10"/>
  <c r="X3" i="10"/>
  <c r="S3" i="10"/>
  <c r="W3" i="10"/>
  <c r="X5" i="10"/>
  <c r="AF3" i="10"/>
  <c r="X2" i="10"/>
  <c r="AM6" i="10"/>
  <c r="AM5" i="10"/>
  <c r="AH4" i="10"/>
  <c r="AU3" i="10"/>
  <c r="AU7" i="10"/>
  <c r="AL7" i="10"/>
  <c r="F2" i="6"/>
  <c r="AM2" i="10" s="1"/>
  <c r="AU6" i="10"/>
  <c r="AH3" i="10"/>
  <c r="AL6" i="10"/>
  <c r="AM7" i="10"/>
  <c r="AH7" i="10"/>
  <c r="AH6" i="10"/>
  <c r="K2" i="6"/>
  <c r="AM4" i="10"/>
  <c r="AU4" i="10"/>
  <c r="F18" i="2"/>
  <c r="K18" i="2"/>
  <c r="F14" i="2"/>
  <c r="AU2" i="10" l="1"/>
  <c r="R2" i="6" s="1" a="1"/>
  <c r="R2" i="6" s="1"/>
  <c r="S2" i="6" s="1"/>
  <c r="T2" i="6" s="1"/>
  <c r="AL5" i="10"/>
  <c r="AL3" i="10"/>
  <c r="AU5" i="10"/>
  <c r="R16" i="6" s="1" a="1"/>
  <c r="R16" i="6" s="1"/>
  <c r="S16" i="6" s="1"/>
  <c r="AH2" i="10"/>
  <c r="W4" i="10"/>
  <c r="X4" i="10"/>
  <c r="S4" i="10"/>
  <c r="AF2" i="10"/>
  <c r="R9" i="5" s="1" a="1"/>
  <c r="R9" i="5" s="1"/>
  <c r="S9" i="5" s="1"/>
  <c r="W2" i="10"/>
  <c r="I5" i="10"/>
  <c r="H5" i="10"/>
  <c r="H3" i="10"/>
  <c r="Q3" i="10"/>
  <c r="R6" i="3" s="1" a="1"/>
  <c r="R6" i="3" s="1"/>
  <c r="I3" i="10"/>
  <c r="H4" i="10"/>
  <c r="I4" i="10"/>
  <c r="D2" i="10"/>
  <c r="D4" i="10"/>
  <c r="Q2" i="10"/>
  <c r="R12" i="3" s="1" a="1"/>
  <c r="R12" i="3" s="1"/>
  <c r="H3" i="9"/>
  <c r="P3" i="9"/>
  <c r="R17" i="2" s="1"/>
  <c r="S17" i="2" s="1"/>
  <c r="G3" i="9"/>
  <c r="C7" i="9"/>
  <c r="H7" i="9"/>
  <c r="P2" i="9"/>
  <c r="P7" i="9"/>
  <c r="R7" i="2" s="1"/>
  <c r="S7" i="2" s="1"/>
  <c r="H2" i="9"/>
  <c r="G2" i="9"/>
  <c r="X15" i="2" a="1"/>
  <c r="X15" i="2" s="1"/>
  <c r="AA15" i="2" s="1"/>
  <c r="R10" i="6" a="1"/>
  <c r="R10" i="6" s="1"/>
  <c r="S10" i="6" s="1"/>
  <c r="R13" i="5" a="1"/>
  <c r="R13" i="5" s="1"/>
  <c r="S13" i="5" s="1"/>
  <c r="T13" i="5" s="1"/>
  <c r="R5" i="5" a="1"/>
  <c r="R5" i="5" s="1"/>
  <c r="R16" i="5" a="1"/>
  <c r="R16" i="5" s="1"/>
  <c r="S16" i="5" s="1"/>
  <c r="R10" i="5" a="1"/>
  <c r="R10" i="5" s="1"/>
  <c r="S10" i="5" s="1"/>
  <c r="R15" i="5" a="1"/>
  <c r="R15" i="5" s="1"/>
  <c r="S15" i="5" s="1"/>
  <c r="R18" i="6" a="1"/>
  <c r="R18" i="6" s="1"/>
  <c r="S18" i="6" s="1"/>
  <c r="R17" i="6" a="1"/>
  <c r="R17" i="6" s="1"/>
  <c r="S17" i="6" s="1"/>
  <c r="R14" i="5" a="1"/>
  <c r="R14" i="5" s="1"/>
  <c r="S14" i="5" s="1"/>
  <c r="R17" i="5" a="1"/>
  <c r="R17" i="5" s="1"/>
  <c r="S17" i="5" s="1"/>
  <c r="R15" i="6" a="1"/>
  <c r="R15" i="6" s="1"/>
  <c r="S15" i="6" s="1"/>
  <c r="R4" i="6" a="1"/>
  <c r="R4" i="6" s="1"/>
  <c r="R13" i="2"/>
  <c r="S13" i="2" s="1"/>
  <c r="R3" i="6" a="1"/>
  <c r="R3" i="6" s="1"/>
  <c r="R14" i="6" a="1"/>
  <c r="R14" i="6" s="1"/>
  <c r="S14" i="6" s="1"/>
  <c r="R3" i="5" a="1"/>
  <c r="R3" i="5" s="1"/>
  <c r="R8" i="5" a="1"/>
  <c r="R8" i="5" s="1"/>
  <c r="S8" i="5" s="1"/>
  <c r="R18" i="3" a="1"/>
  <c r="R18" i="3" s="1"/>
  <c r="R13" i="6" a="1"/>
  <c r="R13" i="6" s="1"/>
  <c r="S13" i="6" s="1"/>
  <c r="R7" i="6" a="1"/>
  <c r="R7" i="6" s="1"/>
  <c r="R6" i="5" a="1"/>
  <c r="R6" i="5" s="1"/>
  <c r="R7" i="5" a="1"/>
  <c r="R7" i="5" s="1"/>
  <c r="S7" i="5" s="1"/>
  <c r="R9" i="6" a="1"/>
  <c r="R9" i="6" s="1"/>
  <c r="R6" i="6" a="1"/>
  <c r="R6" i="6" s="1"/>
  <c r="R5" i="6" a="1"/>
  <c r="R5" i="6" s="1"/>
  <c r="R8" i="6" a="1"/>
  <c r="R8" i="6" s="1"/>
  <c r="R7" i="3" a="1"/>
  <c r="R7" i="3" s="1"/>
  <c r="R15" i="3" a="1"/>
  <c r="R15" i="3" s="1"/>
  <c r="R13" i="3" a="1"/>
  <c r="R13" i="3" s="1"/>
  <c r="R11" i="3" a="1"/>
  <c r="R11" i="3" s="1"/>
  <c r="R5" i="3" a="1"/>
  <c r="R5" i="3" s="1"/>
  <c r="R10" i="3" a="1"/>
  <c r="R10" i="3" s="1"/>
  <c r="R14" i="3" a="1"/>
  <c r="R14" i="3" s="1"/>
  <c r="R16" i="3" a="1"/>
  <c r="R16" i="3" s="1"/>
  <c r="R4" i="3" a="1"/>
  <c r="R4" i="3" s="1"/>
  <c r="R9" i="3" a="1"/>
  <c r="R9" i="3" s="1"/>
  <c r="V6" i="10" a="1"/>
  <c r="V6" i="10" s="1"/>
  <c r="U6" i="10" a="1"/>
  <c r="U6" i="10" s="1"/>
  <c r="V5" i="10" a="1"/>
  <c r="V5" i="10" s="1"/>
  <c r="L2" i="6"/>
  <c r="P4" i="9"/>
  <c r="G5" i="9"/>
  <c r="F7" i="10" a="1"/>
  <c r="F7" i="10" s="1"/>
  <c r="V7" i="10" a="1"/>
  <c r="V7" i="10" s="1"/>
  <c r="H5" i="9"/>
  <c r="C5" i="9"/>
  <c r="AL2" i="10"/>
  <c r="AI7" i="10" a="1"/>
  <c r="AI7" i="10" s="1"/>
  <c r="AI5" i="10" a="1"/>
  <c r="AI5" i="10" s="1"/>
  <c r="AK4" i="10" a="1"/>
  <c r="AK4" i="10" s="1"/>
  <c r="AI6" i="10" a="1"/>
  <c r="AI6" i="10" s="1"/>
  <c r="AK3" i="10" a="1"/>
  <c r="AK3" i="10" s="1"/>
  <c r="AJ2" i="10" a="1"/>
  <c r="AJ2" i="10" s="1"/>
  <c r="AK6" i="10" a="1"/>
  <c r="AK6" i="10" s="1"/>
  <c r="AJ4" i="10" a="1"/>
  <c r="AJ4" i="10" s="1"/>
  <c r="AI3" i="10" a="1"/>
  <c r="AI3" i="10" s="1"/>
  <c r="AK7" i="10" a="1"/>
  <c r="AK7" i="10" s="1"/>
  <c r="AJ3" i="10" a="1"/>
  <c r="AJ3" i="10" s="1"/>
  <c r="AI4" i="10" a="1"/>
  <c r="AI4" i="10" s="1"/>
  <c r="AN4" i="10" s="1"/>
  <c r="AK2" i="10" a="1"/>
  <c r="AK2" i="10" s="1"/>
  <c r="AJ5" i="10" a="1"/>
  <c r="AJ5" i="10" s="1"/>
  <c r="AJ7" i="10" a="1"/>
  <c r="AJ7" i="10" s="1"/>
  <c r="AJ6" i="10" a="1"/>
  <c r="AJ6" i="10" s="1"/>
  <c r="AN6" i="10" s="1"/>
  <c r="AI2" i="10" a="1"/>
  <c r="AI2" i="10" s="1"/>
  <c r="U7" i="10" a="1"/>
  <c r="U7" i="10" s="1"/>
  <c r="V4" i="10" a="1"/>
  <c r="V4" i="10" s="1"/>
  <c r="E3" i="9" a="1"/>
  <c r="E3" i="9" s="1"/>
  <c r="D5" i="9" a="1"/>
  <c r="D5" i="9" s="1"/>
  <c r="D7" i="9" a="1"/>
  <c r="D7" i="9" s="1"/>
  <c r="F4" i="9" a="1"/>
  <c r="F4" i="9" s="1"/>
  <c r="F2" i="9" a="1"/>
  <c r="F2" i="9" s="1"/>
  <c r="E7" i="9" a="1"/>
  <c r="E7" i="9" s="1"/>
  <c r="E6" i="9" a="1"/>
  <c r="E6" i="9" s="1"/>
  <c r="F7" i="9" a="1"/>
  <c r="F7" i="9" s="1"/>
  <c r="D4" i="9" a="1"/>
  <c r="D4" i="9" s="1"/>
  <c r="E2" i="9" a="1"/>
  <c r="E2" i="9" s="1"/>
  <c r="F3" i="9" a="1"/>
  <c r="F3" i="9" s="1"/>
  <c r="E4" i="9" a="1"/>
  <c r="E4" i="9" s="1"/>
  <c r="F6" i="9" a="1"/>
  <c r="F6" i="9" s="1"/>
  <c r="D2" i="9" a="1"/>
  <c r="D2" i="9" s="1"/>
  <c r="D3" i="9" a="1"/>
  <c r="D3" i="9" s="1"/>
  <c r="F5" i="9" a="1"/>
  <c r="F5" i="9" s="1"/>
  <c r="D6" i="9" a="1"/>
  <c r="D6" i="9" s="1"/>
  <c r="E5" i="9" a="1"/>
  <c r="E5" i="9" s="1"/>
  <c r="F3" i="10" a="1"/>
  <c r="F3" i="10" s="1"/>
  <c r="G7" i="10" a="1"/>
  <c r="G7" i="10" s="1"/>
  <c r="U4" i="10" a="1"/>
  <c r="U4" i="10" s="1"/>
  <c r="G4" i="9"/>
  <c r="E5" i="10" a="1"/>
  <c r="E5" i="10" s="1"/>
  <c r="E6" i="10" a="1"/>
  <c r="E6" i="10" s="1"/>
  <c r="T5" i="10" a="1"/>
  <c r="T5" i="10" s="1"/>
  <c r="V2" i="10" a="1"/>
  <c r="V2" i="10" s="1"/>
  <c r="F5" i="10" a="1"/>
  <c r="F5" i="10" s="1"/>
  <c r="E2" i="10" a="1"/>
  <c r="E2" i="10" s="1"/>
  <c r="G4" i="10" a="1"/>
  <c r="G4" i="10" s="1"/>
  <c r="F4" i="10" a="1"/>
  <c r="F4" i="10" s="1"/>
  <c r="T7" i="10" a="1"/>
  <c r="T7" i="10" s="1"/>
  <c r="G2" i="10" a="1"/>
  <c r="G2" i="10" s="1"/>
  <c r="E7" i="10" a="1"/>
  <c r="E7" i="10" s="1"/>
  <c r="G5" i="10" a="1"/>
  <c r="G5" i="10" s="1"/>
  <c r="U2" i="10" a="1"/>
  <c r="U2" i="10" s="1"/>
  <c r="T3" i="10" a="1"/>
  <c r="T3" i="10" s="1"/>
  <c r="U5" i="10" a="1"/>
  <c r="U5" i="10" s="1"/>
  <c r="C4" i="9"/>
  <c r="H4" i="9"/>
  <c r="E4" i="10" a="1"/>
  <c r="E4" i="10" s="1"/>
  <c r="E3" i="10" a="1"/>
  <c r="E3" i="10" s="1"/>
  <c r="J3" i="10" s="1"/>
  <c r="AK5" i="10" a="1"/>
  <c r="AK5" i="10" s="1"/>
  <c r="T2" i="10" a="1"/>
  <c r="T2" i="10" s="1"/>
  <c r="T4" i="10" a="1"/>
  <c r="T4" i="10" s="1"/>
  <c r="F6" i="10" a="1"/>
  <c r="F6" i="10" s="1"/>
  <c r="F2" i="10" a="1"/>
  <c r="F2" i="10" s="1"/>
  <c r="T6" i="10" a="1"/>
  <c r="T6" i="10" s="1"/>
  <c r="V3" i="10" a="1"/>
  <c r="V3" i="10" s="1"/>
  <c r="U3" i="10" a="1"/>
  <c r="U3" i="10" s="1"/>
  <c r="G3" i="10" a="1"/>
  <c r="G3" i="10" s="1"/>
  <c r="G6" i="10" a="1"/>
  <c r="G6" i="10" s="1"/>
  <c r="R11" i="6" l="1" a="1"/>
  <c r="R11" i="6" s="1"/>
  <c r="S11" i="6" s="1"/>
  <c r="R12" i="6" a="1"/>
  <c r="R12" i="6" s="1"/>
  <c r="S12" i="6" s="1"/>
  <c r="R12" i="5" a="1"/>
  <c r="R12" i="5" s="1"/>
  <c r="S12" i="5" s="1"/>
  <c r="R2" i="5" a="1"/>
  <c r="R2" i="5" s="1"/>
  <c r="S2" i="5" s="1"/>
  <c r="R3" i="3" a="1"/>
  <c r="R3" i="3" s="1"/>
  <c r="R8" i="3" a="1"/>
  <c r="R8" i="3" s="1"/>
  <c r="X16" i="2" a="1"/>
  <c r="X16" i="2" s="1"/>
  <c r="AA16" i="2" s="1"/>
  <c r="X17" i="2" s="1" a="1"/>
  <c r="X17" i="2" s="1"/>
  <c r="AA17" i="2" s="1"/>
  <c r="AN7" i="10"/>
  <c r="AN2" i="10"/>
  <c r="L13" i="5"/>
  <c r="R4" i="5" a="1"/>
  <c r="R4" i="5" s="1"/>
  <c r="R2" i="3" a="1"/>
  <c r="R2" i="3" s="1"/>
  <c r="S2" i="3" s="1"/>
  <c r="R17" i="3" a="1"/>
  <c r="R17" i="3" s="1"/>
  <c r="Y5" i="10"/>
  <c r="R14" i="2"/>
  <c r="S14" i="2" s="1"/>
  <c r="AN3" i="10"/>
  <c r="J4" i="10"/>
  <c r="R8" i="2"/>
  <c r="S8" i="2" s="1"/>
  <c r="R10" i="2"/>
  <c r="S10" i="2" s="1"/>
  <c r="R3" i="2"/>
  <c r="S3" i="2" s="1"/>
  <c r="J6" i="10"/>
  <c r="J5" i="10"/>
  <c r="R18" i="2"/>
  <c r="S18" i="2" s="1"/>
  <c r="R9" i="2"/>
  <c r="S9" i="2" s="1"/>
  <c r="I4" i="9"/>
  <c r="R6" i="2"/>
  <c r="S6" i="2" s="1"/>
  <c r="R16" i="2"/>
  <c r="S16" i="2" s="1"/>
  <c r="R12" i="2"/>
  <c r="S12" i="2" s="1"/>
  <c r="R15" i="2"/>
  <c r="S15" i="2" s="1"/>
  <c r="R5" i="2"/>
  <c r="S5" i="2" s="1"/>
  <c r="Z6" i="10"/>
  <c r="AB6" i="10" s="1"/>
  <c r="AE6" i="10" s="1"/>
  <c r="AA6" i="10"/>
  <c r="AN5" i="10"/>
  <c r="AO5" i="10"/>
  <c r="AQ5" i="10" s="1"/>
  <c r="AT5" i="10" s="1"/>
  <c r="P16" i="6" s="1" a="1"/>
  <c r="P16" i="6" s="1"/>
  <c r="Q16" i="6" s="1"/>
  <c r="AP5" i="10"/>
  <c r="Z3" i="10"/>
  <c r="AB3" i="10" s="1"/>
  <c r="AE3" i="10" s="1"/>
  <c r="AA3" i="10"/>
  <c r="K7" i="10"/>
  <c r="M7" i="10" s="1"/>
  <c r="P7" i="10" s="1"/>
  <c r="L7" i="10"/>
  <c r="K5" i="9"/>
  <c r="I5" i="9"/>
  <c r="J5" i="9"/>
  <c r="L5" i="9" s="1"/>
  <c r="O5" i="9" s="1"/>
  <c r="P11" i="2" s="1"/>
  <c r="Q11" i="2" s="1"/>
  <c r="Y3" i="10"/>
  <c r="AO7" i="10"/>
  <c r="AQ7" i="10" s="1"/>
  <c r="AT7" i="10" s="1"/>
  <c r="P7" i="6" s="1" a="1"/>
  <c r="P7" i="6" s="1"/>
  <c r="AP7" i="10"/>
  <c r="Z4" i="10"/>
  <c r="AB4" i="10" s="1"/>
  <c r="AE4" i="10" s="1"/>
  <c r="P18" i="5" s="1" a="1"/>
  <c r="P18" i="5" s="1"/>
  <c r="Q18" i="5" s="1"/>
  <c r="AA4" i="10"/>
  <c r="Z7" i="10"/>
  <c r="AB7" i="10" s="1"/>
  <c r="AE7" i="10" s="1"/>
  <c r="AA7" i="10"/>
  <c r="K2" i="10"/>
  <c r="M2" i="10" s="1"/>
  <c r="P2" i="10" s="1"/>
  <c r="P12" i="3" s="1" a="1"/>
  <c r="P12" i="3" s="1"/>
  <c r="L2" i="10"/>
  <c r="I3" i="9"/>
  <c r="J3" i="9"/>
  <c r="L3" i="9" s="1"/>
  <c r="O3" i="9" s="1"/>
  <c r="P17" i="2" s="1"/>
  <c r="Q17" i="2" s="1"/>
  <c r="K3" i="9"/>
  <c r="I7" i="9"/>
  <c r="J7" i="9"/>
  <c r="L7" i="9" s="1"/>
  <c r="O7" i="9" s="1"/>
  <c r="P7" i="2" s="1"/>
  <c r="Q7" i="2" s="1"/>
  <c r="K7" i="9"/>
  <c r="AP3" i="10"/>
  <c r="AO3" i="10"/>
  <c r="AQ3" i="10" s="1"/>
  <c r="AT3" i="10" s="1"/>
  <c r="J2" i="9"/>
  <c r="L2" i="9" s="1"/>
  <c r="O2" i="9" s="1"/>
  <c r="I2" i="9"/>
  <c r="K2" i="9"/>
  <c r="AA2" i="10"/>
  <c r="Z2" i="10"/>
  <c r="AB2" i="10" s="1"/>
  <c r="AE2" i="10" s="1"/>
  <c r="J2" i="10"/>
  <c r="R2" i="2"/>
  <c r="S2" i="2" s="1"/>
  <c r="R4" i="2"/>
  <c r="S4" i="2" s="1"/>
  <c r="Y2" i="10"/>
  <c r="AO4" i="10"/>
  <c r="AQ4" i="10" s="1"/>
  <c r="AT4" i="10" s="1"/>
  <c r="AP4" i="10"/>
  <c r="AO6" i="10"/>
  <c r="AQ6" i="10" s="1"/>
  <c r="AT6" i="10" s="1"/>
  <c r="AP6" i="10"/>
  <c r="L3" i="10"/>
  <c r="K3" i="10"/>
  <c r="M3" i="10" s="1"/>
  <c r="P3" i="10" s="1"/>
  <c r="J7" i="10"/>
  <c r="K6" i="10"/>
  <c r="M6" i="10" s="1"/>
  <c r="P6" i="10" s="1"/>
  <c r="L6" i="10"/>
  <c r="Y4" i="10"/>
  <c r="L4" i="10"/>
  <c r="K4" i="10"/>
  <c r="M4" i="10" s="1"/>
  <c r="P4" i="10" s="1"/>
  <c r="Z5" i="10"/>
  <c r="AB5" i="10" s="1"/>
  <c r="AE5" i="10" s="1"/>
  <c r="P11" i="5" s="1" a="1"/>
  <c r="P11" i="5" s="1"/>
  <c r="Q11" i="5" s="1"/>
  <c r="AA5" i="10"/>
  <c r="Y7" i="10"/>
  <c r="L5" i="10"/>
  <c r="K5" i="10"/>
  <c r="M5" i="10" s="1"/>
  <c r="P5" i="10" s="1"/>
  <c r="J6" i="9"/>
  <c r="L6" i="9" s="1"/>
  <c r="O6" i="9" s="1"/>
  <c r="P13" i="2" s="1"/>
  <c r="Q13" i="2" s="1"/>
  <c r="I6" i="9"/>
  <c r="K6" i="9"/>
  <c r="K4" i="9"/>
  <c r="J4" i="9"/>
  <c r="L4" i="9" s="1"/>
  <c r="O4" i="9" s="1"/>
  <c r="Y6" i="10"/>
  <c r="AP2" i="10"/>
  <c r="AO2" i="10"/>
  <c r="AQ2" i="10" s="1"/>
  <c r="AT2" i="10" s="1"/>
  <c r="P2" i="6" s="1" a="1"/>
  <c r="P2" i="6" s="1"/>
  <c r="Q2" i="6" s="1"/>
  <c r="L16" i="6" l="1"/>
  <c r="T11" i="5"/>
  <c r="P12" i="6" a="1"/>
  <c r="P12" i="6" s="1"/>
  <c r="Q12" i="6" s="1"/>
  <c r="P9" i="5" a="1"/>
  <c r="P9" i="5" s="1"/>
  <c r="Q9" i="5" s="1"/>
  <c r="P2" i="5" a="1"/>
  <c r="P2" i="5" s="1"/>
  <c r="Q2" i="5" s="1"/>
  <c r="T18" i="5"/>
  <c r="X18" i="2" a="1"/>
  <c r="X18" i="2" s="1"/>
  <c r="P10" i="6" a="1"/>
  <c r="P10" i="6" s="1"/>
  <c r="Q10" i="6" s="1"/>
  <c r="P13" i="5" a="1"/>
  <c r="P13" i="5" s="1"/>
  <c r="Q13" i="5" s="1"/>
  <c r="P12" i="5" a="1"/>
  <c r="P12" i="5" s="1"/>
  <c r="Q12" i="5" s="1"/>
  <c r="P5" i="5" a="1"/>
  <c r="P5" i="5" s="1"/>
  <c r="P16" i="5" a="1"/>
  <c r="P16" i="5" s="1"/>
  <c r="Q16" i="5" s="1"/>
  <c r="P10" i="5" a="1"/>
  <c r="P10" i="5" s="1"/>
  <c r="Q10" i="5" s="1"/>
  <c r="P4" i="5" a="1"/>
  <c r="P4" i="5" s="1"/>
  <c r="P15" i="5" a="1"/>
  <c r="P15" i="5" s="1"/>
  <c r="Q15" i="5" s="1"/>
  <c r="P17" i="6" a="1"/>
  <c r="P17" i="6" s="1"/>
  <c r="Q17" i="6" s="1"/>
  <c r="P18" i="6" a="1"/>
  <c r="P18" i="6" s="1"/>
  <c r="Q18" i="6" s="1"/>
  <c r="P14" i="5" a="1"/>
  <c r="P14" i="5" s="1"/>
  <c r="Q14" i="5" s="1"/>
  <c r="P17" i="5" a="1"/>
  <c r="P17" i="5" s="1"/>
  <c r="Q17" i="5" s="1"/>
  <c r="P15" i="6" a="1"/>
  <c r="P15" i="6" s="1"/>
  <c r="Q15" i="6" s="1"/>
  <c r="P4" i="6" a="1"/>
  <c r="P4" i="6" s="1"/>
  <c r="P14" i="2"/>
  <c r="Q14" i="2" s="1"/>
  <c r="P3" i="6" a="1"/>
  <c r="P3" i="6" s="1"/>
  <c r="P14" i="6" a="1"/>
  <c r="P14" i="6" s="1"/>
  <c r="Q14" i="6" s="1"/>
  <c r="P18" i="3" a="1"/>
  <c r="P18" i="3" s="1"/>
  <c r="P11" i="6" a="1"/>
  <c r="P11" i="6" s="1"/>
  <c r="Q11" i="6" s="1"/>
  <c r="P13" i="6" a="1"/>
  <c r="P13" i="6" s="1"/>
  <c r="Q13" i="6" s="1"/>
  <c r="P3" i="5" a="1"/>
  <c r="P3" i="5" s="1"/>
  <c r="P8" i="5" a="1"/>
  <c r="P8" i="5" s="1"/>
  <c r="Q8" i="5" s="1"/>
  <c r="T8" i="5" s="1"/>
  <c r="P6" i="5" a="1"/>
  <c r="P6" i="5" s="1"/>
  <c r="P7" i="5" a="1"/>
  <c r="P7" i="5" s="1"/>
  <c r="Q7" i="5" s="1"/>
  <c r="P9" i="6" a="1"/>
  <c r="P9" i="6" s="1"/>
  <c r="P6" i="6" a="1"/>
  <c r="P6" i="6" s="1"/>
  <c r="P8" i="6" a="1"/>
  <c r="P8" i="6" s="1"/>
  <c r="P5" i="6" a="1"/>
  <c r="P5" i="6" s="1"/>
  <c r="P16" i="3" a="1"/>
  <c r="P16" i="3" s="1"/>
  <c r="P14" i="3" a="1"/>
  <c r="P14" i="3" s="1"/>
  <c r="P11" i="3" a="1"/>
  <c r="P11" i="3" s="1"/>
  <c r="P6" i="3" a="1"/>
  <c r="P6" i="3" s="1"/>
  <c r="P15" i="3" a="1"/>
  <c r="P15" i="3" s="1"/>
  <c r="P13" i="3" a="1"/>
  <c r="P13" i="3" s="1"/>
  <c r="P2" i="3" a="1"/>
  <c r="P2" i="3" s="1"/>
  <c r="Q2" i="3" s="1"/>
  <c r="P17" i="3" a="1"/>
  <c r="P17" i="3" s="1"/>
  <c r="P8" i="3" a="1"/>
  <c r="P8" i="3" s="1"/>
  <c r="P5" i="3" a="1"/>
  <c r="P5" i="3" s="1"/>
  <c r="P10" i="3" a="1"/>
  <c r="P10" i="3" s="1"/>
  <c r="P3" i="3" a="1"/>
  <c r="P3" i="3" s="1"/>
  <c r="P7" i="3" a="1"/>
  <c r="P7" i="3" s="1"/>
  <c r="P4" i="3" a="1"/>
  <c r="P4" i="3" s="1"/>
  <c r="P9" i="3" a="1"/>
  <c r="P9" i="3" s="1"/>
  <c r="P15" i="2"/>
  <c r="Q15" i="2" s="1"/>
  <c r="P10" i="2"/>
  <c r="Q10" i="2" s="1"/>
  <c r="P9" i="2"/>
  <c r="Q9" i="2" s="1"/>
  <c r="P8" i="2"/>
  <c r="Q8" i="2" s="1"/>
  <c r="P18" i="2"/>
  <c r="Q18" i="2" s="1"/>
  <c r="P6" i="2"/>
  <c r="Q6" i="2" s="1"/>
  <c r="P16" i="2"/>
  <c r="Q16" i="2" s="1"/>
  <c r="N2" i="10"/>
  <c r="O2" i="10"/>
  <c r="N12" i="3" s="1" a="1"/>
  <c r="N12" i="3" s="1"/>
  <c r="O12" i="3" s="1"/>
  <c r="AR7" i="10"/>
  <c r="AS7" i="10"/>
  <c r="N7" i="6" s="1" a="1"/>
  <c r="N7" i="6" s="1"/>
  <c r="N7" i="10"/>
  <c r="O7" i="10"/>
  <c r="S14" i="3"/>
  <c r="AC5" i="10"/>
  <c r="AD5" i="10"/>
  <c r="N11" i="5" s="1" a="1"/>
  <c r="N11" i="5" s="1"/>
  <c r="O11" i="5" s="1"/>
  <c r="L11" i="5" s="1"/>
  <c r="AR3" i="10"/>
  <c r="AS3" i="10"/>
  <c r="N7" i="9"/>
  <c r="N7" i="2" s="1"/>
  <c r="O7" i="2" s="1"/>
  <c r="L7" i="2" s="1"/>
  <c r="M7" i="9"/>
  <c r="M4" i="9"/>
  <c r="N4" i="9"/>
  <c r="P4" i="2"/>
  <c r="Q4" i="2" s="1"/>
  <c r="P2" i="2"/>
  <c r="Q2" i="2" s="1"/>
  <c r="AC2" i="10"/>
  <c r="AD2" i="10"/>
  <c r="M5" i="9"/>
  <c r="N5" i="9"/>
  <c r="N11" i="2" s="1"/>
  <c r="O11" i="2" s="1"/>
  <c r="T11" i="2" s="1"/>
  <c r="AC6" i="10"/>
  <c r="AD6" i="10"/>
  <c r="N6" i="10"/>
  <c r="O6" i="10"/>
  <c r="AR4" i="10"/>
  <c r="AS4" i="10"/>
  <c r="AR2" i="10"/>
  <c r="AS2" i="10"/>
  <c r="N2" i="6" s="1" a="1"/>
  <c r="N2" i="6" s="1"/>
  <c r="O2" i="6" s="1"/>
  <c r="N5" i="10"/>
  <c r="O5" i="10"/>
  <c r="M3" i="9"/>
  <c r="N3" i="9"/>
  <c r="N17" i="2" s="1"/>
  <c r="O17" i="2" s="1"/>
  <c r="T17" i="2" s="1"/>
  <c r="AC7" i="10"/>
  <c r="AD7" i="10"/>
  <c r="AC4" i="10"/>
  <c r="AD4" i="10"/>
  <c r="N18" i="5" s="1" a="1"/>
  <c r="N18" i="5" s="1"/>
  <c r="O18" i="5" s="1"/>
  <c r="L18" i="5" s="1"/>
  <c r="P5" i="2"/>
  <c r="Q5" i="2" s="1"/>
  <c r="P12" i="2"/>
  <c r="Q12" i="2" s="1"/>
  <c r="P3" i="2"/>
  <c r="Q3" i="2" s="1"/>
  <c r="AC3" i="10"/>
  <c r="AD3" i="10"/>
  <c r="AR6" i="10"/>
  <c r="AS6" i="10"/>
  <c r="M2" i="9"/>
  <c r="N2" i="9"/>
  <c r="S7" i="3"/>
  <c r="N4" i="10"/>
  <c r="O4" i="10"/>
  <c r="M6" i="9"/>
  <c r="N6" i="9"/>
  <c r="N3" i="10"/>
  <c r="O3" i="10"/>
  <c r="AR5" i="10"/>
  <c r="AS5" i="10"/>
  <c r="N16" i="6" s="1" a="1"/>
  <c r="N16" i="6" s="1"/>
  <c r="O16" i="6" s="1"/>
  <c r="T16" i="6" s="1"/>
  <c r="T17" i="5" l="1"/>
  <c r="N12" i="6" a="1"/>
  <c r="N12" i="6" s="1"/>
  <c r="O12" i="6" s="1"/>
  <c r="L12" i="6" s="1"/>
  <c r="N9" i="5" a="1"/>
  <c r="N9" i="5" s="1"/>
  <c r="O9" i="5" s="1"/>
  <c r="T9" i="5" s="1"/>
  <c r="N2" i="5" a="1"/>
  <c r="N2" i="5" s="1"/>
  <c r="O2" i="5" s="1"/>
  <c r="L2" i="5" s="1"/>
  <c r="L10" i="5"/>
  <c r="L17" i="2"/>
  <c r="L11" i="2"/>
  <c r="T7" i="2"/>
  <c r="N10" i="6" a="1"/>
  <c r="N10" i="6" s="1"/>
  <c r="O10" i="6" s="1"/>
  <c r="T10" i="6" s="1"/>
  <c r="N13" i="5" a="1"/>
  <c r="N13" i="5" s="1"/>
  <c r="O13" i="5" s="1"/>
  <c r="N12" i="5" a="1"/>
  <c r="N12" i="5" s="1"/>
  <c r="O12" i="5" s="1"/>
  <c r="T12" i="5" s="1"/>
  <c r="N5" i="5" a="1"/>
  <c r="N5" i="5" s="1"/>
  <c r="O5" i="5" s="1"/>
  <c r="N16" i="5" a="1"/>
  <c r="N16" i="5" s="1"/>
  <c r="O16" i="5" s="1"/>
  <c r="T16" i="5" s="1"/>
  <c r="L7" i="5"/>
  <c r="T7" i="5"/>
  <c r="N10" i="5" a="1"/>
  <c r="N10" i="5" s="1"/>
  <c r="O10" i="5" s="1"/>
  <c r="T10" i="5" s="1"/>
  <c r="N4" i="5" a="1"/>
  <c r="N4" i="5" s="1"/>
  <c r="O4" i="5" s="1"/>
  <c r="N15" i="5" a="1"/>
  <c r="N15" i="5" s="1"/>
  <c r="O15" i="5" s="1"/>
  <c r="L15" i="5" s="1"/>
  <c r="N14" i="2"/>
  <c r="O14" i="2" s="1"/>
  <c r="T14" i="2" s="1"/>
  <c r="N18" i="6" a="1"/>
  <c r="N18" i="6" s="1"/>
  <c r="O18" i="6" s="1"/>
  <c r="L18" i="6" s="1"/>
  <c r="N17" i="6" a="1"/>
  <c r="N17" i="6" s="1"/>
  <c r="O17" i="6" s="1"/>
  <c r="L17" i="6" s="1"/>
  <c r="N14" i="5" a="1"/>
  <c r="N14" i="5" s="1"/>
  <c r="O14" i="5" s="1"/>
  <c r="T14" i="5" s="1"/>
  <c r="N17" i="5" a="1"/>
  <c r="N17" i="5" s="1"/>
  <c r="O17" i="5" s="1"/>
  <c r="L17" i="5" s="1"/>
  <c r="N4" i="6" a="1"/>
  <c r="N4" i="6" s="1"/>
  <c r="O4" i="6" s="1"/>
  <c r="N15" i="6" a="1"/>
  <c r="N15" i="6" s="1"/>
  <c r="O15" i="6" s="1"/>
  <c r="T15" i="6" s="1"/>
  <c r="N13" i="2"/>
  <c r="O13" i="2" s="1"/>
  <c r="L13" i="2" s="1"/>
  <c r="T13" i="2"/>
  <c r="N3" i="6" a="1"/>
  <c r="N3" i="6" s="1"/>
  <c r="O3" i="6" s="1"/>
  <c r="N14" i="6" a="1"/>
  <c r="N14" i="6" s="1"/>
  <c r="O14" i="6" s="1"/>
  <c r="L14" i="6" s="1"/>
  <c r="N18" i="3" a="1"/>
  <c r="N18" i="3" s="1"/>
  <c r="O18" i="3" s="1"/>
  <c r="L13" i="6"/>
  <c r="T13" i="6"/>
  <c r="N11" i="6" a="1"/>
  <c r="N11" i="6" s="1"/>
  <c r="O11" i="6" s="1"/>
  <c r="L11" i="6" s="1"/>
  <c r="N13" i="6" a="1"/>
  <c r="N13" i="6" s="1"/>
  <c r="O13" i="6" s="1"/>
  <c r="N3" i="5" a="1"/>
  <c r="N3" i="5" s="1"/>
  <c r="O3" i="5" s="1"/>
  <c r="N8" i="5" a="1"/>
  <c r="N8" i="5" s="1"/>
  <c r="O8" i="5" s="1"/>
  <c r="L8" i="5" s="1"/>
  <c r="N6" i="5" a="1"/>
  <c r="N6" i="5" s="1"/>
  <c r="O6" i="5" s="1"/>
  <c r="N7" i="5" a="1"/>
  <c r="N7" i="5" s="1"/>
  <c r="O7" i="5" s="1"/>
  <c r="Q8" i="3"/>
  <c r="N5" i="6" a="1"/>
  <c r="N5" i="6" s="1"/>
  <c r="O5" i="6" s="1"/>
  <c r="N8" i="6" a="1"/>
  <c r="N8" i="6" s="1"/>
  <c r="O8" i="6" s="1"/>
  <c r="N6" i="6" a="1"/>
  <c r="N6" i="6" s="1"/>
  <c r="O6" i="6" s="1"/>
  <c r="N9" i="6" a="1"/>
  <c r="N9" i="6" s="1"/>
  <c r="O9" i="6" s="1"/>
  <c r="N4" i="3" a="1"/>
  <c r="N4" i="3" s="1"/>
  <c r="O4" i="3" s="1"/>
  <c r="N9" i="3" a="1"/>
  <c r="N9" i="3" s="1"/>
  <c r="O9" i="3" s="1"/>
  <c r="N6" i="3" a="1"/>
  <c r="N6" i="3" s="1"/>
  <c r="O6" i="3" s="1"/>
  <c r="N11" i="3" a="1"/>
  <c r="N11" i="3" s="1"/>
  <c r="O11" i="3" s="1"/>
  <c r="N14" i="3" a="1"/>
  <c r="N14" i="3" s="1"/>
  <c r="O14" i="3" s="1"/>
  <c r="N16" i="3" a="1"/>
  <c r="N16" i="3" s="1"/>
  <c r="O16" i="3" s="1"/>
  <c r="N15" i="3" a="1"/>
  <c r="N15" i="3" s="1"/>
  <c r="O15" i="3" s="1"/>
  <c r="N13" i="3" a="1"/>
  <c r="N13" i="3" s="1"/>
  <c r="O13" i="3" s="1"/>
  <c r="N10" i="3" a="1"/>
  <c r="N10" i="3" s="1"/>
  <c r="O10" i="3" s="1"/>
  <c r="N8" i="3" a="1"/>
  <c r="N8" i="3" s="1"/>
  <c r="O8" i="3" s="1"/>
  <c r="N5" i="3" a="1"/>
  <c r="N5" i="3" s="1"/>
  <c r="O5" i="3" s="1"/>
  <c r="N2" i="3" a="1"/>
  <c r="N2" i="3" s="1"/>
  <c r="O2" i="3" s="1"/>
  <c r="T2" i="3" s="1"/>
  <c r="N17" i="3" a="1"/>
  <c r="N17" i="3" s="1"/>
  <c r="O17" i="3" s="1"/>
  <c r="N3" i="3" a="1"/>
  <c r="N3" i="3" s="1"/>
  <c r="O3" i="3" s="1"/>
  <c r="N7" i="3" a="1"/>
  <c r="N7" i="3" s="1"/>
  <c r="O7" i="3" s="1"/>
  <c r="S9" i="6"/>
  <c r="Q9" i="6"/>
  <c r="S8" i="6"/>
  <c r="Q8" i="6"/>
  <c r="S16" i="3"/>
  <c r="Q18" i="3"/>
  <c r="Q16" i="3"/>
  <c r="S12" i="3"/>
  <c r="S7" i="6"/>
  <c r="Q7" i="6"/>
  <c r="O7" i="6"/>
  <c r="Q15" i="3"/>
  <c r="S18" i="3"/>
  <c r="T18" i="3" s="1"/>
  <c r="S10" i="3"/>
  <c r="Q12" i="3"/>
  <c r="Q13" i="3"/>
  <c r="S15" i="3"/>
  <c r="T15" i="3" s="1"/>
  <c r="S17" i="3"/>
  <c r="T17" i="3" s="1"/>
  <c r="Q9" i="3"/>
  <c r="Q11" i="3"/>
  <c r="S8" i="3"/>
  <c r="S11" i="3"/>
  <c r="Q10" i="3"/>
  <c r="S9" i="3"/>
  <c r="S13" i="3"/>
  <c r="Q14" i="3"/>
  <c r="Q17" i="3"/>
  <c r="Q7" i="3"/>
  <c r="Q3" i="3"/>
  <c r="S6" i="5"/>
  <c r="N15" i="2"/>
  <c r="O15" i="2" s="1"/>
  <c r="L15" i="2" s="1"/>
  <c r="Q5" i="6"/>
  <c r="S5" i="6"/>
  <c r="Q5" i="5"/>
  <c r="S4" i="6"/>
  <c r="S5" i="3"/>
  <c r="S3" i="5"/>
  <c r="N10" i="2"/>
  <c r="O10" i="2" s="1"/>
  <c r="T10" i="2" s="1"/>
  <c r="N9" i="2"/>
  <c r="O9" i="2" s="1"/>
  <c r="L9" i="2" s="1"/>
  <c r="N8" i="2"/>
  <c r="O8" i="2" s="1"/>
  <c r="T8" i="2" s="1"/>
  <c r="N18" i="2"/>
  <c r="O18" i="2" s="1"/>
  <c r="T18" i="2" s="1"/>
  <c r="N6" i="2"/>
  <c r="O6" i="2" s="1"/>
  <c r="N16" i="2"/>
  <c r="O16" i="2" s="1"/>
  <c r="Q4" i="6"/>
  <c r="Q4" i="3"/>
  <c r="Q4" i="5"/>
  <c r="Q3" i="6"/>
  <c r="S3" i="3"/>
  <c r="N5" i="2"/>
  <c r="O5" i="2" s="1"/>
  <c r="L5" i="2" s="1"/>
  <c r="N12" i="2"/>
  <c r="O12" i="2" s="1"/>
  <c r="L12" i="2" s="1"/>
  <c r="N3" i="2"/>
  <c r="O3" i="2" s="1"/>
  <c r="Q3" i="5"/>
  <c r="S4" i="5"/>
  <c r="N2" i="2"/>
  <c r="O2" i="2" s="1"/>
  <c r="L2" i="2" s="1"/>
  <c r="N4" i="2"/>
  <c r="O4" i="2" s="1"/>
  <c r="S3" i="6"/>
  <c r="S6" i="3"/>
  <c r="Q6" i="3"/>
  <c r="Q6" i="5"/>
  <c r="Q6" i="6"/>
  <c r="S6" i="6"/>
  <c r="S5" i="5"/>
  <c r="Q5" i="3"/>
  <c r="S4" i="3"/>
  <c r="L10" i="6" l="1"/>
  <c r="T12" i="6"/>
  <c r="T11" i="6"/>
  <c r="T17" i="6"/>
  <c r="T15" i="5"/>
  <c r="L9" i="5"/>
  <c r="T3" i="5"/>
  <c r="T2" i="5"/>
  <c r="T11" i="3"/>
  <c r="T16" i="3"/>
  <c r="T12" i="3"/>
  <c r="L15" i="6"/>
  <c r="L12" i="5"/>
  <c r="T10" i="3"/>
  <c r="T8" i="3"/>
  <c r="T5" i="3"/>
  <c r="L2" i="3"/>
  <c r="L4" i="6"/>
  <c r="T18" i="6"/>
  <c r="L16" i="5"/>
  <c r="L14" i="2"/>
  <c r="L14" i="5"/>
  <c r="T14" i="6"/>
  <c r="L8" i="6"/>
  <c r="T6" i="5"/>
  <c r="T9" i="6"/>
  <c r="L9" i="6"/>
  <c r="L16" i="3"/>
  <c r="T8" i="6"/>
  <c r="L12" i="3"/>
  <c r="L18" i="3"/>
  <c r="L17" i="3"/>
  <c r="T7" i="6"/>
  <c r="L7" i="6"/>
  <c r="T5" i="6"/>
  <c r="L10" i="3"/>
  <c r="L8" i="3"/>
  <c r="L11" i="3"/>
  <c r="L15" i="3"/>
  <c r="T9" i="3"/>
  <c r="L9" i="3"/>
  <c r="L14" i="3"/>
  <c r="T14" i="3"/>
  <c r="T13" i="3"/>
  <c r="L13" i="3"/>
  <c r="L7" i="3"/>
  <c r="T7" i="3"/>
  <c r="L3" i="5"/>
  <c r="T4" i="6"/>
  <c r="L6" i="5"/>
  <c r="T2" i="2"/>
  <c r="L5" i="6"/>
  <c r="T9" i="2"/>
  <c r="T15" i="2"/>
  <c r="T16" i="2"/>
  <c r="L16" i="2"/>
  <c r="L5" i="3"/>
  <c r="L18" i="2"/>
  <c r="L10" i="2"/>
  <c r="L8" i="2"/>
  <c r="T12" i="2"/>
  <c r="T6" i="2"/>
  <c r="L6" i="2"/>
  <c r="T5" i="2"/>
  <c r="T5" i="5"/>
  <c r="L5" i="5"/>
  <c r="L4" i="2"/>
  <c r="T4" i="2"/>
  <c r="T6" i="3"/>
  <c r="L6" i="3"/>
  <c r="T3" i="2"/>
  <c r="L3" i="2"/>
  <c r="T6" i="6"/>
  <c r="L6" i="6"/>
  <c r="T3" i="6"/>
  <c r="L3" i="6"/>
  <c r="T4" i="5"/>
  <c r="L4" i="5"/>
  <c r="T3" i="3"/>
  <c r="L3" i="3"/>
  <c r="T4" i="3"/>
  <c r="L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D1" authorId="0" shapeId="0" xr:uid="{82CF82E6-7F1E-42D8-AEB1-DCC03A980DB0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disponibilidade ficou igual ou abaixo disso</t>
        </r>
      </text>
    </comment>
    <comment ref="E1" authorId="0" shapeId="0" xr:uid="{3C460232-52D9-4E3C-8881-C2A3621AD49A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disponibilidade ficou igual ou abaixo disso</t>
        </r>
      </text>
    </comment>
    <comment ref="F1" authorId="0" shapeId="0" xr:uid="{5142E313-1A27-40E7-AD52-BA786F6291FA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90% dos registros, a disponibilidade ficou igual ou abaixo disso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E1" authorId="0" shapeId="0" xr:uid="{FE62C108-C31D-4E0F-B656-A18211D43485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disponibilidade ficou igual ou abaixo disso</t>
        </r>
      </text>
    </comment>
    <comment ref="F1" authorId="0" shapeId="0" xr:uid="{CC1F9296-9682-4758-93B5-4CD4A72C57F8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disponibilidade ficou igual ou abaixo disso</t>
        </r>
      </text>
    </comment>
    <comment ref="G1" authorId="0" shapeId="0" xr:uid="{16860692-C5AE-4264-AF39-F8E37CBD3E6B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90% dos registros, a disponibilidade ficou igual ou abaixo disso</t>
        </r>
      </text>
    </comment>
    <comment ref="T1" authorId="0" shapeId="0" xr:uid="{5AC710C2-06C1-4903-9BC4-792EDD6068B7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disponibilidade ficou igual ou abaixo disso</t>
        </r>
      </text>
    </comment>
    <comment ref="U1" authorId="0" shapeId="0" xr:uid="{408B3F53-8245-46F4-84B0-81AC4335397B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disponibilidade ficou igual ou abaixo disso</t>
        </r>
      </text>
    </comment>
    <comment ref="V1" authorId="0" shapeId="0" xr:uid="{D5840F70-7AA2-4EA9-BA04-A5CECBDD8E7C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90% dos registros, a disponibilidade ficou igual ou abaixo disso</t>
        </r>
      </text>
    </comment>
    <comment ref="AI1" authorId="0" shapeId="0" xr:uid="{31BE296B-2937-487F-816A-6AB670E17109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disponibilidade ficou igual ou abaixo disso</t>
        </r>
      </text>
    </comment>
    <comment ref="AJ1" authorId="0" shapeId="0" xr:uid="{A0EC59EE-3ECC-47A9-875D-4B927677129D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disponibilidade ficou igual ou abaixo disso</t>
        </r>
      </text>
    </comment>
    <comment ref="AK1" authorId="0" shapeId="0" xr:uid="{2DCEB1DB-4E3D-49CE-ABC8-C81E2C0B4DE2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90% dos registros, a disponibilidade ficou igual ou abaixo disso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<sst xmlns="http://schemas.openxmlformats.org/spreadsheetml/2006/main" count="417" uniqueCount="63">
  <si>
    <t>EQUIPAMENTO DIGITADO</t>
  </si>
  <si>
    <t>EQUIPAMENTO</t>
  </si>
  <si>
    <t>CONTRATO</t>
  </si>
  <si>
    <t>TIPO</t>
  </si>
  <si>
    <t>-</t>
  </si>
  <si>
    <t>CORTE</t>
  </si>
  <si>
    <t>ARRASTE</t>
  </si>
  <si>
    <t>TRAÇAMENTO</t>
  </si>
  <si>
    <t>ANO</t>
  </si>
  <si>
    <t>MÊS</t>
  </si>
  <si>
    <t>DATA</t>
  </si>
  <si>
    <t>TIPO DE EQUIPAMENTO</t>
  </si>
  <si>
    <t>HORÍMETRO ANTERIOR</t>
  </si>
  <si>
    <t>HORÍMETRO ABASTECIMENTO</t>
  </si>
  <si>
    <t>CONSUMO</t>
  </si>
  <si>
    <t>HORAS RODADAS</t>
  </si>
  <si>
    <t>MÉDIA</t>
  </si>
  <si>
    <t>META BASE</t>
  </si>
  <si>
    <t>META DESAFIO</t>
  </si>
  <si>
    <t>TETO META</t>
  </si>
  <si>
    <t>STATUS META</t>
  </si>
  <si>
    <t>COMBOIO</t>
  </si>
  <si>
    <t>ENTRADA</t>
  </si>
  <si>
    <t>VALOR ENTRADA</t>
  </si>
  <si>
    <t>SALDO ANTERIOR</t>
  </si>
  <si>
    <t>ENCERRANTE ANTERIOR</t>
  </si>
  <si>
    <t>ENCERRANTE ABASTECIMENTO</t>
  </si>
  <si>
    <t>SALDO</t>
  </si>
  <si>
    <t>OBS</t>
  </si>
  <si>
    <t>MÁQUINAS</t>
  </si>
  <si>
    <t>PERCENTIL 50</t>
  </si>
  <si>
    <t>PERCENTIL 75</t>
  </si>
  <si>
    <t>PERCENTIL 90</t>
  </si>
  <si>
    <t>QUANTIDADE DE REGISTROS</t>
  </si>
  <si>
    <t>STATUS</t>
  </si>
  <si>
    <t>FATOR</t>
  </si>
  <si>
    <t>FATOR DESAFIO</t>
  </si>
  <si>
    <t>FATOR REDUÇÃO</t>
  </si>
  <si>
    <t>FATOR REDUÇÃO DESAFIO</t>
  </si>
  <si>
    <t>MÉDIA CONSUMO REAL</t>
  </si>
  <si>
    <t>TETO DE CONSUMO</t>
  </si>
  <si>
    <t>LITROS POR HORA</t>
  </si>
  <si>
    <t>META BASE POR HORA</t>
  </si>
  <si>
    <t>META DESAFIO POR HORA</t>
  </si>
  <si>
    <t>TETO META POR HORA</t>
  </si>
  <si>
    <t>STATUS MÉDIA</t>
  </si>
  <si>
    <t>GRAXA</t>
  </si>
  <si>
    <t>15W40</t>
  </si>
  <si>
    <t>HIDRÁULICO 68</t>
  </si>
  <si>
    <t>KG POR HORA</t>
  </si>
  <si>
    <t>FELLER1</t>
  </si>
  <si>
    <t>FELLER BUNCHER 1</t>
  </si>
  <si>
    <t>FELLER2</t>
  </si>
  <si>
    <t>FELLER BUNCHER 2</t>
  </si>
  <si>
    <t>SKIDDER1</t>
  </si>
  <si>
    <t>SKIDDER 1</t>
  </si>
  <si>
    <t>SKIDDER2</t>
  </si>
  <si>
    <t>SKIDDER 2</t>
  </si>
  <si>
    <t>GARRA1</t>
  </si>
  <si>
    <t>GARRA TRAÇADORA 1</t>
  </si>
  <si>
    <t>GARRA2</t>
  </si>
  <si>
    <t>GARRA TRAÇADORA 2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</si>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</sst>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m\-yy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 applyNumberFormat="0"/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</cellXfs>
  <cellStyles count="3">
    <cellStyle name="Normal" xfId="0" builtinId="0"/>
    <cellStyle name="Normal 2 2 56" xfId="2" xr:uid="{27536BFF-0C83-42A9-BB9C-FEE93DAAF44C}"/>
    <cellStyle name="Normal 2 64" xfId="1" xr:uid="{EE6B86AC-D879-4630-A79C-4A6A3F7BBB81}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E20C-82FA-497D-800B-90616B572AF9}">
  <dimension ref="A1:AB18"/>
  <sheetViews>
    <sheetView tabSelected="1" zoomScale="85" zoomScaleNormal="85" workbookViewId="0">
      <pane ySplit="1" topLeftCell="A2" activePane="bottomLeft" state="frozen"/>
      <selection pane="bottomLeft" activeCell="F11" sqref="F11"/>
    </sheetView>
  </sheetViews>
  <sheetFormatPr defaultColWidth="8.88671875" defaultRowHeight="14.4" x14ac:dyDescent="0.3"/>
  <cols>
    <col min="1" max="1" width="8.88671875" style="4"/>
    <col min="2" max="2" width="13" style="8" customWidth="1"/>
    <col min="3" max="3" width="14.6640625" style="5" customWidth="1"/>
    <col min="4" max="4" width="20.44140625" style="3" customWidth="1"/>
    <col min="5" max="5" width="19.88671875" style="4" customWidth="1"/>
    <col min="6" max="6" width="21.109375" style="4" bestFit="1" customWidth="1"/>
    <col min="7" max="7" width="16" style="10" customWidth="1"/>
    <col min="8" max="8" width="17.109375" style="11" customWidth="1"/>
    <col min="9" max="10" width="13.33203125" style="10" customWidth="1"/>
    <col min="11" max="11" width="8.88671875" style="10"/>
    <col min="12" max="12" width="16.44140625" style="4" customWidth="1"/>
    <col min="13" max="13" width="12.6640625" style="10" customWidth="1"/>
    <col min="14" max="14" width="8.88671875" style="10" customWidth="1"/>
    <col min="15" max="15" width="13.6640625" style="10" customWidth="1"/>
    <col min="16" max="16" width="10.33203125" style="10" customWidth="1"/>
    <col min="17" max="17" width="13.6640625" style="10" customWidth="1"/>
    <col min="18" max="18" width="8.88671875" style="10"/>
    <col min="19" max="19" width="12.33203125" style="10" customWidth="1"/>
    <col min="20" max="20" width="16.44140625" style="4" customWidth="1"/>
    <col min="21" max="21" width="11.88671875" style="3" customWidth="1"/>
    <col min="22" max="22" width="10.6640625" style="3" customWidth="1"/>
    <col min="23" max="23" width="10.88671875" style="3" customWidth="1"/>
    <col min="24" max="24" width="13.6640625" style="10" customWidth="1"/>
    <col min="25" max="25" width="18.88671875" style="4" customWidth="1"/>
    <col min="26" max="26" width="18.88671875" style="3" customWidth="1"/>
    <col min="27" max="27" width="11.109375" style="4" customWidth="1"/>
    <col min="28" max="28" width="29.88671875" style="19" bestFit="1" customWidth="1"/>
    <col min="29" max="16384" width="8.88671875" style="3"/>
  </cols>
  <sheetData>
    <row r="1" spans="1:28" s="1" customFormat="1" ht="36" customHeight="1" x14ac:dyDescent="0.3">
      <c r="A1" s="1" t="s">
        <v>8</v>
      </c>
      <c r="B1" s="7" t="s">
        <v>9</v>
      </c>
      <c r="C1" s="6" t="s">
        <v>10</v>
      </c>
      <c r="D1" s="1" t="s">
        <v>0</v>
      </c>
      <c r="E1" s="1" t="s">
        <v>1</v>
      </c>
      <c r="F1" s="1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45</v>
      </c>
      <c r="M1" s="9" t="s">
        <v>41</v>
      </c>
      <c r="N1" s="9" t="s">
        <v>17</v>
      </c>
      <c r="O1" s="9" t="s">
        <v>42</v>
      </c>
      <c r="P1" s="9" t="s">
        <v>18</v>
      </c>
      <c r="Q1" s="9" t="s">
        <v>43</v>
      </c>
      <c r="R1" s="9" t="s">
        <v>19</v>
      </c>
      <c r="S1" s="9" t="s">
        <v>44</v>
      </c>
      <c r="T1" s="9" t="s">
        <v>20</v>
      </c>
      <c r="U1" s="1" t="s">
        <v>21</v>
      </c>
      <c r="V1" s="1" t="s">
        <v>22</v>
      </c>
      <c r="W1" s="1" t="s">
        <v>23</v>
      </c>
      <c r="X1" s="9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4">
        <f>IFERROR(YEAR(C2),"-")</f>
        <v>2026</v>
      </c>
      <c r="B2" s="8">
        <f>IFERROR(DATE(YEAR(C2),MONTH(C2),MONTH(C2)),"-")</f>
        <v>46023</v>
      </c>
      <c r="C2" s="5">
        <v>46023</v>
      </c>
      <c r="D2" s="20" t="s">
        <v>50</v>
      </c>
      <c r="E2" s="4" t="str">
        <f>IFERROR(VLOOKUP(D2,Cadastros!A:B,2,FALSE),"-")</f>
        <v>FELLER BUNCHER 1</v>
      </c>
      <c r="F2" s="4" t="str">
        <f>IFERROR(VLOOKUP(E2,Cadastros!B:D,3,FALSE),"-")</f>
        <v>CORTE</v>
      </c>
      <c r="G2" s="28">
        <v>1000</v>
      </c>
      <c r="H2" s="11">
        <v>1012</v>
      </c>
      <c r="I2" s="10">
        <f t="shared" ref="I2:I4" si="0">IFERROR(IF(Z2-Y2&lt;0,"-",Z2-Y2),"-")</f>
        <v>100</v>
      </c>
      <c r="J2" s="14">
        <f>IFERROR(IF(H2-G2&lt;0,"-",H2-G2),"-")</f>
        <v>12</v>
      </c>
      <c r="K2" s="14">
        <f t="shared" ref="K2:K18" ca="1" si="1">IFERROR(IF(C2&gt;=TODAY(),"",SUMIFS(I:I,E:E,E2,C:C,C2,B:B,B2)/SUMIFS(J:J,E:E,E2,C:C,C2,B:B,B2)),0)</f>
        <v>8.3333333333333339</v>
      </c>
      <c r="L2" s="4" t="str">
        <f ca="1">IFERROR(IF(K2&lt;=S2,"EXCELENTE",IF(K2&lt;=Q2,"BOM",IF(K2&lt;=O2,"ATENÇÃO",IF(K2&gt;O2,"CRÍTICO","-")))),"-")</f>
        <v>EXCELENTE</v>
      </c>
      <c r="M2" s="14">
        <f>IFERROR(I2/J2,"-")</f>
        <v>8.3333333333333339</v>
      </c>
      <c r="N2" s="10">
        <f>IFERROR(INDEX('Metas Diesel'!N:N,MATCH(Diesel!E2,'Metas Diesel'!A:A,0)),"-")</f>
        <v>235.66666666666663</v>
      </c>
      <c r="O2" s="10">
        <f>IFERROR(N2/J2,"-")</f>
        <v>19.638888888888886</v>
      </c>
      <c r="P2" s="10">
        <f>IFERROR(INDEX('Metas Diesel'!O:O,MATCH(Diesel!E2,'Metas Diesel'!A:A,0)),"-")</f>
        <v>226.54490106544907</v>
      </c>
      <c r="Q2" s="10">
        <f>IFERROR(P2/J2,"-")</f>
        <v>18.87874175545409</v>
      </c>
      <c r="R2" s="10">
        <f>IFERROR(INDEX('Metas Diesel'!P:P,MATCH(Diesel!E2,'Metas Diesel'!A:A,0)),"-")</f>
        <v>100</v>
      </c>
      <c r="S2" s="10">
        <f>IFERROR(R2/J2,"-")</f>
        <v>8.3333333333333339</v>
      </c>
      <c r="T2" s="4" t="str">
        <f>IFERROR(IF(M2&lt;=S2,"EXCELENTE",IF(M2&lt;=Q2,"BOM",IF(M2&lt;=O2,"ATENÇÃO",IF(M2&gt;O2,"CRÍTICO","-")))),"-")</f>
        <v>EXCELENTE</v>
      </c>
      <c r="U2" s="3" t="s">
        <v>62</v>
      </c>
      <c r="X2" s="17">
        <v>5000</v>
      </c>
      <c r="Y2" s="18">
        <v>0</v>
      </c>
      <c r="Z2" s="3">
        <v>100</v>
      </c>
      <c r="AA2" s="10">
        <f>IFERROR(X2-I2,"-")</f>
        <v>4900</v>
      </c>
    </row>
    <row r="3" spans="1:28" x14ac:dyDescent="0.3">
      <c r="A3" s="4">
        <f t="shared" ref="A3:A6" si="2">IFERROR(YEAR(C3),"-")</f>
        <v>2026</v>
      </c>
      <c r="B3" s="8">
        <f t="shared" ref="B3:B6" si="3">IFERROR(DATE(YEAR(C3),MONTH(C3),MONTH(C3)),"-")</f>
        <v>46023</v>
      </c>
      <c r="C3" s="5">
        <v>46023</v>
      </c>
      <c r="D3" s="20" t="s">
        <v>52</v>
      </c>
      <c r="E3" s="4" t="str">
        <f>IFERROR(VLOOKUP(D3,Cadastros!A:B,2,FALSE),"-")</f>
        <v>FELLER BUNCHER 2</v>
      </c>
      <c r="F3" s="4" t="str">
        <f>IFERROR(VLOOKUP(E3,Cadastros!B:D,3,FALSE),"-")</f>
        <v>CORTE</v>
      </c>
      <c r="G3" s="28">
        <v>2000</v>
      </c>
      <c r="H3" s="11">
        <v>2008</v>
      </c>
      <c r="I3" s="10">
        <f t="shared" si="0"/>
        <v>150</v>
      </c>
      <c r="J3" s="14">
        <f t="shared" ref="J3:J6" si="4">IFERROR(IF(H3-G3&lt;0,"-",H3-G3),"-")</f>
        <v>8</v>
      </c>
      <c r="K3" s="14">
        <f t="shared" ca="1" si="1"/>
        <v>18.75</v>
      </c>
      <c r="L3" s="4" t="str">
        <f t="shared" ref="L3:L6" ca="1" si="5">IFERROR(IF(K3&lt;=S3,"EXCELENTE",IF(K3&lt;=Q3,"BOM",IF(K3&lt;=O3,"ATENÇÃO",IF(K3&gt;O3,"CRÍTICO","-")))),"-")</f>
        <v>EXCELENTE</v>
      </c>
      <c r="M3" s="14">
        <f t="shared" ref="M3:M6" si="6">IFERROR(I3/J3,"-")</f>
        <v>18.75</v>
      </c>
      <c r="N3" s="10">
        <f>IFERROR(INDEX('Metas Diesel'!N:N,MATCH(Diesel!E3,'Metas Diesel'!A:A,0)),"-")</f>
        <v>215.16666666666666</v>
      </c>
      <c r="O3" s="10">
        <f t="shared" ref="O3:O6" si="7">IFERROR(N3/J3,"-")</f>
        <v>26.895833333333332</v>
      </c>
      <c r="P3" s="10">
        <f>IFERROR(INDEX('Metas Diesel'!O:O,MATCH(Diesel!E3,'Metas Diesel'!A:A,0)),"-")</f>
        <v>198.7579617834395</v>
      </c>
      <c r="Q3" s="10">
        <f t="shared" ref="Q3:Q6" si="8">IFERROR(P3/J3,"-")</f>
        <v>24.844745222929937</v>
      </c>
      <c r="R3" s="10">
        <f>IFERROR(INDEX('Metas Diesel'!P:P,MATCH(Diesel!E3,'Metas Diesel'!A:A,0)),"-")</f>
        <v>150</v>
      </c>
      <c r="S3" s="10">
        <f t="shared" ref="S3:S6" si="9">IFERROR(R3/J3,"-")</f>
        <v>18.75</v>
      </c>
      <c r="T3" s="4" t="str">
        <f t="shared" ref="T3:T6" si="10">IFERROR(IF(M3&lt;=S3,"EXCELENTE",IF(M3&lt;=Q3,"BOM",IF(M3&lt;=O3,"ATENÇÃO",IF(M3&gt;O3,"CRÍTICO","-")))),"-")</f>
        <v>EXCELENTE</v>
      </c>
      <c r="U3" s="3" t="s">
        <v>62</v>
      </c>
      <c r="X3" s="10" cm="1">
        <f t="array" ref="X3">IFERROR(W3+IF(C3&lt;C2,LARGE(LOOKUP(U3,$U$1:$U2,$AA$1:$AA2),1),LOOKUP(2,1/($U$1:$U2=U3),($AA$1:$AA2))),"-")</f>
        <v>4900</v>
      </c>
      <c r="Y3" s="4" cm="1">
        <f t="array" ref="Y3">IFERROR(IF(C3&lt;C2,LARGE(LOOKUP(U3,$U$1:$U2,$Z$1:$Z2),1),LOOKUP(2,1/($U$1:$U2=U3),($Z$1:$Z2))),"-")</f>
        <v>100</v>
      </c>
      <c r="Z3" s="3">
        <v>250</v>
      </c>
      <c r="AA3" s="10">
        <f t="shared" ref="AA3:AA6" si="11">IFERROR(X3-I3,"-")</f>
        <v>4750</v>
      </c>
    </row>
    <row r="4" spans="1:28" x14ac:dyDescent="0.3">
      <c r="A4" s="4">
        <f t="shared" si="2"/>
        <v>2026</v>
      </c>
      <c r="B4" s="8">
        <f t="shared" si="3"/>
        <v>46023</v>
      </c>
      <c r="C4" s="5">
        <v>46023</v>
      </c>
      <c r="D4" s="20" t="s">
        <v>54</v>
      </c>
      <c r="E4" s="4" t="str">
        <f>IFERROR(VLOOKUP(D4,Cadastros!A:B,2,FALSE),"-")</f>
        <v>SKIDDER 1</v>
      </c>
      <c r="F4" s="4" t="str">
        <f>IFERROR(VLOOKUP(E4,Cadastros!B:D,3,FALSE),"-")</f>
        <v>ARRASTE</v>
      </c>
      <c r="G4" s="28">
        <v>1200</v>
      </c>
      <c r="H4" s="11">
        <v>1215</v>
      </c>
      <c r="I4" s="10">
        <f t="shared" si="0"/>
        <v>370</v>
      </c>
      <c r="J4" s="14">
        <f t="shared" si="4"/>
        <v>15</v>
      </c>
      <c r="K4" s="14">
        <f t="shared" ca="1" si="1"/>
        <v>24.666666666666668</v>
      </c>
      <c r="L4" s="4" t="str">
        <f t="shared" ca="1" si="5"/>
        <v>BOM</v>
      </c>
      <c r="M4" s="14">
        <f t="shared" si="6"/>
        <v>24.666666666666668</v>
      </c>
      <c r="N4" s="10">
        <f>IFERROR(INDEX('Metas Diesel'!N:N,MATCH(Diesel!E4,'Metas Diesel'!A:A,0)),"-")</f>
        <v>426.33333333333331</v>
      </c>
      <c r="O4" s="10">
        <f t="shared" si="7"/>
        <v>28.422222222222221</v>
      </c>
      <c r="P4" s="10">
        <f>IFERROR(INDEX('Metas Diesel'!O:O,MATCH(Diesel!E4,'Metas Diesel'!A:A,0)),"-")</f>
        <v>377.88819875776397</v>
      </c>
      <c r="Q4" s="10">
        <f t="shared" si="8"/>
        <v>25.19254658385093</v>
      </c>
      <c r="R4" s="10">
        <f>IFERROR(INDEX('Metas Diesel'!P:P,MATCH(Diesel!E4,'Metas Diesel'!A:A,0)),"-")</f>
        <v>300</v>
      </c>
      <c r="S4" s="10">
        <f t="shared" si="9"/>
        <v>20</v>
      </c>
      <c r="T4" s="4" t="str">
        <f t="shared" si="10"/>
        <v>BOM</v>
      </c>
      <c r="U4" s="3" t="s">
        <v>62</v>
      </c>
      <c r="X4" s="10" cm="1">
        <f t="array" ref="X4">IFERROR(W4+IF(C4&lt;C3,LARGE(LOOKUP(U4,$U$1:$U3,$AA$1:$AA3),1),LOOKUP(2,1/($U$1:$U3=U4),($AA$1:$AA3))),"-")</f>
        <v>4750</v>
      </c>
      <c r="Y4" s="4" cm="1">
        <f t="array" ref="Y4">IFERROR(IF(C4&lt;C3,LARGE(LOOKUP(U4,$U$1:$U3,$Z$1:$Z3),1),LOOKUP(2,1/($U$1:$U3=U4),($Z$1:$Z3))),"-")</f>
        <v>250</v>
      </c>
      <c r="Z4" s="3">
        <v>620</v>
      </c>
      <c r="AA4" s="10">
        <f t="shared" si="11"/>
        <v>4380</v>
      </c>
    </row>
    <row r="5" spans="1:28" x14ac:dyDescent="0.3">
      <c r="A5" s="4">
        <f t="shared" si="2"/>
        <v>2026</v>
      </c>
      <c r="B5" s="8">
        <f t="shared" si="3"/>
        <v>46023</v>
      </c>
      <c r="C5" s="5">
        <v>46023</v>
      </c>
      <c r="D5" s="20" t="s">
        <v>56</v>
      </c>
      <c r="E5" s="4" t="str">
        <f>IFERROR(VLOOKUP(D5,Cadastros!A:B,2,FALSE),"-")</f>
        <v>SKIDDER 2</v>
      </c>
      <c r="F5" s="4" t="str">
        <f>IFERROR(VLOOKUP(E5,Cadastros!B:D,3,FALSE),"-")</f>
        <v>ARRASTE</v>
      </c>
      <c r="G5" s="28">
        <v>2100</v>
      </c>
      <c r="H5" s="11">
        <v>2106</v>
      </c>
      <c r="I5" s="10">
        <f>IFERROR(IF(Z5-Y5&lt;0,"-",Z5-Y5),"-")</f>
        <v>330</v>
      </c>
      <c r="J5" s="14">
        <f t="shared" si="4"/>
        <v>6</v>
      </c>
      <c r="K5" s="14">
        <f t="shared" ca="1" si="1"/>
        <v>55</v>
      </c>
      <c r="L5" s="4" t="str">
        <f t="shared" ca="1" si="5"/>
        <v>CRÍTICO</v>
      </c>
      <c r="M5" s="14">
        <f t="shared" si="6"/>
        <v>55</v>
      </c>
      <c r="N5" s="10">
        <f>IFERROR(INDEX('Metas Diesel'!N:N,MATCH(Diesel!E5,'Metas Diesel'!A:A,0)),"-")</f>
        <v>237.83333333333334</v>
      </c>
      <c r="O5" s="10">
        <f t="shared" si="7"/>
        <v>39.638888888888893</v>
      </c>
      <c r="P5" s="10">
        <f>IFERROR(INDEX('Metas Diesel'!O:O,MATCH(Diesel!E5,'Metas Diesel'!A:A,0)),"-")</f>
        <v>194.11242603550295</v>
      </c>
      <c r="Q5" s="10">
        <f t="shared" si="8"/>
        <v>32.352071005917161</v>
      </c>
      <c r="R5" s="10">
        <f>IFERROR(INDEX('Metas Diesel'!P:P,MATCH(Diesel!E5,'Metas Diesel'!A:A,0)),"-")</f>
        <v>100</v>
      </c>
      <c r="S5" s="10">
        <f t="shared" si="9"/>
        <v>16.666666666666668</v>
      </c>
      <c r="T5" s="4" t="str">
        <f t="shared" si="10"/>
        <v>CRÍTICO</v>
      </c>
      <c r="U5" s="20" t="s">
        <v>62</v>
      </c>
      <c r="X5" s="10" cm="1">
        <f t="array" ref="X5">IFERROR(W5+IF(C5&lt;C4,LARGE(LOOKUP(U5,$U$1:$U4,$AA$1:$AA4),1),LOOKUP(2,1/($U$1:$U4=U5),($AA$1:$AA4))),"-")</f>
        <v>4380</v>
      </c>
      <c r="Y5" s="4" cm="1">
        <f t="array" ref="Y5">IFERROR(IF(C5&lt;C4,LARGE(LOOKUP(U5,$U$1:$U4,$Z$1:$Z4),1),LOOKUP(2,1/($U$1:$U4=U5),($Z$1:$Z4))),"-")</f>
        <v>620</v>
      </c>
      <c r="Z5" s="3">
        <v>950</v>
      </c>
      <c r="AA5" s="10">
        <f t="shared" si="11"/>
        <v>4050</v>
      </c>
    </row>
    <row r="6" spans="1:28" x14ac:dyDescent="0.3">
      <c r="A6" s="4">
        <f t="shared" si="2"/>
        <v>2026</v>
      </c>
      <c r="B6" s="8">
        <f t="shared" si="3"/>
        <v>46023</v>
      </c>
      <c r="C6" s="21">
        <v>46024</v>
      </c>
      <c r="D6" s="20" t="s">
        <v>52</v>
      </c>
      <c r="E6" s="4" t="str">
        <f>IFERROR(VLOOKUP(D6,Cadastros!A:B,2,FALSE),"-")</f>
        <v>FELLER BUNCHER 2</v>
      </c>
      <c r="F6" s="4" t="str">
        <f>IFERROR(VLOOKUP(E6,Cadastros!B:D,3,FALSE),"-")</f>
        <v>CORTE</v>
      </c>
      <c r="G6" s="26" cm="1">
        <f t="array" ref="G6">IF(C6&lt;C5,LARGE(LOOKUP(D6,$D$1:$D5,$H$1:$H5),1),LOOKUP(2,1/($D$1:$D5=D6),($H$1:$H5)))</f>
        <v>2008</v>
      </c>
      <c r="H6" s="11">
        <v>2012</v>
      </c>
      <c r="I6" s="10">
        <f>IFERROR(IF(Z6-Y6&lt;0,"-",Z6-Y6),"-")</f>
        <v>170</v>
      </c>
      <c r="J6" s="14">
        <f t="shared" si="4"/>
        <v>4</v>
      </c>
      <c r="K6" s="14">
        <f t="shared" ca="1" si="1"/>
        <v>21.176470588235293</v>
      </c>
      <c r="L6" s="4" t="str">
        <f t="shared" ca="1" si="5"/>
        <v>EXCELENTE</v>
      </c>
      <c r="M6" s="14">
        <f t="shared" si="6"/>
        <v>42.5</v>
      </c>
      <c r="N6" s="10">
        <f>IFERROR(INDEX('Metas Diesel'!N:N,MATCH(Diesel!E6,'Metas Diesel'!A:A,0)),"-")</f>
        <v>215.16666666666666</v>
      </c>
      <c r="O6" s="10">
        <f t="shared" si="7"/>
        <v>53.791666666666664</v>
      </c>
      <c r="P6" s="10">
        <f>IFERROR(INDEX('Metas Diesel'!O:O,MATCH(Diesel!E6,'Metas Diesel'!A:A,0)),"-")</f>
        <v>198.7579617834395</v>
      </c>
      <c r="Q6" s="10">
        <f t="shared" si="8"/>
        <v>49.689490445859875</v>
      </c>
      <c r="R6" s="10">
        <f>IFERROR(INDEX('Metas Diesel'!P:P,MATCH(Diesel!E6,'Metas Diesel'!A:A,0)),"-")</f>
        <v>150</v>
      </c>
      <c r="S6" s="10">
        <f t="shared" si="9"/>
        <v>37.5</v>
      </c>
      <c r="T6" s="4" t="str">
        <f t="shared" si="10"/>
        <v>BOM</v>
      </c>
      <c r="U6" s="20" t="s">
        <v>62</v>
      </c>
      <c r="X6" s="10" cm="1">
        <f t="array" ref="X6">IFERROR(W6+IF(C6&lt;C5,LARGE(LOOKUP(U6,$U$1:$U5,$AA$1:$AA5),1),LOOKUP(2,1/($U$1:$U5=U6),($AA$1:$AA5))),"-")</f>
        <v>4050</v>
      </c>
      <c r="Y6" s="4" cm="1">
        <f t="array" ref="Y6">IFERROR(IF(C6&lt;C5,LARGE(LOOKUP(U6,$U$1:$U5,$Z$1:$Z5),1),LOOKUP(2,1/($U$1:$U5=U6),($Z$1:$Z5))),"-")</f>
        <v>950</v>
      </c>
      <c r="Z6" s="3">
        <v>1120</v>
      </c>
      <c r="AA6" s="10">
        <f t="shared" si="11"/>
        <v>3880</v>
      </c>
    </row>
    <row r="7" spans="1:28" x14ac:dyDescent="0.3">
      <c r="A7" s="4">
        <f t="shared" ref="A7:A18" si="12">IFERROR(YEAR(C7),"-")</f>
        <v>2026</v>
      </c>
      <c r="B7" s="8">
        <f t="shared" ref="B7:B18" si="13">IFERROR(DATE(YEAR(C7),MONTH(C7),MONTH(C7)),"-")</f>
        <v>46023</v>
      </c>
      <c r="C7" s="21">
        <v>46024</v>
      </c>
      <c r="D7" s="20" t="s">
        <v>60</v>
      </c>
      <c r="E7" s="4" t="str">
        <f>IFERROR(VLOOKUP(D7,Cadastros!A:B,2,FALSE),"-")</f>
        <v>GARRA TRAÇADORA 2</v>
      </c>
      <c r="F7" s="4" t="str">
        <f>IFERROR(VLOOKUP(E7,Cadastros!B:D,3,FALSE),"-")</f>
        <v>TRAÇAMENTO</v>
      </c>
      <c r="G7" s="28">
        <v>700</v>
      </c>
      <c r="H7" s="11">
        <v>711</v>
      </c>
      <c r="I7" s="10">
        <f t="shared" ref="I7:I18" si="14">IFERROR(IF(Z7-Y7&lt;0,"-",Z7-Y7),"-")</f>
        <v>380</v>
      </c>
      <c r="J7" s="14">
        <f t="shared" ref="J7:J18" si="15">IFERROR(IF(H7-G7&lt;0,"-",H7-G7),"-")</f>
        <v>11</v>
      </c>
      <c r="K7" s="14">
        <f t="shared" ca="1" si="1"/>
        <v>34.545454545454547</v>
      </c>
      <c r="L7" s="4" t="str">
        <f t="shared" ref="L7:L18" ca="1" si="16">IFERROR(IF(K7&lt;=S7,"EXCELENTE",IF(K7&lt;=Q7,"BOM",IF(K7&lt;=O7,"ATENÇÃO",IF(K7&gt;O7,"CRÍTICO","-")))),"-")</f>
        <v>CRÍTICO</v>
      </c>
      <c r="M7" s="14">
        <f t="shared" ref="M7:M18" si="17">IFERROR(I7/J7,"-")</f>
        <v>34.545454545454547</v>
      </c>
      <c r="N7" s="10">
        <f>IFERROR(INDEX('Metas Diesel'!N:N,MATCH(Diesel!E7,'Metas Diesel'!A:A,0)),"-")</f>
        <v>368.66666666666663</v>
      </c>
      <c r="O7" s="10">
        <f t="shared" ref="O7:O18" si="18">IFERROR(N7/J7,"-")</f>
        <v>33.515151515151508</v>
      </c>
      <c r="P7" s="10">
        <f>IFERROR(INDEX('Metas Diesel'!O:O,MATCH(Diesel!E7,'Metas Diesel'!A:A,0)),"-")</f>
        <v>355.06849315068496</v>
      </c>
      <c r="Q7" s="10">
        <f t="shared" ref="Q7:Q18" si="19">IFERROR(P7/J7,"-")</f>
        <v>32.27895392278954</v>
      </c>
      <c r="R7" s="10">
        <f>IFERROR(INDEX('Metas Diesel'!P:P,MATCH(Diesel!E7,'Metas Diesel'!A:A,0)),"-")</f>
        <v>340</v>
      </c>
      <c r="S7" s="10">
        <f t="shared" ref="S7:S18" si="20">IFERROR(R7/J7,"-")</f>
        <v>30.90909090909091</v>
      </c>
      <c r="T7" s="4" t="str">
        <f t="shared" ref="T7:T18" si="21">IFERROR(IF(M7&lt;=S7,"EXCELENTE",IF(M7&lt;=Q7,"BOM",IF(M7&lt;=O7,"ATENÇÃO",IF(M7&gt;O7,"CRÍTICO","-")))),"-")</f>
        <v>CRÍTICO</v>
      </c>
      <c r="U7" s="20" t="s">
        <v>62</v>
      </c>
      <c r="X7" s="26" cm="1">
        <f t="array" ref="X7">IFERROR(W7+IF(C7&lt;C6,LARGE(LOOKUP(U7,$U$1:$U6,$AA$1:$AA6),1),LOOKUP(2,1/($U$1:$U6=U7),($AA$1:$AA6))),"-")</f>
        <v>3880</v>
      </c>
      <c r="Y7" s="25" cm="1">
        <f t="array" ref="Y7">IFERROR(IF(C7&lt;C6,LARGE(LOOKUP(U7,$U$1:$U6,$Z$1:$Z6),1),LOOKUP(2,1/($U$1:$U6=U7),($Z$1:$Z6))),"-")</f>
        <v>1120</v>
      </c>
      <c r="Z7" s="3">
        <v>1500</v>
      </c>
      <c r="AA7" s="10">
        <f t="shared" ref="AA7:AA17" si="22">IFERROR(X7-I7,"-")</f>
        <v>3500</v>
      </c>
    </row>
    <row r="8" spans="1:28" x14ac:dyDescent="0.3">
      <c r="A8" s="4">
        <f t="shared" si="12"/>
        <v>2026</v>
      </c>
      <c r="B8" s="8">
        <f t="shared" si="13"/>
        <v>46023</v>
      </c>
      <c r="C8" s="21">
        <v>46024</v>
      </c>
      <c r="D8" s="20" t="s">
        <v>52</v>
      </c>
      <c r="E8" s="4" t="str">
        <f>IFERROR(VLOOKUP(D8,Cadastros!A:B,2,FALSE),"-")</f>
        <v>FELLER BUNCHER 2</v>
      </c>
      <c r="F8" s="4" t="str">
        <f>IFERROR(VLOOKUP(E8,Cadastros!B:D,3,FALSE),"-")</f>
        <v>CORTE</v>
      </c>
      <c r="G8" s="26" cm="1">
        <f t="array" ref="G8">IF(C8&lt;C7,LARGE(LOOKUP(D8,$D$1:$D7,$H$1:$H7),1),LOOKUP(2,1/($D$1:$D7=D8),($H$1:$H7)))</f>
        <v>2012</v>
      </c>
      <c r="H8" s="11">
        <v>2025</v>
      </c>
      <c r="I8" s="10">
        <f t="shared" si="14"/>
        <v>190</v>
      </c>
      <c r="J8" s="14">
        <f t="shared" si="15"/>
        <v>13</v>
      </c>
      <c r="K8" s="14">
        <f t="shared" ca="1" si="1"/>
        <v>21.176470588235293</v>
      </c>
      <c r="L8" s="4" t="str">
        <f t="shared" ca="1" si="16"/>
        <v>CRÍTICO</v>
      </c>
      <c r="M8" s="14">
        <f t="shared" si="17"/>
        <v>14.615384615384615</v>
      </c>
      <c r="N8" s="10">
        <f>IFERROR(INDEX('Metas Diesel'!N:N,MATCH(Diesel!E8,'Metas Diesel'!A:A,0)),"-")</f>
        <v>215.16666666666666</v>
      </c>
      <c r="O8" s="10">
        <f t="shared" si="18"/>
        <v>16.551282051282051</v>
      </c>
      <c r="P8" s="10">
        <f>IFERROR(INDEX('Metas Diesel'!O:O,MATCH(Diesel!E8,'Metas Diesel'!A:A,0)),"-")</f>
        <v>198.7579617834395</v>
      </c>
      <c r="Q8" s="10">
        <f t="shared" si="19"/>
        <v>15.289073983341499</v>
      </c>
      <c r="R8" s="10">
        <f>IFERROR(INDEX('Metas Diesel'!P:P,MATCH(Diesel!E8,'Metas Diesel'!A:A,0)),"-")</f>
        <v>150</v>
      </c>
      <c r="S8" s="10">
        <f t="shared" si="20"/>
        <v>11.538461538461538</v>
      </c>
      <c r="T8" s="4" t="str">
        <f t="shared" si="21"/>
        <v>BOM</v>
      </c>
      <c r="U8" s="20" t="s">
        <v>62</v>
      </c>
      <c r="X8" s="26" cm="1">
        <f t="array" ref="X8">IFERROR(W8+IF(C8&lt;C7,LARGE(LOOKUP(U8,$U$1:$U7,$AA$1:$AA7),1),LOOKUP(2,1/($U$1:$U7=U8),($AA$1:$AA7))),"-")</f>
        <v>3500</v>
      </c>
      <c r="Y8" s="25" cm="1">
        <f t="array" ref="Y8">IFERROR(IF(C8&lt;C7,LARGE(LOOKUP(U8,$U$1:$U7,$Z$1:$Z7),1),LOOKUP(2,1/($U$1:$U7=U8),($Z$1:$Z7))),"-")</f>
        <v>1500</v>
      </c>
      <c r="Z8" s="3">
        <v>1690</v>
      </c>
      <c r="AA8" s="10">
        <f t="shared" si="22"/>
        <v>3310</v>
      </c>
    </row>
    <row r="9" spans="1:28" x14ac:dyDescent="0.3">
      <c r="A9" s="4">
        <f t="shared" si="12"/>
        <v>2026</v>
      </c>
      <c r="B9" s="8">
        <f t="shared" si="13"/>
        <v>46023</v>
      </c>
      <c r="C9" s="21">
        <v>46024</v>
      </c>
      <c r="D9" s="20" t="s">
        <v>50</v>
      </c>
      <c r="E9" s="4" t="str">
        <f>IFERROR(VLOOKUP(D9,Cadastros!A:B,2,FALSE),"-")</f>
        <v>FELLER BUNCHER 1</v>
      </c>
      <c r="F9" s="4" t="str">
        <f>IFERROR(VLOOKUP(E9,Cadastros!B:D,3,FALSE),"-")</f>
        <v>CORTE</v>
      </c>
      <c r="G9" s="26" cm="1">
        <f t="array" ref="G9">IF(C9&lt;C8,LARGE(LOOKUP(D9,$D$1:$D8,$H$1:$H8),1),LOOKUP(2,1/($D$1:$D8=D9),($H$1:$H8)))</f>
        <v>1012</v>
      </c>
      <c r="H9" s="11">
        <v>1018</v>
      </c>
      <c r="I9" s="10">
        <f t="shared" si="14"/>
        <v>110</v>
      </c>
      <c r="J9" s="14">
        <f t="shared" si="15"/>
        <v>6</v>
      </c>
      <c r="K9" s="14">
        <f t="shared" ca="1" si="1"/>
        <v>18.333333333333332</v>
      </c>
      <c r="L9" s="4" t="str">
        <f t="shared" ca="1" si="16"/>
        <v>BOM</v>
      </c>
      <c r="M9" s="14">
        <f t="shared" si="17"/>
        <v>18.333333333333332</v>
      </c>
      <c r="N9" s="10">
        <f>IFERROR(INDEX('Metas Diesel'!N:N,MATCH(Diesel!E9,'Metas Diesel'!A:A,0)),"-")</f>
        <v>235.66666666666663</v>
      </c>
      <c r="O9" s="10">
        <f t="shared" si="18"/>
        <v>39.277777777777771</v>
      </c>
      <c r="P9" s="10">
        <f>IFERROR(INDEX('Metas Diesel'!O:O,MATCH(Diesel!E9,'Metas Diesel'!A:A,0)),"-")</f>
        <v>226.54490106544907</v>
      </c>
      <c r="Q9" s="10">
        <f t="shared" si="19"/>
        <v>37.75748351090818</v>
      </c>
      <c r="R9" s="10">
        <f>IFERROR(INDEX('Metas Diesel'!P:P,MATCH(Diesel!E9,'Metas Diesel'!A:A,0)),"-")</f>
        <v>100</v>
      </c>
      <c r="S9" s="10">
        <f t="shared" si="20"/>
        <v>16.666666666666668</v>
      </c>
      <c r="T9" s="4" t="str">
        <f t="shared" si="21"/>
        <v>BOM</v>
      </c>
      <c r="U9" s="20" t="s">
        <v>62</v>
      </c>
      <c r="X9" s="26" cm="1">
        <f t="array" ref="X9">IFERROR(W9+IF(C9&lt;C8,LARGE(LOOKUP(U9,$U$1:$U8,$AA$1:$AA8),1),LOOKUP(2,1/($U$1:$U8=U9),($AA$1:$AA8))),"-")</f>
        <v>3310</v>
      </c>
      <c r="Y9" s="25" cm="1">
        <f t="array" ref="Y9">IFERROR(IF(C9&lt;C8,LARGE(LOOKUP(U9,$U$1:$U8,$Z$1:$Z8),1),LOOKUP(2,1/($U$1:$U8=U9),($Z$1:$Z8))),"-")</f>
        <v>1690</v>
      </c>
      <c r="Z9" s="3">
        <v>1800</v>
      </c>
      <c r="AA9" s="10">
        <f t="shared" si="22"/>
        <v>3200</v>
      </c>
    </row>
    <row r="10" spans="1:28" x14ac:dyDescent="0.3">
      <c r="A10" s="4">
        <f t="shared" si="12"/>
        <v>2026</v>
      </c>
      <c r="B10" s="8">
        <f t="shared" si="13"/>
        <v>46023</v>
      </c>
      <c r="C10" s="21">
        <v>46024</v>
      </c>
      <c r="D10" s="20" t="s">
        <v>56</v>
      </c>
      <c r="E10" s="4" t="str">
        <f>IFERROR(VLOOKUP(D10,Cadastros!A:B,2,FALSE),"-")</f>
        <v>SKIDDER 2</v>
      </c>
      <c r="F10" s="4" t="str">
        <f>IFERROR(VLOOKUP(E10,Cadastros!B:D,3,FALSE),"-")</f>
        <v>ARRASTE</v>
      </c>
      <c r="G10" s="26" cm="1">
        <f t="array" ref="G10">IF(C10&lt;C9,LARGE(LOOKUP(D10,$D$1:$D9,$H$1:$H9),1),LOOKUP(2,1/($D$1:$D9=D10),($H$1:$H9)))</f>
        <v>2106</v>
      </c>
      <c r="H10" s="11">
        <v>2110</v>
      </c>
      <c r="I10" s="10">
        <f t="shared" si="14"/>
        <v>200</v>
      </c>
      <c r="J10" s="14">
        <f t="shared" si="15"/>
        <v>4</v>
      </c>
      <c r="K10" s="14">
        <f t="shared" ca="1" si="1"/>
        <v>33.333333333333336</v>
      </c>
      <c r="L10" s="4" t="str">
        <f t="shared" ca="1" si="16"/>
        <v>BOM</v>
      </c>
      <c r="M10" s="14">
        <f t="shared" si="17"/>
        <v>50</v>
      </c>
      <c r="N10" s="10">
        <f>IFERROR(INDEX('Metas Diesel'!N:N,MATCH(Diesel!E10,'Metas Diesel'!A:A,0)),"-")</f>
        <v>237.83333333333334</v>
      </c>
      <c r="O10" s="10">
        <f t="shared" si="18"/>
        <v>59.458333333333336</v>
      </c>
      <c r="P10" s="10">
        <f>IFERROR(INDEX('Metas Diesel'!O:O,MATCH(Diesel!E10,'Metas Diesel'!A:A,0)),"-")</f>
        <v>194.11242603550295</v>
      </c>
      <c r="Q10" s="10">
        <f t="shared" si="19"/>
        <v>48.528106508875737</v>
      </c>
      <c r="R10" s="10">
        <f>IFERROR(INDEX('Metas Diesel'!P:P,MATCH(Diesel!E10,'Metas Diesel'!A:A,0)),"-")</f>
        <v>100</v>
      </c>
      <c r="S10" s="10">
        <f t="shared" si="20"/>
        <v>25</v>
      </c>
      <c r="T10" s="4" t="str">
        <f t="shared" si="21"/>
        <v>ATENÇÃO</v>
      </c>
      <c r="U10" s="20" t="s">
        <v>62</v>
      </c>
      <c r="X10" s="26" cm="1">
        <f t="array" ref="X10">IFERROR(W10+IF(C10&lt;C9,LARGE(LOOKUP(U10,$U$1:$U9,$AA$1:$AA9),1),LOOKUP(2,1/($U$1:$U9=U10),($AA$1:$AA9))),"-")</f>
        <v>3200</v>
      </c>
      <c r="Y10" s="25" cm="1">
        <f t="array" ref="Y10">IFERROR(IF(C10&lt;C9,LARGE(LOOKUP(U10,$U$1:$U9,$Z$1:$Z9),1),LOOKUP(2,1/($U$1:$U9=U10),($Z$1:$Z9))),"-")</f>
        <v>1800</v>
      </c>
      <c r="Z10" s="3">
        <v>2000</v>
      </c>
      <c r="AA10" s="10">
        <f t="shared" si="22"/>
        <v>3000</v>
      </c>
    </row>
    <row r="11" spans="1:28" x14ac:dyDescent="0.3">
      <c r="A11" s="4">
        <f t="shared" si="12"/>
        <v>2026</v>
      </c>
      <c r="B11" s="8">
        <f t="shared" si="13"/>
        <v>46023</v>
      </c>
      <c r="C11" s="21">
        <v>46024</v>
      </c>
      <c r="D11" s="20" t="s">
        <v>56</v>
      </c>
      <c r="E11" s="4" t="str">
        <f>IFERROR(VLOOKUP(D11,Cadastros!A:B,2,FALSE),"-")</f>
        <v>SKIDDER 2</v>
      </c>
      <c r="F11" s="4" t="str">
        <f>IFERROR(VLOOKUP(E11,Cadastros!B:D,3,FALSE),"-")</f>
        <v>ARRASTE</v>
      </c>
      <c r="G11" s="26" cm="1">
        <f t="array" ref="G11">IF(C11&lt;C10,LARGE(LOOKUP(D11,$D$1:$D10,$H$1:$H10),1),LOOKUP(2,1/($D$1:$D10=D11),($H$1:$H10)))</f>
        <v>2110</v>
      </c>
      <c r="H11" s="11">
        <v>2115</v>
      </c>
      <c r="I11" s="10">
        <f t="shared" si="14"/>
        <v>100</v>
      </c>
      <c r="J11" s="14">
        <f t="shared" si="15"/>
        <v>5</v>
      </c>
      <c r="K11" s="14">
        <f t="shared" ca="1" si="1"/>
        <v>33.333333333333336</v>
      </c>
      <c r="L11" s="4" t="str">
        <f t="shared" ca="1" si="16"/>
        <v>BOM</v>
      </c>
      <c r="M11" s="14">
        <f t="shared" si="17"/>
        <v>20</v>
      </c>
      <c r="N11" s="10">
        <f>IFERROR(INDEX('Metas Diesel'!N:N,MATCH(Diesel!E11,'Metas Diesel'!A:A,0)),"-")</f>
        <v>237.83333333333334</v>
      </c>
      <c r="O11" s="10">
        <f t="shared" si="18"/>
        <v>47.56666666666667</v>
      </c>
      <c r="P11" s="10">
        <f>IFERROR(INDEX('Metas Diesel'!O:O,MATCH(Diesel!E11,'Metas Diesel'!A:A,0)),"-")</f>
        <v>194.11242603550295</v>
      </c>
      <c r="Q11" s="10">
        <f t="shared" si="19"/>
        <v>38.822485207100591</v>
      </c>
      <c r="R11" s="10">
        <f>IFERROR(INDEX('Metas Diesel'!P:P,MATCH(Diesel!E11,'Metas Diesel'!A:A,0)),"-")</f>
        <v>100</v>
      </c>
      <c r="S11" s="10">
        <f t="shared" si="20"/>
        <v>20</v>
      </c>
      <c r="T11" s="4" t="str">
        <f t="shared" si="21"/>
        <v>EXCELENTE</v>
      </c>
      <c r="U11" s="20" t="s">
        <v>62</v>
      </c>
      <c r="X11" s="26" cm="1">
        <f t="array" ref="X11">IFERROR(W11+IF(C11&lt;C10,LARGE(LOOKUP(U11,$U$1:$U10,$AA$1:$AA10),1),LOOKUP(2,1/($U$1:$U10=U11),($AA$1:$AA10))),"-")</f>
        <v>3000</v>
      </c>
      <c r="Y11" s="25" cm="1">
        <f t="array" ref="Y11">IFERROR(IF(C11&lt;C10,LARGE(LOOKUP(U11,$U$1:$U10,$Z$1:$Z10),1),LOOKUP(2,1/($U$1:$U10=U11),($Z$1:$Z10))),"-")</f>
        <v>2000</v>
      </c>
      <c r="Z11" s="3">
        <v>2100</v>
      </c>
      <c r="AA11" s="10">
        <f t="shared" si="22"/>
        <v>2900</v>
      </c>
    </row>
    <row r="12" spans="1:28" x14ac:dyDescent="0.3">
      <c r="A12" s="4">
        <f t="shared" si="12"/>
        <v>2026</v>
      </c>
      <c r="B12" s="8">
        <f t="shared" si="13"/>
        <v>46023</v>
      </c>
      <c r="C12" s="21">
        <v>46025</v>
      </c>
      <c r="D12" s="20" t="s">
        <v>50</v>
      </c>
      <c r="E12" s="4" t="str">
        <f>IFERROR(VLOOKUP(D12,Cadastros!A:B,2,FALSE),"-")</f>
        <v>FELLER BUNCHER 1</v>
      </c>
      <c r="F12" s="4" t="str">
        <f>IFERROR(VLOOKUP(E12,Cadastros!B:D,3,FALSE),"-")</f>
        <v>CORTE</v>
      </c>
      <c r="G12" s="26" cm="1">
        <f t="array" ref="G12">IF(C12&lt;C11,LARGE(LOOKUP(D12,$D$1:$D11,$H$1:$H11),1),LOOKUP(2,1/($D$1:$D11=D12),($H$1:$H11)))</f>
        <v>1018</v>
      </c>
      <c r="H12" s="11">
        <v>1025</v>
      </c>
      <c r="I12" s="10">
        <f t="shared" si="14"/>
        <v>400</v>
      </c>
      <c r="J12" s="14">
        <f t="shared" si="15"/>
        <v>7</v>
      </c>
      <c r="K12" s="14">
        <f t="shared" ca="1" si="1"/>
        <v>57.142857142857146</v>
      </c>
      <c r="L12" s="4" t="str">
        <f t="shared" ca="1" si="16"/>
        <v>CRÍTICO</v>
      </c>
      <c r="M12" s="14">
        <f t="shared" si="17"/>
        <v>57.142857142857146</v>
      </c>
      <c r="N12" s="10">
        <f>IFERROR(INDEX('Metas Diesel'!N:N,MATCH(Diesel!E12,'Metas Diesel'!A:A,0)),"-")</f>
        <v>235.66666666666663</v>
      </c>
      <c r="O12" s="10">
        <f t="shared" si="18"/>
        <v>33.666666666666664</v>
      </c>
      <c r="P12" s="10">
        <f>IFERROR(INDEX('Metas Diesel'!O:O,MATCH(Diesel!E12,'Metas Diesel'!A:A,0)),"-")</f>
        <v>226.54490106544907</v>
      </c>
      <c r="Q12" s="10">
        <f t="shared" si="19"/>
        <v>32.363557295064155</v>
      </c>
      <c r="R12" s="10">
        <f>IFERROR(INDEX('Metas Diesel'!P:P,MATCH(Diesel!E12,'Metas Diesel'!A:A,0)),"-")</f>
        <v>100</v>
      </c>
      <c r="S12" s="10">
        <f t="shared" si="20"/>
        <v>14.285714285714286</v>
      </c>
      <c r="T12" s="4" t="str">
        <f t="shared" si="21"/>
        <v>CRÍTICO</v>
      </c>
      <c r="U12" s="20" t="s">
        <v>62</v>
      </c>
      <c r="X12" s="26" cm="1">
        <f t="array" ref="X12">IFERROR(W12+IF(C12&lt;C11,LARGE(LOOKUP(U12,$U$1:$U11,$AA$1:$AA11),1),LOOKUP(2,1/($U$1:$U11=U12),($AA$1:$AA11))),"-")</f>
        <v>2900</v>
      </c>
      <c r="Y12" s="25" cm="1">
        <f t="array" ref="Y12">IFERROR(IF(C12&lt;C11,LARGE(LOOKUP(U12,$U$1:$U11,$Z$1:$Z11),1),LOOKUP(2,1/($U$1:$U11=U12),($Z$1:$Z11))),"-")</f>
        <v>2100</v>
      </c>
      <c r="Z12" s="3">
        <v>2500</v>
      </c>
      <c r="AA12" s="10">
        <f t="shared" si="22"/>
        <v>2500</v>
      </c>
    </row>
    <row r="13" spans="1:28" x14ac:dyDescent="0.3">
      <c r="A13" s="4">
        <f t="shared" si="12"/>
        <v>2026</v>
      </c>
      <c r="B13" s="8">
        <f t="shared" si="13"/>
        <v>46023</v>
      </c>
      <c r="C13" s="21">
        <v>46025</v>
      </c>
      <c r="D13" s="20" t="s">
        <v>58</v>
      </c>
      <c r="E13" s="4" t="str">
        <f>IFERROR(VLOOKUP(D13,Cadastros!A:B,2,FALSE),"-")</f>
        <v>GARRA TRAÇADORA 1</v>
      </c>
      <c r="F13" s="4" t="str">
        <f>IFERROR(VLOOKUP(E13,Cadastros!B:D,3,FALSE),"-")</f>
        <v>TRAÇAMENTO</v>
      </c>
      <c r="G13" s="28">
        <v>500</v>
      </c>
      <c r="H13" s="11">
        <v>510</v>
      </c>
      <c r="I13" s="10">
        <f t="shared" si="14"/>
        <v>400</v>
      </c>
      <c r="J13" s="14">
        <f t="shared" si="15"/>
        <v>10</v>
      </c>
      <c r="K13" s="14">
        <f t="shared" ca="1" si="1"/>
        <v>40</v>
      </c>
      <c r="L13" s="4" t="str">
        <f t="shared" ca="1" si="16"/>
        <v>EXCELENTE</v>
      </c>
      <c r="M13" s="14">
        <f t="shared" si="17"/>
        <v>40</v>
      </c>
      <c r="N13" s="10">
        <f>IFERROR(INDEX('Metas Diesel'!N:N,MATCH(Diesel!E13,'Metas Diesel'!A:A,0)),"-")</f>
        <v>400</v>
      </c>
      <c r="O13" s="10">
        <f t="shared" si="18"/>
        <v>40</v>
      </c>
      <c r="P13" s="10">
        <f>IFERROR(INDEX('Metas Diesel'!O:O,MATCH(Diesel!E13,'Metas Diesel'!A:A,0)),"-")</f>
        <v>400</v>
      </c>
      <c r="Q13" s="10">
        <f t="shared" si="19"/>
        <v>40</v>
      </c>
      <c r="R13" s="10">
        <f>IFERROR(INDEX('Metas Diesel'!P:P,MATCH(Diesel!E13,'Metas Diesel'!A:A,0)),"-")</f>
        <v>400</v>
      </c>
      <c r="S13" s="10">
        <f t="shared" si="20"/>
        <v>40</v>
      </c>
      <c r="T13" s="4" t="str">
        <f t="shared" si="21"/>
        <v>EXCELENTE</v>
      </c>
      <c r="U13" s="20" t="s">
        <v>62</v>
      </c>
      <c r="X13" s="26" cm="1">
        <f t="array" ref="X13">IFERROR(W13+IF(C13&lt;C12,LARGE(LOOKUP(U13,$U$1:$U12,$AA$1:$AA12),1),LOOKUP(2,1/($U$1:$U12=U13),($AA$1:$AA12))),"-")</f>
        <v>2500</v>
      </c>
      <c r="Y13" s="25" cm="1">
        <f t="array" ref="Y13">IFERROR(IF(C13&lt;C12,LARGE(LOOKUP(U13,$U$1:$U12,$Z$1:$Z12),1),LOOKUP(2,1/($U$1:$U12=U13),($Z$1:$Z12))),"-")</f>
        <v>2500</v>
      </c>
      <c r="Z13" s="3">
        <v>2900</v>
      </c>
      <c r="AA13" s="10">
        <f t="shared" si="22"/>
        <v>2100</v>
      </c>
    </row>
    <row r="14" spans="1:28" x14ac:dyDescent="0.3">
      <c r="A14" s="4">
        <f t="shared" si="12"/>
        <v>2026</v>
      </c>
      <c r="B14" s="8">
        <f t="shared" si="13"/>
        <v>46023</v>
      </c>
      <c r="C14" s="21">
        <v>46025</v>
      </c>
      <c r="D14" s="20" t="s">
        <v>54</v>
      </c>
      <c r="E14" s="4" t="str">
        <f>IFERROR(VLOOKUP(D14,Cadastros!A:B,2,FALSE),"-")</f>
        <v>SKIDDER 1</v>
      </c>
      <c r="F14" s="4" t="str">
        <f>IFERROR(VLOOKUP(E14,Cadastros!B:D,3,FALSE),"-")</f>
        <v>ARRASTE</v>
      </c>
      <c r="G14" s="26" cm="1">
        <f t="array" ref="G14">IF(C14&lt;C13,LARGE(LOOKUP(D14,$D$1:$D13,$H$1:$H13),1),LOOKUP(2,1/($D$1:$D13=D14),($H$1:$H13)))</f>
        <v>1215</v>
      </c>
      <c r="H14" s="11">
        <v>1219</v>
      </c>
      <c r="I14" s="10">
        <f t="shared" si="14"/>
        <v>300</v>
      </c>
      <c r="J14" s="14">
        <f t="shared" si="15"/>
        <v>4</v>
      </c>
      <c r="K14" s="14">
        <f t="shared" ca="1" si="1"/>
        <v>133.33333333333334</v>
      </c>
      <c r="L14" s="4" t="str">
        <f t="shared" ca="1" si="16"/>
        <v>CRÍTICO</v>
      </c>
      <c r="M14" s="14">
        <f t="shared" si="17"/>
        <v>75</v>
      </c>
      <c r="N14" s="10">
        <f>IFERROR(INDEX('Metas Diesel'!N:N,MATCH(Diesel!E14,'Metas Diesel'!A:A,0)),"-")</f>
        <v>426.33333333333331</v>
      </c>
      <c r="O14" s="10">
        <f t="shared" si="18"/>
        <v>106.58333333333333</v>
      </c>
      <c r="P14" s="10">
        <f>IFERROR(INDEX('Metas Diesel'!O:O,MATCH(Diesel!E14,'Metas Diesel'!A:A,0)),"-")</f>
        <v>377.88819875776397</v>
      </c>
      <c r="Q14" s="10">
        <f t="shared" si="19"/>
        <v>94.472049689440993</v>
      </c>
      <c r="R14" s="10">
        <f>IFERROR(INDEX('Metas Diesel'!P:P,MATCH(Diesel!E14,'Metas Diesel'!A:A,0)),"-")</f>
        <v>300</v>
      </c>
      <c r="S14" s="10">
        <f t="shared" si="20"/>
        <v>75</v>
      </c>
      <c r="T14" s="4" t="str">
        <f t="shared" si="21"/>
        <v>EXCELENTE</v>
      </c>
      <c r="U14" s="20" t="s">
        <v>62</v>
      </c>
      <c r="X14" s="26" cm="1">
        <f t="array" ref="X14">IFERROR(W14+IF(C14&lt;C13,LARGE(LOOKUP(U14,$U$1:$U13,$AA$1:$AA13),1),LOOKUP(2,1/($U$1:$U13=U14),($AA$1:$AA13))),"-")</f>
        <v>2100</v>
      </c>
      <c r="Y14" s="25" cm="1">
        <f t="array" ref="Y14">IFERROR(IF(C14&lt;C13,LARGE(LOOKUP(U14,$U$1:$U13,$Z$1:$Z13),1),LOOKUP(2,1/($U$1:$U13=U14),($Z$1:$Z13))),"-")</f>
        <v>2900</v>
      </c>
      <c r="Z14" s="3">
        <v>3200</v>
      </c>
      <c r="AA14" s="10">
        <f t="shared" si="22"/>
        <v>1800</v>
      </c>
    </row>
    <row r="15" spans="1:28" x14ac:dyDescent="0.3">
      <c r="A15" s="4">
        <f t="shared" si="12"/>
        <v>2026</v>
      </c>
      <c r="B15" s="8">
        <f t="shared" si="13"/>
        <v>46023</v>
      </c>
      <c r="C15" s="21">
        <v>46025</v>
      </c>
      <c r="D15" s="20" t="s">
        <v>60</v>
      </c>
      <c r="E15" s="4" t="str">
        <f>IFERROR(VLOOKUP(D15,Cadastros!A:B,2,FALSE),"-")</f>
        <v>GARRA TRAÇADORA 2</v>
      </c>
      <c r="F15" s="4" t="str">
        <f>IFERROR(VLOOKUP(E15,Cadastros!B:D,3,FALSE),"-")</f>
        <v>TRAÇAMENTO</v>
      </c>
      <c r="G15" s="26" cm="1">
        <f t="array" ref="G15">IF(C15&lt;C14,LARGE(LOOKUP(D15,$D$1:$D14,$H$1:$H14),1),LOOKUP(2,1/($D$1:$D14=D15),($H$1:$H14)))</f>
        <v>711</v>
      </c>
      <c r="H15" s="11">
        <v>722</v>
      </c>
      <c r="I15" s="10">
        <f t="shared" si="14"/>
        <v>340</v>
      </c>
      <c r="J15" s="14">
        <f t="shared" si="15"/>
        <v>11</v>
      </c>
      <c r="K15" s="14">
        <f t="shared" ca="1" si="1"/>
        <v>30.90909090909091</v>
      </c>
      <c r="L15" s="4" t="str">
        <f t="shared" ca="1" si="16"/>
        <v>EXCELENTE</v>
      </c>
      <c r="M15" s="14">
        <f t="shared" si="17"/>
        <v>30.90909090909091</v>
      </c>
      <c r="N15" s="10">
        <f>IFERROR(INDEX('Metas Diesel'!N:N,MATCH(Diesel!E15,'Metas Diesel'!A:A,0)),"-")</f>
        <v>368.66666666666663</v>
      </c>
      <c r="O15" s="10">
        <f t="shared" si="18"/>
        <v>33.515151515151508</v>
      </c>
      <c r="P15" s="10">
        <f>IFERROR(INDEX('Metas Diesel'!O:O,MATCH(Diesel!E15,'Metas Diesel'!A:A,0)),"-")</f>
        <v>355.06849315068496</v>
      </c>
      <c r="Q15" s="10">
        <f t="shared" si="19"/>
        <v>32.27895392278954</v>
      </c>
      <c r="R15" s="10">
        <f>IFERROR(INDEX('Metas Diesel'!P:P,MATCH(Diesel!E15,'Metas Diesel'!A:A,0)),"-")</f>
        <v>340</v>
      </c>
      <c r="S15" s="10">
        <f t="shared" si="20"/>
        <v>30.90909090909091</v>
      </c>
      <c r="T15" s="4" t="str">
        <f t="shared" si="21"/>
        <v>EXCELENTE</v>
      </c>
      <c r="U15" s="20" t="s">
        <v>62</v>
      </c>
      <c r="X15" s="26" cm="1">
        <f t="array" ref="X15">IFERROR(W15+IF(C15&lt;C14,LARGE(LOOKUP(U15,$U$1:$U14,$AA$1:$AA14),1),LOOKUP(2,1/($U$1:$U14=U15),($AA$1:$AA14))),"-")</f>
        <v>1800</v>
      </c>
      <c r="Y15" s="25" cm="1">
        <f t="array" ref="Y15">IFERROR(IF(C15&lt;C14,LARGE(LOOKUP(U15,$U$1:$U14,$Z$1:$Z14),1),LOOKUP(2,1/($U$1:$U14=U15),($Z$1:$Z14))),"-")</f>
        <v>3200</v>
      </c>
      <c r="Z15" s="3">
        <v>3540</v>
      </c>
      <c r="AA15" s="10">
        <f t="shared" si="22"/>
        <v>1460</v>
      </c>
    </row>
    <row r="16" spans="1:28" x14ac:dyDescent="0.3">
      <c r="A16" s="4">
        <f t="shared" si="12"/>
        <v>2026</v>
      </c>
      <c r="B16" s="8">
        <f t="shared" si="13"/>
        <v>46023</v>
      </c>
      <c r="C16" s="21">
        <v>46025</v>
      </c>
      <c r="D16" s="20" t="s">
        <v>56</v>
      </c>
      <c r="E16" s="4" t="str">
        <f>IFERROR(VLOOKUP(D16,Cadastros!A:B,2,FALSE),"-")</f>
        <v>SKIDDER 2</v>
      </c>
      <c r="F16" s="4" t="str">
        <f>IFERROR(VLOOKUP(E16,Cadastros!B:D,3,FALSE),"-")</f>
        <v>ARRASTE</v>
      </c>
      <c r="G16" s="26" cm="1">
        <f t="array" ref="G16">IF(C16&lt;C15,LARGE(LOOKUP(D16,$D$1:$D15,$H$1:$H15),1),LOOKUP(2,1/($D$1:$D15=D16),($H$1:$H15)))</f>
        <v>2115</v>
      </c>
      <c r="H16" s="11">
        <v>2123</v>
      </c>
      <c r="I16" s="10">
        <f t="shared" si="14"/>
        <v>180</v>
      </c>
      <c r="J16" s="14">
        <f t="shared" si="15"/>
        <v>8</v>
      </c>
      <c r="K16" s="14">
        <f t="shared" ca="1" si="1"/>
        <v>22.5</v>
      </c>
      <c r="L16" s="4" t="str">
        <f t="shared" ca="1" si="16"/>
        <v>BOM</v>
      </c>
      <c r="M16" s="14">
        <f t="shared" si="17"/>
        <v>22.5</v>
      </c>
      <c r="N16" s="10">
        <f>IFERROR(INDEX('Metas Diesel'!N:N,MATCH(Diesel!E16,'Metas Diesel'!A:A,0)),"-")</f>
        <v>237.83333333333334</v>
      </c>
      <c r="O16" s="10">
        <f t="shared" si="18"/>
        <v>29.729166666666668</v>
      </c>
      <c r="P16" s="10">
        <f>IFERROR(INDEX('Metas Diesel'!O:O,MATCH(Diesel!E16,'Metas Diesel'!A:A,0)),"-")</f>
        <v>194.11242603550295</v>
      </c>
      <c r="Q16" s="10">
        <f t="shared" si="19"/>
        <v>24.264053254437869</v>
      </c>
      <c r="R16" s="10">
        <f>IFERROR(INDEX('Metas Diesel'!P:P,MATCH(Diesel!E16,'Metas Diesel'!A:A,0)),"-")</f>
        <v>100</v>
      </c>
      <c r="S16" s="10">
        <f t="shared" si="20"/>
        <v>12.5</v>
      </c>
      <c r="T16" s="4" t="str">
        <f t="shared" si="21"/>
        <v>BOM</v>
      </c>
      <c r="U16" s="20" t="s">
        <v>62</v>
      </c>
      <c r="X16" s="26" cm="1">
        <f t="array" ref="X16">IFERROR(W16+IF(C16&lt;C15,LARGE(LOOKUP(U16,$U$1:$U15,$AA$1:$AA15),1),LOOKUP(2,1/($U$1:$U15=U16),($AA$1:$AA15))),"-")</f>
        <v>1460</v>
      </c>
      <c r="Y16" s="25" cm="1">
        <f t="array" ref="Y16">IFERROR(IF(C16&lt;C15,LARGE(LOOKUP(U16,$U$1:$U15,$Z$1:$Z15),1),LOOKUP(2,1/($U$1:$U15=U16),($Z$1:$Z15))),"-")</f>
        <v>3540</v>
      </c>
      <c r="Z16" s="3">
        <v>3720</v>
      </c>
      <c r="AA16" s="10">
        <f t="shared" si="22"/>
        <v>1280</v>
      </c>
    </row>
    <row r="17" spans="1:27" x14ac:dyDescent="0.3">
      <c r="A17" s="4">
        <f t="shared" si="12"/>
        <v>2026</v>
      </c>
      <c r="B17" s="8">
        <f t="shared" si="13"/>
        <v>46023</v>
      </c>
      <c r="C17" s="21">
        <v>46025</v>
      </c>
      <c r="D17" s="20" t="s">
        <v>52</v>
      </c>
      <c r="E17" s="4" t="str">
        <f>IFERROR(VLOOKUP(D17,Cadastros!A:B,2,FALSE),"-")</f>
        <v>FELLER BUNCHER 2</v>
      </c>
      <c r="F17" s="4" t="str">
        <f>IFERROR(VLOOKUP(E17,Cadastros!B:D,3,FALSE),"-")</f>
        <v>CORTE</v>
      </c>
      <c r="G17" s="26" cm="1">
        <f t="array" ref="G17">IF(C17&lt;C16,LARGE(LOOKUP(D17,$D$1:$D16,$H$1:$H16),1),LOOKUP(2,1/($D$1:$D16=D17),($H$1:$H16)))</f>
        <v>2025</v>
      </c>
      <c r="H17" s="11">
        <v>2034</v>
      </c>
      <c r="I17" s="10">
        <f t="shared" si="14"/>
        <v>280</v>
      </c>
      <c r="J17" s="14">
        <f t="shared" si="15"/>
        <v>9</v>
      </c>
      <c r="K17" s="14">
        <f t="shared" ca="1" si="1"/>
        <v>31.111111111111111</v>
      </c>
      <c r="L17" s="4" t="str">
        <f t="shared" ca="1" si="16"/>
        <v>CRÍTICO</v>
      </c>
      <c r="M17" s="14">
        <f t="shared" si="17"/>
        <v>31.111111111111111</v>
      </c>
      <c r="N17" s="10">
        <f>IFERROR(INDEX('Metas Diesel'!N:N,MATCH(Diesel!E17,'Metas Diesel'!A:A,0)),"-")</f>
        <v>215.16666666666666</v>
      </c>
      <c r="O17" s="10">
        <f t="shared" si="18"/>
        <v>23.907407407407405</v>
      </c>
      <c r="P17" s="10">
        <f>IFERROR(INDEX('Metas Diesel'!O:O,MATCH(Diesel!E17,'Metas Diesel'!A:A,0)),"-")</f>
        <v>198.7579617834395</v>
      </c>
      <c r="Q17" s="10">
        <f t="shared" si="19"/>
        <v>22.084217975937722</v>
      </c>
      <c r="R17" s="10">
        <f>IFERROR(INDEX('Metas Diesel'!P:P,MATCH(Diesel!E17,'Metas Diesel'!A:A,0)),"-")</f>
        <v>150</v>
      </c>
      <c r="S17" s="10">
        <f t="shared" si="20"/>
        <v>16.666666666666668</v>
      </c>
      <c r="T17" s="4" t="str">
        <f t="shared" si="21"/>
        <v>CRÍTICO</v>
      </c>
      <c r="U17" s="20" t="s">
        <v>62</v>
      </c>
      <c r="X17" s="26" cm="1">
        <f t="array" ref="X17">IFERROR(W17+IF(C17&lt;C16,LARGE(LOOKUP(U17,$U$1:$U16,$AA$1:$AA16),1),LOOKUP(2,1/($U$1:$U16=U17),($AA$1:$AA16))),"-")</f>
        <v>1280</v>
      </c>
      <c r="Y17" s="25" cm="1">
        <f t="array" ref="Y17">IFERROR(IF(C17&lt;C16,LARGE(LOOKUP(U17,$U$1:$U16,$Z$1:$Z16),1),LOOKUP(2,1/($U$1:$U16=U17),($Z$1:$Z16))),"-")</f>
        <v>3720</v>
      </c>
      <c r="Z17" s="3">
        <v>4000</v>
      </c>
      <c r="AA17" s="10">
        <f t="shared" si="22"/>
        <v>1000</v>
      </c>
    </row>
    <row r="18" spans="1:27" x14ac:dyDescent="0.3">
      <c r="A18" s="4">
        <f t="shared" si="12"/>
        <v>2026</v>
      </c>
      <c r="B18" s="8">
        <f t="shared" si="13"/>
        <v>46023</v>
      </c>
      <c r="C18" s="21">
        <v>46025</v>
      </c>
      <c r="D18" s="20" t="s">
        <v>54</v>
      </c>
      <c r="E18" s="4" t="str">
        <f>IFERROR(VLOOKUP(D18,Cadastros!A:B,2,FALSE),"-")</f>
        <v>SKIDDER 1</v>
      </c>
      <c r="F18" s="4" t="str">
        <f>IFERROR(VLOOKUP(E18,Cadastros!B:D,3,FALSE),"-")</f>
        <v>ARRASTE</v>
      </c>
      <c r="G18" s="26" cm="1">
        <f t="array" ref="G18">IF(C18&lt;C17,LARGE(LOOKUP(D18,$D$1:$D17,$H$1:$H17),1),LOOKUP(2,1/($D$1:$D17=D18),($H$1:$H17)))</f>
        <v>1219</v>
      </c>
      <c r="H18" s="11">
        <v>1221</v>
      </c>
      <c r="I18" s="10">
        <f t="shared" si="14"/>
        <v>500</v>
      </c>
      <c r="J18" s="14">
        <f t="shared" si="15"/>
        <v>2</v>
      </c>
      <c r="K18" s="14">
        <f t="shared" ca="1" si="1"/>
        <v>133.33333333333334</v>
      </c>
      <c r="L18" s="4" t="str">
        <f t="shared" ca="1" si="16"/>
        <v>EXCELENTE</v>
      </c>
      <c r="M18" s="14">
        <f t="shared" si="17"/>
        <v>250</v>
      </c>
      <c r="N18" s="10">
        <f>IFERROR(INDEX('Metas Diesel'!N:N,MATCH(Diesel!E18,'Metas Diesel'!A:A,0)),"-")</f>
        <v>426.33333333333331</v>
      </c>
      <c r="O18" s="10">
        <f t="shared" si="18"/>
        <v>213.16666666666666</v>
      </c>
      <c r="P18" s="10">
        <f>IFERROR(INDEX('Metas Diesel'!O:O,MATCH(Diesel!E18,'Metas Diesel'!A:A,0)),"-")</f>
        <v>377.88819875776397</v>
      </c>
      <c r="Q18" s="10">
        <f t="shared" si="19"/>
        <v>188.94409937888199</v>
      </c>
      <c r="R18" s="10">
        <f>IFERROR(INDEX('Metas Diesel'!P:P,MATCH(Diesel!E18,'Metas Diesel'!A:A,0)),"-")</f>
        <v>300</v>
      </c>
      <c r="S18" s="10">
        <f t="shared" si="20"/>
        <v>150</v>
      </c>
      <c r="T18" s="4" t="str">
        <f t="shared" si="21"/>
        <v>CRÍTICO</v>
      </c>
      <c r="U18" s="20" t="s">
        <v>62</v>
      </c>
      <c r="X18" s="26" cm="1">
        <f t="array" ref="X18">IFERROR(W18+IF(C18&lt;C17,LARGE(LOOKUP(U18,$U$1:$U17,$AA$1:$AA17),1),LOOKUP(2,1/($U$1:$U17=U18),($AA$1:$AA17))),"-")</f>
        <v>1000</v>
      </c>
      <c r="Y18" s="25" cm="1">
        <f t="array" ref="Y18">IFERROR(IF(C18&lt;C17,LARGE(LOOKUP(U18,$U$1:$U17,$Z$1:$Z17),1),LOOKUP(2,1/($U$1:$U17=U18),($Z$1:$Z17))),"-")</f>
        <v>4000</v>
      </c>
      <c r="Z18" s="3">
        <v>4500</v>
      </c>
      <c r="AA18" s="10">
        <f>IFERROR(X18-I18,"-")</f>
        <v>500</v>
      </c>
    </row>
  </sheetData>
  <autoFilter ref="A1:AB18" xr:uid="{985BE20C-82FA-497D-800B-90616B572AF9}"/>
  <phoneticPr fontId="4" type="noConversion"/>
  <conditionalFormatting sqref="J2:J18">
    <cfRule type="cellIs" dxfId="31" priority="18" operator="greaterThan">
      <formula>70</formula>
    </cfRule>
  </conditionalFormatting>
  <conditionalFormatting sqref="K2:K18 M2:M18">
    <cfRule type="cellIs" dxfId="30" priority="17" operator="greaterThan">
      <formula>50</formula>
    </cfRule>
  </conditionalFormatting>
  <conditionalFormatting sqref="L1:L1048576 T1:T1048576">
    <cfRule type="cellIs" dxfId="29" priority="1" operator="equal">
      <formula>"EXCELENTE"</formula>
    </cfRule>
    <cfRule type="cellIs" dxfId="28" priority="2" operator="equal">
      <formula>"BOM"</formula>
    </cfRule>
    <cfRule type="cellIs" dxfId="27" priority="3" operator="equal">
      <formula>"ATENÇÃO"</formula>
    </cfRule>
    <cfRule type="cellIs" dxfId="26" priority="4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54ED-729E-4EFC-A1FB-67A94E916E96}">
  <dimension ref="A1:AA18"/>
  <sheetViews>
    <sheetView workbookViewId="0">
      <pane ySplit="1" topLeftCell="A2" activePane="bottomLeft" state="frozen"/>
      <selection pane="bottomLeft" activeCell="A19" sqref="A19"/>
    </sheetView>
  </sheetViews>
  <sheetFormatPr defaultColWidth="8.88671875" defaultRowHeight="14.4" x14ac:dyDescent="0.3"/>
  <cols>
    <col min="1" max="1" width="8.88671875" style="4"/>
    <col min="2" max="2" width="13" style="8" customWidth="1"/>
    <col min="3" max="3" width="14.6640625" style="5" customWidth="1"/>
    <col min="4" max="4" width="16.6640625" style="3" customWidth="1"/>
    <col min="5" max="5" width="18.21875" style="4" customWidth="1"/>
    <col min="6" max="6" width="16.109375" style="4" customWidth="1"/>
    <col min="7" max="7" width="16" style="10" customWidth="1"/>
    <col min="8" max="8" width="17.109375" style="11" customWidth="1"/>
    <col min="9" max="9" width="13.33203125" style="15" customWidth="1"/>
    <col min="10" max="10" width="13.33203125" style="10" customWidth="1"/>
    <col min="11" max="11" width="8.88671875" style="10"/>
    <col min="12" max="12" width="16.44140625" style="4" customWidth="1"/>
    <col min="13" max="13" width="11.6640625" style="10" customWidth="1"/>
    <col min="14" max="14" width="8.88671875" style="10"/>
    <col min="15" max="15" width="12.6640625" style="10" customWidth="1"/>
    <col min="16" max="16" width="8.88671875" style="10"/>
    <col min="17" max="17" width="14" style="10" customWidth="1"/>
    <col min="18" max="18" width="8.88671875" style="10"/>
    <col min="19" max="19" width="12.33203125" style="10" customWidth="1"/>
    <col min="20" max="20" width="16.44140625" style="4" customWidth="1"/>
    <col min="21" max="21" width="12.5546875" style="16" customWidth="1"/>
    <col min="22" max="22" width="11.88671875" style="3" customWidth="1"/>
    <col min="23" max="23" width="10.6640625" style="3" customWidth="1"/>
    <col min="24" max="24" width="10.88671875" style="3" customWidth="1"/>
    <col min="25" max="25" width="13.6640625" style="10" customWidth="1"/>
    <col min="26" max="26" width="8.88671875" style="4"/>
    <col min="27" max="16384" width="8.88671875" style="3"/>
  </cols>
  <sheetData>
    <row r="1" spans="1:27" s="1" customFormat="1" ht="36" customHeight="1" x14ac:dyDescent="0.3">
      <c r="A1" s="1" t="s">
        <v>8</v>
      </c>
      <c r="B1" s="7" t="s">
        <v>9</v>
      </c>
      <c r="C1" s="6" t="s">
        <v>10</v>
      </c>
      <c r="D1" s="1" t="s">
        <v>0</v>
      </c>
      <c r="E1" s="1" t="s">
        <v>1</v>
      </c>
      <c r="F1" s="1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45</v>
      </c>
      <c r="M1" s="9" t="s">
        <v>49</v>
      </c>
      <c r="N1" s="9" t="s">
        <v>17</v>
      </c>
      <c r="O1" s="9" t="s">
        <v>42</v>
      </c>
      <c r="P1" s="9" t="s">
        <v>18</v>
      </c>
      <c r="Q1" s="9" t="s">
        <v>43</v>
      </c>
      <c r="R1" s="9" t="s">
        <v>19</v>
      </c>
      <c r="S1" s="9" t="s">
        <v>44</v>
      </c>
      <c r="T1" s="9" t="s">
        <v>20</v>
      </c>
      <c r="U1" s="9" t="s">
        <v>46</v>
      </c>
      <c r="V1" s="1" t="s">
        <v>21</v>
      </c>
      <c r="W1" s="1" t="s">
        <v>22</v>
      </c>
      <c r="X1" s="1" t="s">
        <v>23</v>
      </c>
      <c r="Y1" s="9" t="s">
        <v>24</v>
      </c>
      <c r="Z1" s="1" t="s">
        <v>27</v>
      </c>
      <c r="AA1" s="1" t="s">
        <v>28</v>
      </c>
    </row>
    <row r="2" spans="1:27" x14ac:dyDescent="0.3">
      <c r="A2" s="4">
        <f>IFERROR(YEAR(C2),"-")</f>
        <v>2026</v>
      </c>
      <c r="B2" s="8">
        <f>IFERROR(DATE(YEAR(C2),MONTH(C2),MONTH(C2)),"-")</f>
        <v>46023</v>
      </c>
      <c r="C2" s="21">
        <v>46023</v>
      </c>
      <c r="D2" s="20" t="s">
        <v>50</v>
      </c>
      <c r="E2" s="4" t="str">
        <f>IFERROR(VLOOKUP(D2,Cadastros!A:B,2,FALSE),"-")</f>
        <v>FELLER BUNCHER 1</v>
      </c>
      <c r="F2" s="4" t="str">
        <f>IFERROR(VLOOKUP(E2,Cadastros!B:D,3,FALSE),"-")</f>
        <v>CORTE</v>
      </c>
      <c r="G2" s="28">
        <v>1000</v>
      </c>
      <c r="H2" s="27">
        <v>1012</v>
      </c>
      <c r="I2" s="15">
        <v>1</v>
      </c>
      <c r="J2" s="14">
        <f>IFERROR(IF(H2-G2&lt;0,"-",H2-G2),"-")</f>
        <v>12</v>
      </c>
      <c r="K2" s="14">
        <f t="shared" ref="K2:K18" ca="1" si="0">IFERROR(IF(C2&gt;=TODAY(),"",SUMIFS(I:I,E:E,E2,C:C,C2,B:B,B2)/SUMIFS(J:J,E:E,E2,C:C,C2,B:B,B2)),0)</f>
        <v>8.3333333333333329E-2</v>
      </c>
      <c r="L2" s="4" t="str">
        <f ca="1">IFERROR(IF(K2&lt;=S2,"EXCELENTE",IF(K2&lt;=Q2,"BOM",IF(K2&lt;=O2,"ATENÇÃO",IF(K2&gt;O2,"CRÍTICO","-")))),"-")</f>
        <v>BOM</v>
      </c>
      <c r="M2" s="14">
        <f>IFERROR(I2/J2,"-")</f>
        <v>8.3333333333333329E-2</v>
      </c>
      <c r="N2" s="10" cm="1">
        <f t="array" ref="N2">IFERROR(INDEX('Metas Lubrificantes'!$A:$XR,MATCH(Graxa!E2,'Metas Lubrificantes'!A:A,0),MATCH(Graxa!U2,'Metas Lubrificantes'!$1:$1,0)+12),"-")</f>
        <v>1.4333333333333333</v>
      </c>
      <c r="O2" s="14">
        <f>IFERROR(N2/J2,"-")</f>
        <v>0.11944444444444445</v>
      </c>
      <c r="P2" s="10" cm="1">
        <f t="array" ref="P2">IFERROR(INDEX('Metas Lubrificantes'!$A:$XR,MATCH(Graxa!E2,'Metas Lubrificantes'!A:A,0),MATCH(Graxa!U2,'Metas Lubrificantes'!$1:$1,0)+13),"-")</f>
        <v>1.088888888888889</v>
      </c>
      <c r="Q2" s="14">
        <f>IFERROR(P2/J2,"-")</f>
        <v>9.0740740740740747E-2</v>
      </c>
      <c r="R2" s="10" cm="1">
        <f t="array" ref="R2">IFERROR(INDEX('Metas Lubrificantes'!$A:$XR,MATCH(Graxa!E2,'Metas Lubrificantes'!A:A,0),MATCH(Graxa!U2,'Metas Lubrificantes'!$1:$1,0)+14),"-")</f>
        <v>0.5</v>
      </c>
      <c r="S2" s="10">
        <f>IFERROR(R2/J2,"-")</f>
        <v>4.1666666666666664E-2</v>
      </c>
      <c r="T2" s="4" t="str">
        <f>IFERROR(IF(M2&lt;=S2,"EXCELENTE",IF(M2&lt;=Q2,"BOM",IF(M2&lt;=O2,"ATENÇÃO",IF(M2&gt;O2,"CRÍTICO","-")))),"-")</f>
        <v>BOM</v>
      </c>
      <c r="U2" s="16" t="s">
        <v>46</v>
      </c>
      <c r="V2" s="3" t="s">
        <v>62</v>
      </c>
      <c r="Y2" s="17">
        <v>170</v>
      </c>
      <c r="Z2" s="10">
        <f>IFERROR(Y2-I2,"-")</f>
        <v>169</v>
      </c>
    </row>
    <row r="3" spans="1:27" x14ac:dyDescent="0.3">
      <c r="A3" s="4">
        <f t="shared" ref="A3:A6" si="1">IFERROR(YEAR(C3),"-")</f>
        <v>2026</v>
      </c>
      <c r="B3" s="8">
        <f t="shared" ref="B3:B6" si="2">IFERROR(DATE(YEAR(C3),MONTH(C3),MONTH(C3)),"-")</f>
        <v>46023</v>
      </c>
      <c r="C3" s="21">
        <v>46023</v>
      </c>
      <c r="D3" s="20" t="s">
        <v>52</v>
      </c>
      <c r="E3" s="4" t="str">
        <f>IFERROR(VLOOKUP(D3,Cadastros!A:B,2,FALSE),"-")</f>
        <v>FELLER BUNCHER 2</v>
      </c>
      <c r="F3" s="4" t="str">
        <f>IFERROR(VLOOKUP(E3,Cadastros!B:D,3,FALSE),"-")</f>
        <v>CORTE</v>
      </c>
      <c r="G3" s="28">
        <v>2000</v>
      </c>
      <c r="H3" s="27">
        <v>2008</v>
      </c>
      <c r="I3" s="15">
        <v>0.5</v>
      </c>
      <c r="J3" s="14">
        <f t="shared" ref="J3:J6" si="3">IFERROR(IF(H3-G3&lt;0,"-",H3-G3),"-")</f>
        <v>8</v>
      </c>
      <c r="K3" s="14">
        <f t="shared" ca="1" si="0"/>
        <v>6.25E-2</v>
      </c>
      <c r="L3" s="4" t="str">
        <f t="shared" ref="L3:L6" ca="1" si="4">IFERROR(IF(K3&lt;=S3,"EXCELENTE",IF(K3&lt;=Q3,"BOM",IF(K3&lt;=O3,"ATENÇÃO",IF(K3&gt;O3,"CRÍTICO","-")))),"-")</f>
        <v>EXCELENTE</v>
      </c>
      <c r="M3" s="14">
        <f t="shared" ref="M3:M6" si="5">IFERROR(I3/J3,"-")</f>
        <v>6.25E-2</v>
      </c>
      <c r="N3" s="10" cm="1">
        <f t="array" ref="N3">IFERROR(INDEX('Metas Lubrificantes'!$A:$XR,MATCH(Graxa!E3,'Metas Lubrificantes'!A:A,0),MATCH(Graxa!U3,'Metas Lubrificantes'!$1:$1,0)+12),"-")</f>
        <v>0.65833333333333344</v>
      </c>
      <c r="O3" s="14">
        <f t="shared" ref="O3:O6" si="6">IFERROR(N3/J3,"-")</f>
        <v>8.229166666666668E-2</v>
      </c>
      <c r="P3" s="10" cm="1">
        <f t="array" ref="P3">IFERROR(INDEX('Metas Lubrificantes'!$A:$XR,MATCH(Graxa!E3,'Metas Lubrificantes'!A:A,0),MATCH(Graxa!U3,'Metas Lubrificantes'!$1:$1,0)+13),"-")</f>
        <v>0.69444444444444442</v>
      </c>
      <c r="Q3" s="14">
        <f t="shared" ref="Q3:Q6" si="7">IFERROR(P3/J3,"-")</f>
        <v>8.6805555555555552E-2</v>
      </c>
      <c r="R3" s="10" cm="1">
        <f t="array" ref="R3">IFERROR(INDEX('Metas Lubrificantes'!$A:$XR,MATCH(Graxa!E3,'Metas Lubrificantes'!A:A,0),MATCH(Graxa!U3,'Metas Lubrificantes'!$1:$1,0)+14),"-")</f>
        <v>0.5</v>
      </c>
      <c r="S3" s="10">
        <f t="shared" ref="S3:S6" si="8">IFERROR(R3/J3,"-")</f>
        <v>6.25E-2</v>
      </c>
      <c r="T3" s="4" t="str">
        <f t="shared" ref="T3:T6" si="9">IFERROR(IF(M3&lt;=S3,"EXCELENTE",IF(M3&lt;=Q3,"BOM",IF(M3&lt;=O3,"ATENÇÃO",IF(M3&gt;O3,"CRÍTICO","-")))),"-")</f>
        <v>EXCELENTE</v>
      </c>
      <c r="U3" s="16" t="s">
        <v>46</v>
      </c>
      <c r="V3" s="20" t="s">
        <v>62</v>
      </c>
      <c r="Y3" s="10" cm="1">
        <f t="array" ref="Y3">IFERROR(X3+IF(C3&lt;C2,LARGE(LOOKUP(V3,$V$1:$V2,$Z$1:$Z2),1),LOOKUP(2,1/($V$1:$V2=V3),($Z$1:$Z2))),"-")</f>
        <v>169</v>
      </c>
      <c r="Z3" s="10">
        <f t="shared" ref="Z3" si="10">IFERROR(Y3-I3,"-")</f>
        <v>168.5</v>
      </c>
    </row>
    <row r="4" spans="1:27" x14ac:dyDescent="0.3">
      <c r="A4" s="4">
        <f t="shared" si="1"/>
        <v>2026</v>
      </c>
      <c r="B4" s="8">
        <f t="shared" si="2"/>
        <v>46023</v>
      </c>
      <c r="C4" s="21">
        <v>46023</v>
      </c>
      <c r="D4" s="20" t="s">
        <v>54</v>
      </c>
      <c r="E4" s="4" t="str">
        <f>IFERROR(VLOOKUP(D4,Cadastros!A:B,2,FALSE),"-")</f>
        <v>SKIDDER 1</v>
      </c>
      <c r="F4" s="4" t="str">
        <f>IFERROR(VLOOKUP(E4,Cadastros!B:D,3,FALSE),"-")</f>
        <v>ARRASTE</v>
      </c>
      <c r="G4" s="28">
        <v>1200</v>
      </c>
      <c r="H4" s="27">
        <v>1215</v>
      </c>
      <c r="I4" s="15">
        <v>1.5</v>
      </c>
      <c r="J4" s="14">
        <f t="shared" si="3"/>
        <v>15</v>
      </c>
      <c r="K4" s="14">
        <f t="shared" ca="1" si="0"/>
        <v>0.1</v>
      </c>
      <c r="L4" s="4" t="str">
        <f t="shared" ca="1" si="4"/>
        <v>CRÍTICO</v>
      </c>
      <c r="M4" s="14">
        <f t="shared" si="5"/>
        <v>0.1</v>
      </c>
      <c r="N4" s="10" cm="1">
        <f t="array" ref="N4">IFERROR(INDEX('Metas Lubrificantes'!$A:$XR,MATCH(Graxa!E4,'Metas Lubrificantes'!A:A,0),MATCH(Graxa!U4,'Metas Lubrificantes'!$1:$1,0)+12),"-")</f>
        <v>1.2166666666666666</v>
      </c>
      <c r="O4" s="14">
        <f t="shared" si="6"/>
        <v>8.1111111111111106E-2</v>
      </c>
      <c r="P4" s="10" cm="1">
        <f t="array" ref="P4">IFERROR(INDEX('Metas Lubrificantes'!$A:$XR,MATCH(Graxa!E4,'Metas Lubrificantes'!A:A,0),MATCH(Graxa!U4,'Metas Lubrificantes'!$1:$1,0)+13),"-")</f>
        <v>0.88888888888888884</v>
      </c>
      <c r="Q4" s="14">
        <f t="shared" si="7"/>
        <v>5.9259259259259255E-2</v>
      </c>
      <c r="R4" s="10" cm="1">
        <f t="array" ref="R4">IFERROR(INDEX('Metas Lubrificantes'!$A:$XR,MATCH(Graxa!E4,'Metas Lubrificantes'!A:A,0),MATCH(Graxa!U4,'Metas Lubrificantes'!$1:$1,0)+14),"-")</f>
        <v>0.5</v>
      </c>
      <c r="S4" s="10">
        <f t="shared" si="8"/>
        <v>3.3333333333333333E-2</v>
      </c>
      <c r="T4" s="4" t="str">
        <f t="shared" si="9"/>
        <v>CRÍTICO</v>
      </c>
      <c r="U4" s="16" t="s">
        <v>46</v>
      </c>
      <c r="V4" s="20" t="s">
        <v>62</v>
      </c>
      <c r="Y4" s="26" cm="1">
        <f t="array" ref="Y4">IFERROR(X4+IF(C4&lt;C3,LARGE(LOOKUP(V4,$V$1:$V3,$Z$1:$Z3),1),LOOKUP(2,1/($V$1:$V3=V4),($Z$1:$Z3))),"-")</f>
        <v>168.5</v>
      </c>
      <c r="Z4" s="26">
        <f t="shared" ref="Z4:Z18" si="11">IFERROR(Y4-I4,"-")</f>
        <v>167</v>
      </c>
    </row>
    <row r="5" spans="1:27" x14ac:dyDescent="0.3">
      <c r="A5" s="4">
        <f t="shared" si="1"/>
        <v>2026</v>
      </c>
      <c r="B5" s="8">
        <f t="shared" si="2"/>
        <v>46023</v>
      </c>
      <c r="C5" s="21">
        <v>46023</v>
      </c>
      <c r="D5" s="20" t="s">
        <v>56</v>
      </c>
      <c r="E5" s="4" t="str">
        <f>IFERROR(VLOOKUP(D5,Cadastros!A:B,2,FALSE),"-")</f>
        <v>SKIDDER 2</v>
      </c>
      <c r="F5" s="4" t="str">
        <f>IFERROR(VLOOKUP(E5,Cadastros!B:D,3,FALSE),"-")</f>
        <v>ARRASTE</v>
      </c>
      <c r="G5" s="28">
        <v>2100</v>
      </c>
      <c r="H5" s="27">
        <v>2106</v>
      </c>
      <c r="I5" s="15">
        <v>1</v>
      </c>
      <c r="J5" s="14">
        <f t="shared" si="3"/>
        <v>6</v>
      </c>
      <c r="K5" s="14">
        <f t="shared" ca="1" si="0"/>
        <v>0.16666666666666666</v>
      </c>
      <c r="L5" s="4" t="str">
        <f t="shared" ca="1" si="4"/>
        <v>BOM</v>
      </c>
      <c r="M5" s="14">
        <f t="shared" si="5"/>
        <v>0.16666666666666666</v>
      </c>
      <c r="N5" s="10" cm="1">
        <f t="array" ref="N5">IFERROR(INDEX('Metas Lubrificantes'!$A:$XR,MATCH(Graxa!E5,'Metas Lubrificantes'!A:A,0),MATCH(Graxa!U5,'Metas Lubrificantes'!$1:$1,0)+12),"-")</f>
        <v>1.3166666666666667</v>
      </c>
      <c r="O5" s="14">
        <f t="shared" si="6"/>
        <v>0.21944444444444444</v>
      </c>
      <c r="P5" s="10" cm="1">
        <f t="array" ref="P5">IFERROR(INDEX('Metas Lubrificantes'!$A:$XR,MATCH(Graxa!E5,'Metas Lubrificantes'!A:A,0),MATCH(Graxa!U5,'Metas Lubrificantes'!$1:$1,0)+13),"-")</f>
        <v>1.125</v>
      </c>
      <c r="Q5" s="14">
        <f t="shared" si="7"/>
        <v>0.1875</v>
      </c>
      <c r="R5" s="10" cm="1">
        <f t="array" ref="R5">IFERROR(INDEX('Metas Lubrificantes'!$A:$XR,MATCH(Graxa!E5,'Metas Lubrificantes'!A:A,0),MATCH(Graxa!U5,'Metas Lubrificantes'!$1:$1,0)+14),"-")</f>
        <v>0.5</v>
      </c>
      <c r="S5" s="10">
        <f t="shared" si="8"/>
        <v>8.3333333333333329E-2</v>
      </c>
      <c r="T5" s="4" t="str">
        <f t="shared" si="9"/>
        <v>BOM</v>
      </c>
      <c r="U5" s="16" t="s">
        <v>46</v>
      </c>
      <c r="V5" s="20" t="s">
        <v>62</v>
      </c>
      <c r="Y5" s="26" cm="1">
        <f t="array" ref="Y5">IFERROR(X5+IF(C5&lt;C4,LARGE(LOOKUP(V5,$V$1:$V4,$Z$1:$Z4),1),LOOKUP(2,1/($V$1:$V4=V5),($Z$1:$Z4))),"-")</f>
        <v>167</v>
      </c>
      <c r="Z5" s="26">
        <f t="shared" si="11"/>
        <v>166</v>
      </c>
    </row>
    <row r="6" spans="1:27" x14ac:dyDescent="0.3">
      <c r="A6" s="4">
        <f t="shared" si="1"/>
        <v>2026</v>
      </c>
      <c r="B6" s="8">
        <f t="shared" si="2"/>
        <v>46023</v>
      </c>
      <c r="C6" s="21">
        <v>46024</v>
      </c>
      <c r="D6" s="20" t="s">
        <v>52</v>
      </c>
      <c r="E6" s="4" t="str">
        <f>IFERROR(VLOOKUP(D6,Cadastros!A:B,2,FALSE),"-")</f>
        <v>FELLER BUNCHER 2</v>
      </c>
      <c r="F6" s="4" t="str">
        <f>IFERROR(VLOOKUP(E6,Cadastros!B:D,3,FALSE),"-")</f>
        <v>CORTE</v>
      </c>
      <c r="G6" s="26" cm="1">
        <f t="array" ref="G6">IF(C6&lt;C5,LARGE(LOOKUP(D6,$D$1:$D5,$H$1:$H5),1),LOOKUP(2,1/($D$1:$D5=D6),($H$1:$H5)))</f>
        <v>2008</v>
      </c>
      <c r="H6" s="27">
        <v>2012</v>
      </c>
      <c r="I6" s="15">
        <v>1</v>
      </c>
      <c r="J6" s="14">
        <f t="shared" si="3"/>
        <v>4</v>
      </c>
      <c r="K6" s="14">
        <f t="shared" ca="1" si="0"/>
        <v>8.8235294117647065E-2</v>
      </c>
      <c r="L6" s="4" t="str">
        <f t="shared" ca="1" si="4"/>
        <v>EXCELENTE</v>
      </c>
      <c r="M6" s="14">
        <f t="shared" si="5"/>
        <v>0.25</v>
      </c>
      <c r="N6" s="10" cm="1">
        <f t="array" ref="N6">IFERROR(INDEX('Metas Lubrificantes'!$A:$XR,MATCH(Graxa!E6,'Metas Lubrificantes'!A:A,0),MATCH(Graxa!U6,'Metas Lubrificantes'!$1:$1,0)+12),"-")</f>
        <v>0.65833333333333344</v>
      </c>
      <c r="O6" s="14">
        <f t="shared" si="6"/>
        <v>0.16458333333333336</v>
      </c>
      <c r="P6" s="10" cm="1">
        <f t="array" ref="P6">IFERROR(INDEX('Metas Lubrificantes'!$A:$XR,MATCH(Graxa!E6,'Metas Lubrificantes'!A:A,0),MATCH(Graxa!U6,'Metas Lubrificantes'!$1:$1,0)+13),"-")</f>
        <v>0.69444444444444442</v>
      </c>
      <c r="Q6" s="14">
        <f t="shared" si="7"/>
        <v>0.1736111111111111</v>
      </c>
      <c r="R6" s="10" cm="1">
        <f t="array" ref="R6">IFERROR(INDEX('Metas Lubrificantes'!$A:$XR,MATCH(Graxa!E6,'Metas Lubrificantes'!A:A,0),MATCH(Graxa!U6,'Metas Lubrificantes'!$1:$1,0)+14),"-")</f>
        <v>0.5</v>
      </c>
      <c r="S6" s="10">
        <f t="shared" si="8"/>
        <v>0.125</v>
      </c>
      <c r="T6" s="4" t="str">
        <f t="shared" si="9"/>
        <v>CRÍTICO</v>
      </c>
      <c r="U6" s="16" t="s">
        <v>46</v>
      </c>
      <c r="V6" s="20" t="s">
        <v>62</v>
      </c>
      <c r="Y6" s="26" cm="1">
        <f t="array" ref="Y6">IFERROR(X6+IF(C6&lt;C5,LARGE(LOOKUP(V6,$V$1:$V5,$Z$1:$Z5),1),LOOKUP(2,1/($V$1:$V5=V6),($Z$1:$Z5))),"-")</f>
        <v>166</v>
      </c>
      <c r="Z6" s="26">
        <f t="shared" si="11"/>
        <v>165</v>
      </c>
    </row>
    <row r="7" spans="1:27" x14ac:dyDescent="0.3">
      <c r="A7" s="4">
        <f t="shared" ref="A7" si="12">IFERROR(YEAR(C7),"-")</f>
        <v>2026</v>
      </c>
      <c r="B7" s="8">
        <f t="shared" ref="B7:B8" si="13">IFERROR(DATE(YEAR(C7),MONTH(C7),MONTH(C7)),"-")</f>
        <v>46023</v>
      </c>
      <c r="C7" s="21">
        <v>46024</v>
      </c>
      <c r="D7" s="20" t="s">
        <v>60</v>
      </c>
      <c r="E7" s="4" t="str">
        <f>IFERROR(VLOOKUP(D7,Cadastros!A:B,2,FALSE),"-")</f>
        <v>GARRA TRAÇADORA 2</v>
      </c>
      <c r="F7" s="4" t="str">
        <f>IFERROR(VLOOKUP(E7,Cadastros!B:D,3,FALSE),"-")</f>
        <v>TRAÇAMENTO</v>
      </c>
      <c r="G7" s="28">
        <v>700</v>
      </c>
      <c r="H7" s="27">
        <v>711</v>
      </c>
      <c r="I7" s="15">
        <v>1</v>
      </c>
      <c r="J7" s="14">
        <f t="shared" ref="J7:J8" si="14">IFERROR(IF(H7-G7&lt;0,"-",H7-G7),"-")</f>
        <v>11</v>
      </c>
      <c r="K7" s="14">
        <f t="shared" ca="1" si="0"/>
        <v>9.0909090909090912E-2</v>
      </c>
      <c r="L7" s="4" t="str">
        <f t="shared" ref="L7:L8" ca="1" si="15">IFERROR(IF(K7&lt;=S7,"EXCELENTE",IF(K7&lt;=Q7,"BOM",IF(K7&lt;=O7,"ATENÇÃO",IF(K7&gt;O7,"CRÍTICO","-")))),"-")</f>
        <v>EXCELENTE</v>
      </c>
      <c r="M7" s="14">
        <f t="shared" ref="M7:M8" si="16">IFERROR(I7/J7,"-")</f>
        <v>9.0909090909090912E-2</v>
      </c>
      <c r="N7" s="10" cm="1">
        <f t="array" ref="N7">IFERROR(INDEX('Metas Lubrificantes'!$A:$XR,MATCH(Graxa!E7,'Metas Lubrificantes'!A:A,0),MATCH(Graxa!U7,'Metas Lubrificantes'!$1:$1,0)+12),"-")</f>
        <v>1</v>
      </c>
      <c r="O7" s="14">
        <f t="shared" ref="O7:O8" si="17">IFERROR(N7/J7,"-")</f>
        <v>9.0909090909090912E-2</v>
      </c>
      <c r="P7" s="10" cm="1">
        <f t="array" ref="P7">IFERROR(INDEX('Metas Lubrificantes'!$A:$XR,MATCH(Graxa!E7,'Metas Lubrificantes'!A:A,0),MATCH(Graxa!U7,'Metas Lubrificantes'!$1:$1,0)+13),"-")</f>
        <v>1</v>
      </c>
      <c r="Q7" s="14">
        <f t="shared" ref="Q7:Q8" si="18">IFERROR(P7/J7,"-")</f>
        <v>9.0909090909090912E-2</v>
      </c>
      <c r="R7" s="10" cm="1">
        <f t="array" ref="R7">IFERROR(INDEX('Metas Lubrificantes'!$A:$XR,MATCH(Graxa!E7,'Metas Lubrificantes'!A:A,0),MATCH(Graxa!U7,'Metas Lubrificantes'!$1:$1,0)+14),"-")</f>
        <v>1</v>
      </c>
      <c r="S7" s="10">
        <f t="shared" ref="S7:S8" si="19">IFERROR(R7/J7,"-")</f>
        <v>9.0909090909090912E-2</v>
      </c>
      <c r="T7" s="4" t="str">
        <f t="shared" ref="T7:T8" si="20">IFERROR(IF(M7&lt;=S7,"EXCELENTE",IF(M7&lt;=Q7,"BOM",IF(M7&lt;=O7,"ATENÇÃO",IF(M7&gt;O7,"CRÍTICO","-")))),"-")</f>
        <v>EXCELENTE</v>
      </c>
      <c r="U7" s="16" t="s">
        <v>46</v>
      </c>
      <c r="V7" s="20" t="s">
        <v>62</v>
      </c>
      <c r="Y7" s="26" cm="1">
        <f t="array" ref="Y7">IFERROR(X7+IF(C7&lt;C6,LARGE(LOOKUP(V7,$V$1:$V6,$Z$1:$Z6),1),LOOKUP(2,1/($V$1:$V6=V7),($Z$1:$Z6))),"-")</f>
        <v>165</v>
      </c>
      <c r="Z7" s="26">
        <f t="shared" si="11"/>
        <v>164</v>
      </c>
    </row>
    <row r="8" spans="1:27" x14ac:dyDescent="0.3">
      <c r="A8" s="4">
        <f>IFERROR(YEAR(C8),"-")</f>
        <v>2026</v>
      </c>
      <c r="B8" s="8">
        <f t="shared" si="13"/>
        <v>46023</v>
      </c>
      <c r="C8" s="21">
        <v>46024</v>
      </c>
      <c r="D8" s="20" t="s">
        <v>52</v>
      </c>
      <c r="E8" s="4" t="str">
        <f>IFERROR(VLOOKUP(D8,Cadastros!A:B,2,FALSE),"-")</f>
        <v>FELLER BUNCHER 2</v>
      </c>
      <c r="F8" s="4" t="str">
        <f>IFERROR(VLOOKUP(E8,Cadastros!B:D,3,FALSE),"-")</f>
        <v>CORTE</v>
      </c>
      <c r="G8" s="26" cm="1">
        <f t="array" ref="G8">IF(C8&lt;C7,LARGE(LOOKUP(D8,$D$1:$D7,$H$1:$H7),1),LOOKUP(2,1/($D$1:$D7=D8),($H$1:$H7)))</f>
        <v>2012</v>
      </c>
      <c r="H8" s="27">
        <v>2025</v>
      </c>
      <c r="I8" s="15">
        <v>0.5</v>
      </c>
      <c r="J8" s="14">
        <f t="shared" si="14"/>
        <v>13</v>
      </c>
      <c r="K8" s="14">
        <f t="shared" ca="1" si="0"/>
        <v>8.8235294117647065E-2</v>
      </c>
      <c r="L8" s="4" t="str">
        <f t="shared" ca="1" si="15"/>
        <v>CRÍTICO</v>
      </c>
      <c r="M8" s="14">
        <f t="shared" si="16"/>
        <v>3.8461538461538464E-2</v>
      </c>
      <c r="N8" s="10" cm="1">
        <f t="array" ref="N8">IFERROR(INDEX('Metas Lubrificantes'!$A:$XR,MATCH(Graxa!E8,'Metas Lubrificantes'!A:A,0),MATCH(Graxa!U8,'Metas Lubrificantes'!$1:$1,0)+12),"-")</f>
        <v>0.65833333333333344</v>
      </c>
      <c r="O8" s="14">
        <f t="shared" si="17"/>
        <v>5.0641025641025648E-2</v>
      </c>
      <c r="P8" s="10" cm="1">
        <f t="array" ref="P8">IFERROR(INDEX('Metas Lubrificantes'!$A:$XR,MATCH(Graxa!E8,'Metas Lubrificantes'!A:A,0),MATCH(Graxa!U8,'Metas Lubrificantes'!$1:$1,0)+13),"-")</f>
        <v>0.69444444444444442</v>
      </c>
      <c r="Q8" s="14">
        <f t="shared" si="18"/>
        <v>5.3418803418803416E-2</v>
      </c>
      <c r="R8" s="10" cm="1">
        <f t="array" ref="R8">IFERROR(INDEX('Metas Lubrificantes'!$A:$XR,MATCH(Graxa!E8,'Metas Lubrificantes'!A:A,0),MATCH(Graxa!U8,'Metas Lubrificantes'!$1:$1,0)+14),"-")</f>
        <v>0.5</v>
      </c>
      <c r="S8" s="10">
        <f t="shared" si="19"/>
        <v>3.8461538461538464E-2</v>
      </c>
      <c r="T8" s="4" t="str">
        <f t="shared" si="20"/>
        <v>EXCELENTE</v>
      </c>
      <c r="U8" s="16" t="s">
        <v>46</v>
      </c>
      <c r="V8" s="20" t="s">
        <v>62</v>
      </c>
      <c r="Y8" s="26" cm="1">
        <f t="array" ref="Y8">IFERROR(X8+IF(C8&lt;C7,LARGE(LOOKUP(V8,$V$1:$V7,$Z$1:$Z7),1),LOOKUP(2,1/($V$1:$V7=V8),($Z$1:$Z7))),"-")</f>
        <v>164</v>
      </c>
      <c r="Z8" s="26">
        <f t="shared" si="11"/>
        <v>163.5</v>
      </c>
    </row>
    <row r="9" spans="1:27" x14ac:dyDescent="0.3">
      <c r="A9" s="4">
        <f t="shared" ref="A9:A11" si="21">IFERROR(YEAR(C9),"-")</f>
        <v>2026</v>
      </c>
      <c r="B9" s="8">
        <f t="shared" ref="B9:B11" si="22">IFERROR(DATE(YEAR(C9),MONTH(C9),MONTH(C9)),"-")</f>
        <v>46023</v>
      </c>
      <c r="C9" s="21">
        <v>46024</v>
      </c>
      <c r="D9" s="20" t="s">
        <v>50</v>
      </c>
      <c r="E9" s="4" t="str">
        <f>IFERROR(VLOOKUP(D9,Cadastros!A:B,2,FALSE),"-")</f>
        <v>FELLER BUNCHER 1</v>
      </c>
      <c r="F9" s="4" t="str">
        <f>IFERROR(VLOOKUP(E9,Cadastros!B:D,3,FALSE),"-")</f>
        <v>CORTE</v>
      </c>
      <c r="G9" s="26" cm="1">
        <f t="array" ref="G9">IF(C9&lt;C8,LARGE(LOOKUP(D9,$D$1:$D8,$H$1:$H8),1),LOOKUP(2,1/($D$1:$D8=D9),($H$1:$H8)))</f>
        <v>1012</v>
      </c>
      <c r="H9" s="27">
        <v>1018</v>
      </c>
      <c r="I9" s="15">
        <v>0.5</v>
      </c>
      <c r="J9" s="14">
        <f t="shared" ref="J9:J11" si="23">IFERROR(IF(H9-G9&lt;0,"-",H9-G9),"-")</f>
        <v>6</v>
      </c>
      <c r="K9" s="14">
        <f t="shared" ca="1" si="0"/>
        <v>8.3333333333333329E-2</v>
      </c>
      <c r="L9" s="4" t="str">
        <f t="shared" ref="L9:L11" ca="1" si="24">IFERROR(IF(K9&lt;=S9,"EXCELENTE",IF(K9&lt;=Q9,"BOM",IF(K9&lt;=O9,"ATENÇÃO",IF(K9&gt;O9,"CRÍTICO","-")))),"-")</f>
        <v>EXCELENTE</v>
      </c>
      <c r="M9" s="14">
        <f t="shared" ref="M9:M11" si="25">IFERROR(I9/J9,"-")</f>
        <v>8.3333333333333329E-2</v>
      </c>
      <c r="N9" s="10" cm="1">
        <f t="array" ref="N9">IFERROR(INDEX('Metas Lubrificantes'!$A:$XR,MATCH(Graxa!E9,'Metas Lubrificantes'!A:A,0),MATCH(Graxa!U9,'Metas Lubrificantes'!$1:$1,0)+12),"-")</f>
        <v>1.4333333333333333</v>
      </c>
      <c r="O9" s="14">
        <f t="shared" ref="O9:O11" si="26">IFERROR(N9/J9,"-")</f>
        <v>0.2388888888888889</v>
      </c>
      <c r="P9" s="10" cm="1">
        <f t="array" ref="P9">IFERROR(INDEX('Metas Lubrificantes'!$A:$XR,MATCH(Graxa!E9,'Metas Lubrificantes'!A:A,0),MATCH(Graxa!U9,'Metas Lubrificantes'!$1:$1,0)+13),"-")</f>
        <v>1.088888888888889</v>
      </c>
      <c r="Q9" s="14">
        <f t="shared" ref="Q9:Q11" si="27">IFERROR(P9/J9,"-")</f>
        <v>0.18148148148148149</v>
      </c>
      <c r="R9" s="10" cm="1">
        <f t="array" ref="R9">IFERROR(INDEX('Metas Lubrificantes'!$A:$XR,MATCH(Graxa!E9,'Metas Lubrificantes'!A:A,0),MATCH(Graxa!U9,'Metas Lubrificantes'!$1:$1,0)+14),"-")</f>
        <v>0.5</v>
      </c>
      <c r="S9" s="10">
        <f t="shared" ref="S9:S11" si="28">IFERROR(R9/J9,"-")</f>
        <v>8.3333333333333329E-2</v>
      </c>
      <c r="T9" s="4" t="str">
        <f t="shared" ref="T9:T11" si="29">IFERROR(IF(M9&lt;=S9,"EXCELENTE",IF(M9&lt;=Q9,"BOM",IF(M9&lt;=O9,"ATENÇÃO",IF(M9&gt;O9,"CRÍTICO","-")))),"-")</f>
        <v>EXCELENTE</v>
      </c>
      <c r="U9" s="16" t="s">
        <v>46</v>
      </c>
      <c r="V9" s="20" t="s">
        <v>62</v>
      </c>
      <c r="Y9" s="26" cm="1">
        <f t="array" ref="Y9">IFERROR(X9+IF(C9&lt;C8,LARGE(LOOKUP(V9,$V$1:$V8,$Z$1:$Z8),1),LOOKUP(2,1/($V$1:$V8=V9),($Z$1:$Z8))),"-")</f>
        <v>163.5</v>
      </c>
      <c r="Z9" s="26">
        <f t="shared" si="11"/>
        <v>163</v>
      </c>
    </row>
    <row r="10" spans="1:27" x14ac:dyDescent="0.3">
      <c r="A10" s="4">
        <f t="shared" si="21"/>
        <v>2026</v>
      </c>
      <c r="B10" s="8">
        <f t="shared" si="22"/>
        <v>46023</v>
      </c>
      <c r="C10" s="21">
        <v>46024</v>
      </c>
      <c r="D10" s="20" t="s">
        <v>56</v>
      </c>
      <c r="E10" s="4" t="str">
        <f>IFERROR(VLOOKUP(D10,Cadastros!A:B,2,FALSE),"-")</f>
        <v>SKIDDER 2</v>
      </c>
      <c r="F10" s="4" t="str">
        <f>IFERROR(VLOOKUP(E10,Cadastros!B:D,3,FALSE),"-")</f>
        <v>ARRASTE</v>
      </c>
      <c r="G10" s="26" cm="1">
        <f t="array" ref="G10">IF(C10&lt;C9,LARGE(LOOKUP(D10,$D$1:$D9,$H$1:$H9),1),LOOKUP(2,1/($D$1:$D9=D10),($H$1:$H9)))</f>
        <v>2106</v>
      </c>
      <c r="H10" s="27">
        <v>2110</v>
      </c>
      <c r="I10" s="15">
        <v>0.5</v>
      </c>
      <c r="J10" s="14">
        <f t="shared" si="23"/>
        <v>4</v>
      </c>
      <c r="K10" s="14">
        <f t="shared" ca="1" si="0"/>
        <v>0.27777777777777779</v>
      </c>
      <c r="L10" s="4" t="str">
        <f t="shared" ca="1" si="24"/>
        <v>BOM</v>
      </c>
      <c r="M10" s="14">
        <f t="shared" si="25"/>
        <v>0.125</v>
      </c>
      <c r="N10" s="10" cm="1">
        <f t="array" ref="N10">IFERROR(INDEX('Metas Lubrificantes'!$A:$XR,MATCH(Graxa!E10,'Metas Lubrificantes'!A:A,0),MATCH(Graxa!U10,'Metas Lubrificantes'!$1:$1,0)+12),"-")</f>
        <v>1.3166666666666667</v>
      </c>
      <c r="O10" s="14">
        <f t="shared" si="26"/>
        <v>0.32916666666666666</v>
      </c>
      <c r="P10" s="10" cm="1">
        <f t="array" ref="P10">IFERROR(INDEX('Metas Lubrificantes'!$A:$XR,MATCH(Graxa!E10,'Metas Lubrificantes'!A:A,0),MATCH(Graxa!U10,'Metas Lubrificantes'!$1:$1,0)+13),"-")</f>
        <v>1.125</v>
      </c>
      <c r="Q10" s="14">
        <f t="shared" si="27"/>
        <v>0.28125</v>
      </c>
      <c r="R10" s="10" cm="1">
        <f t="array" ref="R10">IFERROR(INDEX('Metas Lubrificantes'!$A:$XR,MATCH(Graxa!E10,'Metas Lubrificantes'!A:A,0),MATCH(Graxa!U10,'Metas Lubrificantes'!$1:$1,0)+14),"-")</f>
        <v>0.5</v>
      </c>
      <c r="S10" s="10">
        <f t="shared" si="28"/>
        <v>0.125</v>
      </c>
      <c r="T10" s="4" t="str">
        <f t="shared" si="29"/>
        <v>EXCELENTE</v>
      </c>
      <c r="U10" s="16" t="s">
        <v>46</v>
      </c>
      <c r="V10" s="20" t="s">
        <v>62</v>
      </c>
      <c r="Y10" s="26" cm="1">
        <f t="array" ref="Y10">IFERROR(X10+IF(C10&lt;C9,LARGE(LOOKUP(V10,$V$1:$V9,$Z$1:$Z9),1),LOOKUP(2,1/($V$1:$V9=V10),($Z$1:$Z9))),"-")</f>
        <v>163</v>
      </c>
      <c r="Z10" s="26">
        <f t="shared" si="11"/>
        <v>162.5</v>
      </c>
    </row>
    <row r="11" spans="1:27" x14ac:dyDescent="0.3">
      <c r="A11" s="4">
        <f t="shared" si="21"/>
        <v>2026</v>
      </c>
      <c r="B11" s="8">
        <f t="shared" si="22"/>
        <v>46023</v>
      </c>
      <c r="C11" s="21">
        <v>46024</v>
      </c>
      <c r="D11" s="20" t="s">
        <v>56</v>
      </c>
      <c r="E11" s="4" t="str">
        <f>IFERROR(VLOOKUP(D11,Cadastros!A:B,2,FALSE),"-")</f>
        <v>SKIDDER 2</v>
      </c>
      <c r="F11" s="4" t="str">
        <f>IFERROR(VLOOKUP(E11,Cadastros!B:D,3,FALSE),"-")</f>
        <v>ARRASTE</v>
      </c>
      <c r="G11" s="26" cm="1">
        <f t="array" ref="G11">IF(C11&lt;C10,LARGE(LOOKUP(D11,$D$1:$D10,$H$1:$H10),1),LOOKUP(2,1/($D$1:$D10=D11),($H$1:$H10)))</f>
        <v>2110</v>
      </c>
      <c r="H11" s="27">
        <v>2115</v>
      </c>
      <c r="I11" s="15">
        <v>2</v>
      </c>
      <c r="J11" s="14">
        <f t="shared" si="23"/>
        <v>5</v>
      </c>
      <c r="K11" s="14">
        <f t="shared" ca="1" si="0"/>
        <v>0.27777777777777779</v>
      </c>
      <c r="L11" s="4" t="str">
        <f t="shared" ca="1" si="24"/>
        <v>CRÍTICO</v>
      </c>
      <c r="M11" s="14">
        <f t="shared" si="25"/>
        <v>0.4</v>
      </c>
      <c r="N11" s="10" cm="1">
        <f t="array" ref="N11">IFERROR(INDEX('Metas Lubrificantes'!$A:$XR,MATCH(Graxa!E11,'Metas Lubrificantes'!A:A,0),MATCH(Graxa!U11,'Metas Lubrificantes'!$1:$1,0)+12),"-")</f>
        <v>1.3166666666666667</v>
      </c>
      <c r="O11" s="14">
        <f t="shared" si="26"/>
        <v>0.26333333333333331</v>
      </c>
      <c r="P11" s="10" cm="1">
        <f t="array" ref="P11">IFERROR(INDEX('Metas Lubrificantes'!$A:$XR,MATCH(Graxa!E11,'Metas Lubrificantes'!A:A,0),MATCH(Graxa!U11,'Metas Lubrificantes'!$1:$1,0)+13),"-")</f>
        <v>1.125</v>
      </c>
      <c r="Q11" s="14">
        <f t="shared" si="27"/>
        <v>0.22500000000000001</v>
      </c>
      <c r="R11" s="10" cm="1">
        <f t="array" ref="R11">IFERROR(INDEX('Metas Lubrificantes'!$A:$XR,MATCH(Graxa!E11,'Metas Lubrificantes'!A:A,0),MATCH(Graxa!U11,'Metas Lubrificantes'!$1:$1,0)+14),"-")</f>
        <v>0.5</v>
      </c>
      <c r="S11" s="10">
        <f t="shared" si="28"/>
        <v>0.1</v>
      </c>
      <c r="T11" s="4" t="str">
        <f t="shared" si="29"/>
        <v>CRÍTICO</v>
      </c>
      <c r="U11" s="16" t="s">
        <v>46</v>
      </c>
      <c r="V11" s="20" t="s">
        <v>62</v>
      </c>
      <c r="Y11" s="26" cm="1">
        <f t="array" ref="Y11">IFERROR(X11+IF(C11&lt;C10,LARGE(LOOKUP(V11,$V$1:$V10,$Z$1:$Z10),1),LOOKUP(2,1/($V$1:$V10=V11),($Z$1:$Z10))),"-")</f>
        <v>162.5</v>
      </c>
      <c r="Z11" s="26">
        <f t="shared" si="11"/>
        <v>160.5</v>
      </c>
    </row>
    <row r="12" spans="1:27" x14ac:dyDescent="0.3">
      <c r="A12" s="4">
        <f t="shared" ref="A12:A13" si="30">IFERROR(YEAR(C12),"-")</f>
        <v>2026</v>
      </c>
      <c r="B12" s="8">
        <f t="shared" ref="B12:B13" si="31">IFERROR(DATE(YEAR(C12),MONTH(C12),MONTH(C12)),"-")</f>
        <v>46023</v>
      </c>
      <c r="C12" s="21">
        <v>46025</v>
      </c>
      <c r="D12" s="20" t="s">
        <v>50</v>
      </c>
      <c r="E12" s="4" t="str">
        <f>IFERROR(VLOOKUP(D12,Cadastros!A:B,2,FALSE),"-")</f>
        <v>FELLER BUNCHER 1</v>
      </c>
      <c r="F12" s="4" t="str">
        <f>IFERROR(VLOOKUP(E12,Cadastros!B:D,3,FALSE),"-")</f>
        <v>CORTE</v>
      </c>
      <c r="G12" s="26" cm="1">
        <f t="array" ref="G12">IF(C12&lt;C11,LARGE(LOOKUP(D12,$D$1:$D11,$H$1:$H11),1),LOOKUP(2,1/($D$1:$D11=D12),($H$1:$H11)))</f>
        <v>1018</v>
      </c>
      <c r="H12" s="27">
        <v>1025</v>
      </c>
      <c r="I12" s="15">
        <v>2</v>
      </c>
      <c r="J12" s="14">
        <f t="shared" ref="J12:J13" si="32">IFERROR(IF(H12-G12&lt;0,"-",H12-G12),"-")</f>
        <v>7</v>
      </c>
      <c r="K12" s="14">
        <f t="shared" ca="1" si="0"/>
        <v>0.2857142857142857</v>
      </c>
      <c r="L12" s="4" t="str">
        <f t="shared" ref="L12:L13" ca="1" si="33">IFERROR(IF(K12&lt;=S12,"EXCELENTE",IF(K12&lt;=Q12,"BOM",IF(K12&lt;=O12,"ATENÇÃO",IF(K12&gt;O12,"CRÍTICO","-")))),"-")</f>
        <v>CRÍTICO</v>
      </c>
      <c r="M12" s="14">
        <f t="shared" ref="M12:M13" si="34">IFERROR(I12/J12,"-")</f>
        <v>0.2857142857142857</v>
      </c>
      <c r="N12" s="10" cm="1">
        <f t="array" ref="N12">IFERROR(INDEX('Metas Lubrificantes'!$A:$XR,MATCH(Graxa!E12,'Metas Lubrificantes'!A:A,0),MATCH(Graxa!U12,'Metas Lubrificantes'!$1:$1,0)+12),"-")</f>
        <v>1.4333333333333333</v>
      </c>
      <c r="O12" s="14">
        <f t="shared" ref="O12:O13" si="35">IFERROR(N12/J12,"-")</f>
        <v>0.20476190476190476</v>
      </c>
      <c r="P12" s="10" cm="1">
        <f t="array" ref="P12">IFERROR(INDEX('Metas Lubrificantes'!$A:$XR,MATCH(Graxa!E12,'Metas Lubrificantes'!A:A,0),MATCH(Graxa!U12,'Metas Lubrificantes'!$1:$1,0)+13),"-")</f>
        <v>1.088888888888889</v>
      </c>
      <c r="Q12" s="14">
        <f t="shared" ref="Q12:Q13" si="36">IFERROR(P12/J12,"-")</f>
        <v>0.15555555555555559</v>
      </c>
      <c r="R12" s="10" cm="1">
        <f t="array" ref="R12">IFERROR(INDEX('Metas Lubrificantes'!$A:$XR,MATCH(Graxa!E12,'Metas Lubrificantes'!A:A,0),MATCH(Graxa!U12,'Metas Lubrificantes'!$1:$1,0)+14),"-")</f>
        <v>0.5</v>
      </c>
      <c r="S12" s="10">
        <f t="shared" ref="S12:S13" si="37">IFERROR(R12/J12,"-")</f>
        <v>7.1428571428571425E-2</v>
      </c>
      <c r="T12" s="4" t="str">
        <f t="shared" ref="T12:T13" si="38">IFERROR(IF(M12&lt;=S12,"EXCELENTE",IF(M12&lt;=Q12,"BOM",IF(M12&lt;=O12,"ATENÇÃO",IF(M12&gt;O12,"CRÍTICO","-")))),"-")</f>
        <v>CRÍTICO</v>
      </c>
      <c r="U12" s="16" t="s">
        <v>46</v>
      </c>
      <c r="V12" s="20" t="s">
        <v>62</v>
      </c>
      <c r="Y12" s="26" cm="1">
        <f t="array" ref="Y12">IFERROR(X12+IF(C12&lt;C11,LARGE(LOOKUP(V12,$V$1:$V11,$Z$1:$Z11),1),LOOKUP(2,1/($V$1:$V11=V12),($Z$1:$Z11))),"-")</f>
        <v>160.5</v>
      </c>
      <c r="Z12" s="26">
        <f t="shared" si="11"/>
        <v>158.5</v>
      </c>
    </row>
    <row r="13" spans="1:27" x14ac:dyDescent="0.3">
      <c r="A13" s="4">
        <f t="shared" si="30"/>
        <v>2026</v>
      </c>
      <c r="B13" s="8">
        <f t="shared" si="31"/>
        <v>46023</v>
      </c>
      <c r="C13" s="21">
        <v>46025</v>
      </c>
      <c r="D13" s="20" t="s">
        <v>58</v>
      </c>
      <c r="E13" s="4" t="str">
        <f>IFERROR(VLOOKUP(D13,Cadastros!A:B,2,FALSE),"-")</f>
        <v>GARRA TRAÇADORA 1</v>
      </c>
      <c r="F13" s="4" t="str">
        <f>IFERROR(VLOOKUP(E13,Cadastros!B:D,3,FALSE),"-")</f>
        <v>TRAÇAMENTO</v>
      </c>
      <c r="G13" s="28">
        <v>500</v>
      </c>
      <c r="H13" s="27">
        <v>510</v>
      </c>
      <c r="I13" s="15">
        <v>1</v>
      </c>
      <c r="J13" s="14">
        <f t="shared" si="32"/>
        <v>10</v>
      </c>
      <c r="K13" s="14">
        <f t="shared" ca="1" si="0"/>
        <v>0.1</v>
      </c>
      <c r="L13" s="4" t="str">
        <f t="shared" ca="1" si="33"/>
        <v>EXCELENTE</v>
      </c>
      <c r="M13" s="14">
        <f t="shared" si="34"/>
        <v>0.1</v>
      </c>
      <c r="N13" s="10" cm="1">
        <f t="array" ref="N13">IFERROR(INDEX('Metas Lubrificantes'!$A:$XR,MATCH(Graxa!E13,'Metas Lubrificantes'!A:A,0),MATCH(Graxa!U13,'Metas Lubrificantes'!$1:$1,0)+12),"-")</f>
        <v>1</v>
      </c>
      <c r="O13" s="14">
        <f t="shared" si="35"/>
        <v>0.1</v>
      </c>
      <c r="P13" s="10" cm="1">
        <f t="array" ref="P13">IFERROR(INDEX('Metas Lubrificantes'!$A:$XR,MATCH(Graxa!E13,'Metas Lubrificantes'!A:A,0),MATCH(Graxa!U13,'Metas Lubrificantes'!$1:$1,0)+13),"-")</f>
        <v>1</v>
      </c>
      <c r="Q13" s="14">
        <f t="shared" si="36"/>
        <v>0.1</v>
      </c>
      <c r="R13" s="10" cm="1">
        <f t="array" ref="R13">IFERROR(INDEX('Metas Lubrificantes'!$A:$XR,MATCH(Graxa!E13,'Metas Lubrificantes'!A:A,0),MATCH(Graxa!U13,'Metas Lubrificantes'!$1:$1,0)+14),"-")</f>
        <v>1</v>
      </c>
      <c r="S13" s="10">
        <f t="shared" si="37"/>
        <v>0.1</v>
      </c>
      <c r="T13" s="4" t="str">
        <f t="shared" si="38"/>
        <v>EXCELENTE</v>
      </c>
      <c r="U13" s="16" t="s">
        <v>46</v>
      </c>
      <c r="V13" s="20" t="s">
        <v>62</v>
      </c>
      <c r="Y13" s="26" cm="1">
        <f t="array" ref="Y13">IFERROR(X13+IF(C13&lt;C12,LARGE(LOOKUP(V13,$V$1:$V12,$Z$1:$Z12),1),LOOKUP(2,1/($V$1:$V12=V13),($Z$1:$Z12))),"-")</f>
        <v>158.5</v>
      </c>
      <c r="Z13" s="26">
        <f t="shared" si="11"/>
        <v>157.5</v>
      </c>
    </row>
    <row r="14" spans="1:27" x14ac:dyDescent="0.3">
      <c r="A14" s="4">
        <f t="shared" ref="A14:A16" si="39">IFERROR(YEAR(C14),"-")</f>
        <v>2026</v>
      </c>
      <c r="B14" s="8">
        <f t="shared" ref="B14:B16" si="40">IFERROR(DATE(YEAR(C14),MONTH(C14),MONTH(C14)),"-")</f>
        <v>46023</v>
      </c>
      <c r="C14" s="21">
        <v>46025</v>
      </c>
      <c r="D14" s="20" t="s">
        <v>54</v>
      </c>
      <c r="E14" s="4" t="str">
        <f>IFERROR(VLOOKUP(D14,Cadastros!A:B,2,FALSE),"-")</f>
        <v>SKIDDER 1</v>
      </c>
      <c r="F14" s="4" t="str">
        <f>IFERROR(VLOOKUP(E14,Cadastros!B:D,3,FALSE),"-")</f>
        <v>ARRASTE</v>
      </c>
      <c r="G14" s="26" cm="1">
        <f t="array" ref="G14">IF(C14&lt;C13,LARGE(LOOKUP(D14,$D$1:$D13,$H$1:$H13),1),LOOKUP(2,1/($D$1:$D13=D14),($H$1:$H13)))</f>
        <v>1215</v>
      </c>
      <c r="H14" s="27">
        <v>1219</v>
      </c>
      <c r="I14" s="15">
        <v>1</v>
      </c>
      <c r="J14" s="14">
        <f t="shared" ref="J14:J16" si="41">IFERROR(IF(H14-G14&lt;0,"-",H14-G14),"-")</f>
        <v>4</v>
      </c>
      <c r="K14" s="14">
        <f t="shared" ca="1" si="0"/>
        <v>0.25</v>
      </c>
      <c r="L14" s="4" t="str">
        <f t="shared" ref="L14:L16" ca="1" si="42">IFERROR(IF(K14&lt;=S14,"EXCELENTE",IF(K14&lt;=Q14,"BOM",IF(K14&lt;=O14,"ATENÇÃO",IF(K14&gt;O14,"CRÍTICO","-")))),"-")</f>
        <v>ATENÇÃO</v>
      </c>
      <c r="M14" s="14">
        <f t="shared" ref="M14:M16" si="43">IFERROR(I14/J14,"-")</f>
        <v>0.25</v>
      </c>
      <c r="N14" s="10" cm="1">
        <f t="array" ref="N14">IFERROR(INDEX('Metas Lubrificantes'!$A:$XR,MATCH(Graxa!E14,'Metas Lubrificantes'!A:A,0),MATCH(Graxa!U14,'Metas Lubrificantes'!$1:$1,0)+12),"-")</f>
        <v>1.2166666666666666</v>
      </c>
      <c r="O14" s="14">
        <f t="shared" ref="O14:O16" si="44">IFERROR(N14/J14,"-")</f>
        <v>0.30416666666666664</v>
      </c>
      <c r="P14" s="10" cm="1">
        <f t="array" ref="P14">IFERROR(INDEX('Metas Lubrificantes'!$A:$XR,MATCH(Graxa!E14,'Metas Lubrificantes'!A:A,0),MATCH(Graxa!U14,'Metas Lubrificantes'!$1:$1,0)+13),"-")</f>
        <v>0.88888888888888884</v>
      </c>
      <c r="Q14" s="14">
        <f t="shared" ref="Q14:Q16" si="45">IFERROR(P14/J14,"-")</f>
        <v>0.22222222222222221</v>
      </c>
      <c r="R14" s="10" cm="1">
        <f t="array" ref="R14">IFERROR(INDEX('Metas Lubrificantes'!$A:$XR,MATCH(Graxa!E14,'Metas Lubrificantes'!A:A,0),MATCH(Graxa!U14,'Metas Lubrificantes'!$1:$1,0)+14),"-")</f>
        <v>0.5</v>
      </c>
      <c r="S14" s="10">
        <f t="shared" ref="S14:S16" si="46">IFERROR(R14/J14,"-")</f>
        <v>0.125</v>
      </c>
      <c r="T14" s="4" t="str">
        <f t="shared" ref="T14:T16" si="47">IFERROR(IF(M14&lt;=S14,"EXCELENTE",IF(M14&lt;=Q14,"BOM",IF(M14&lt;=O14,"ATENÇÃO",IF(M14&gt;O14,"CRÍTICO","-")))),"-")</f>
        <v>ATENÇÃO</v>
      </c>
      <c r="U14" s="16" t="s">
        <v>46</v>
      </c>
      <c r="V14" s="20" t="s">
        <v>62</v>
      </c>
      <c r="Y14" s="26" cm="1">
        <f t="array" ref="Y14">IFERROR(X14+IF(C14&lt;C13,LARGE(LOOKUP(V14,$V$1:$V13,$Z$1:$Z13),1),LOOKUP(2,1/($V$1:$V13=V14),($Z$1:$Z13))),"-")</f>
        <v>157.5</v>
      </c>
      <c r="Z14" s="26">
        <f t="shared" si="11"/>
        <v>156.5</v>
      </c>
    </row>
    <row r="15" spans="1:27" x14ac:dyDescent="0.3">
      <c r="A15" s="4">
        <f t="shared" si="39"/>
        <v>2026</v>
      </c>
      <c r="B15" s="8">
        <f t="shared" si="40"/>
        <v>46023</v>
      </c>
      <c r="C15" s="21">
        <v>46025</v>
      </c>
      <c r="D15" s="20" t="s">
        <v>60</v>
      </c>
      <c r="E15" s="4" t="str">
        <f>IFERROR(VLOOKUP(D15,Cadastros!A:B,2,FALSE),"-")</f>
        <v>GARRA TRAÇADORA 2</v>
      </c>
      <c r="F15" s="4" t="str">
        <f>IFERROR(VLOOKUP(E15,Cadastros!B:D,3,FALSE),"-")</f>
        <v>TRAÇAMENTO</v>
      </c>
      <c r="G15" s="26" cm="1">
        <f t="array" ref="G15">IF(C15&lt;C14,LARGE(LOOKUP(D15,$D$1:$D14,$H$1:$H14),1),LOOKUP(2,1/($D$1:$D14=D15),($H$1:$H14)))</f>
        <v>711</v>
      </c>
      <c r="H15" s="27">
        <v>722</v>
      </c>
      <c r="I15" s="15">
        <v>1</v>
      </c>
      <c r="J15" s="14">
        <f t="shared" si="41"/>
        <v>11</v>
      </c>
      <c r="K15" s="14">
        <f t="shared" ca="1" si="0"/>
        <v>9.0909090909090912E-2</v>
      </c>
      <c r="L15" s="4" t="str">
        <f t="shared" ca="1" si="42"/>
        <v>EXCELENTE</v>
      </c>
      <c r="M15" s="14">
        <f t="shared" si="43"/>
        <v>9.0909090909090912E-2</v>
      </c>
      <c r="N15" s="10" cm="1">
        <f t="array" ref="N15">IFERROR(INDEX('Metas Lubrificantes'!$A:$XR,MATCH(Graxa!E15,'Metas Lubrificantes'!A:A,0),MATCH(Graxa!U15,'Metas Lubrificantes'!$1:$1,0)+12),"-")</f>
        <v>1</v>
      </c>
      <c r="O15" s="14">
        <f t="shared" si="44"/>
        <v>9.0909090909090912E-2</v>
      </c>
      <c r="P15" s="10" cm="1">
        <f t="array" ref="P15">IFERROR(INDEX('Metas Lubrificantes'!$A:$XR,MATCH(Graxa!E15,'Metas Lubrificantes'!A:A,0),MATCH(Graxa!U15,'Metas Lubrificantes'!$1:$1,0)+13),"-")</f>
        <v>1</v>
      </c>
      <c r="Q15" s="14">
        <f t="shared" si="45"/>
        <v>9.0909090909090912E-2</v>
      </c>
      <c r="R15" s="10" cm="1">
        <f t="array" ref="R15">IFERROR(INDEX('Metas Lubrificantes'!$A:$XR,MATCH(Graxa!E15,'Metas Lubrificantes'!A:A,0),MATCH(Graxa!U15,'Metas Lubrificantes'!$1:$1,0)+14),"-")</f>
        <v>1</v>
      </c>
      <c r="S15" s="10">
        <f t="shared" si="46"/>
        <v>9.0909090909090912E-2</v>
      </c>
      <c r="T15" s="4" t="str">
        <f t="shared" si="47"/>
        <v>EXCELENTE</v>
      </c>
      <c r="U15" s="16" t="s">
        <v>46</v>
      </c>
      <c r="V15" s="20" t="s">
        <v>62</v>
      </c>
      <c r="Y15" s="26" cm="1">
        <f t="array" ref="Y15">IFERROR(X15+IF(C15&lt;C14,LARGE(LOOKUP(V15,$V$1:$V14,$Z$1:$Z14),1),LOOKUP(2,1/($V$1:$V14=V15),($Z$1:$Z14))),"-")</f>
        <v>156.5</v>
      </c>
      <c r="Z15" s="26">
        <f t="shared" si="11"/>
        <v>155.5</v>
      </c>
    </row>
    <row r="16" spans="1:27" x14ac:dyDescent="0.3">
      <c r="A16" s="4">
        <f t="shared" si="39"/>
        <v>2026</v>
      </c>
      <c r="B16" s="8">
        <f t="shared" si="40"/>
        <v>46023</v>
      </c>
      <c r="C16" s="21">
        <v>46025</v>
      </c>
      <c r="D16" s="20" t="s">
        <v>56</v>
      </c>
      <c r="E16" s="4" t="str">
        <f>IFERROR(VLOOKUP(D16,Cadastros!A:B,2,FALSE),"-")</f>
        <v>SKIDDER 2</v>
      </c>
      <c r="F16" s="4" t="str">
        <f>IFERROR(VLOOKUP(E16,Cadastros!B:D,3,FALSE),"-")</f>
        <v>ARRASTE</v>
      </c>
      <c r="G16" s="26" cm="1">
        <f t="array" ref="G16">IF(C16&lt;C15,LARGE(LOOKUP(D16,$D$1:$D15,$H$1:$H15),1),LOOKUP(2,1/($D$1:$D15=D16),($H$1:$H15)))</f>
        <v>2115</v>
      </c>
      <c r="H16" s="27">
        <v>2123</v>
      </c>
      <c r="I16" s="15">
        <v>1</v>
      </c>
      <c r="J16" s="14">
        <f t="shared" si="41"/>
        <v>8</v>
      </c>
      <c r="K16" s="14">
        <f t="shared" ca="1" si="0"/>
        <v>0.125</v>
      </c>
      <c r="L16" s="4" t="str">
        <f t="shared" ca="1" si="42"/>
        <v>BOM</v>
      </c>
      <c r="M16" s="14">
        <f t="shared" si="43"/>
        <v>0.125</v>
      </c>
      <c r="N16" s="10" cm="1">
        <f t="array" ref="N16">IFERROR(INDEX('Metas Lubrificantes'!$A:$XR,MATCH(Graxa!E16,'Metas Lubrificantes'!A:A,0),MATCH(Graxa!U16,'Metas Lubrificantes'!$1:$1,0)+12),"-")</f>
        <v>1.3166666666666667</v>
      </c>
      <c r="O16" s="14">
        <f t="shared" si="44"/>
        <v>0.16458333333333333</v>
      </c>
      <c r="P16" s="10" cm="1">
        <f t="array" ref="P16">IFERROR(INDEX('Metas Lubrificantes'!$A:$XR,MATCH(Graxa!E16,'Metas Lubrificantes'!A:A,0),MATCH(Graxa!U16,'Metas Lubrificantes'!$1:$1,0)+13),"-")</f>
        <v>1.125</v>
      </c>
      <c r="Q16" s="14">
        <f t="shared" si="45"/>
        <v>0.140625</v>
      </c>
      <c r="R16" s="10" cm="1">
        <f t="array" ref="R16">IFERROR(INDEX('Metas Lubrificantes'!$A:$XR,MATCH(Graxa!E16,'Metas Lubrificantes'!A:A,0),MATCH(Graxa!U16,'Metas Lubrificantes'!$1:$1,0)+14),"-")</f>
        <v>0.5</v>
      </c>
      <c r="S16" s="10">
        <f t="shared" si="46"/>
        <v>6.25E-2</v>
      </c>
      <c r="T16" s="4" t="str">
        <f t="shared" si="47"/>
        <v>BOM</v>
      </c>
      <c r="U16" s="16" t="s">
        <v>46</v>
      </c>
      <c r="V16" s="20" t="s">
        <v>62</v>
      </c>
      <c r="Y16" s="26" cm="1">
        <f t="array" ref="Y16">IFERROR(X16+IF(C16&lt;C15,LARGE(LOOKUP(V16,$V$1:$V15,$Z$1:$Z15),1),LOOKUP(2,1/($V$1:$V15=V16),($Z$1:$Z15))),"-")</f>
        <v>155.5</v>
      </c>
      <c r="Z16" s="26">
        <f t="shared" si="11"/>
        <v>154.5</v>
      </c>
    </row>
    <row r="17" spans="1:26" x14ac:dyDescent="0.3">
      <c r="A17" s="4">
        <f t="shared" ref="A17:A18" si="48">IFERROR(YEAR(C17),"-")</f>
        <v>2026</v>
      </c>
      <c r="B17" s="8">
        <f t="shared" ref="B17:B18" si="49">IFERROR(DATE(YEAR(C17),MONTH(C17),MONTH(C17)),"-")</f>
        <v>46023</v>
      </c>
      <c r="C17" s="21">
        <v>46025</v>
      </c>
      <c r="D17" s="20" t="s">
        <v>52</v>
      </c>
      <c r="E17" s="4" t="str">
        <f>IFERROR(VLOOKUP(D17,Cadastros!A:B,2,FALSE),"-")</f>
        <v>FELLER BUNCHER 2</v>
      </c>
      <c r="F17" s="4" t="str">
        <f>IFERROR(VLOOKUP(E17,Cadastros!B:D,3,FALSE),"-")</f>
        <v>CORTE</v>
      </c>
      <c r="G17" s="26" cm="1">
        <f t="array" ref="G17">IF(C17&lt;C16,LARGE(LOOKUP(D17,$D$1:$D16,$H$1:$H16),1),LOOKUP(2,1/($D$1:$D16=D17),($H$1:$H16)))</f>
        <v>2025</v>
      </c>
      <c r="H17" s="27">
        <v>2034</v>
      </c>
      <c r="I17" s="15">
        <v>0.5</v>
      </c>
      <c r="J17" s="14">
        <f t="shared" ref="J17:J18" si="50">IFERROR(IF(H17-G17&lt;0,"-",H17-G17),"-")</f>
        <v>9</v>
      </c>
      <c r="K17" s="14">
        <f t="shared" ca="1" si="0"/>
        <v>5.5555555555555552E-2</v>
      </c>
      <c r="L17" s="4" t="str">
        <f t="shared" ref="L17:L18" ca="1" si="51">IFERROR(IF(K17&lt;=S17,"EXCELENTE",IF(K17&lt;=Q17,"BOM",IF(K17&lt;=O17,"ATENÇÃO",IF(K17&gt;O17,"CRÍTICO","-")))),"-")</f>
        <v>EXCELENTE</v>
      </c>
      <c r="M17" s="14">
        <f t="shared" ref="M17:M18" si="52">IFERROR(I17/J17,"-")</f>
        <v>5.5555555555555552E-2</v>
      </c>
      <c r="N17" s="10" cm="1">
        <f t="array" ref="N17">IFERROR(INDEX('Metas Lubrificantes'!$A:$XR,MATCH(Graxa!E17,'Metas Lubrificantes'!A:A,0),MATCH(Graxa!U17,'Metas Lubrificantes'!$1:$1,0)+12),"-")</f>
        <v>0.65833333333333344</v>
      </c>
      <c r="O17" s="14">
        <f t="shared" ref="O17:O18" si="53">IFERROR(N17/J17,"-")</f>
        <v>7.3148148148148157E-2</v>
      </c>
      <c r="P17" s="10" cm="1">
        <f t="array" ref="P17">IFERROR(INDEX('Metas Lubrificantes'!$A:$XR,MATCH(Graxa!E17,'Metas Lubrificantes'!A:A,0),MATCH(Graxa!U17,'Metas Lubrificantes'!$1:$1,0)+13),"-")</f>
        <v>0.69444444444444442</v>
      </c>
      <c r="Q17" s="14">
        <f t="shared" ref="Q17:Q18" si="54">IFERROR(P17/J17,"-")</f>
        <v>7.716049382716049E-2</v>
      </c>
      <c r="R17" s="10" cm="1">
        <f t="array" ref="R17">IFERROR(INDEX('Metas Lubrificantes'!$A:$XR,MATCH(Graxa!E17,'Metas Lubrificantes'!A:A,0),MATCH(Graxa!U17,'Metas Lubrificantes'!$1:$1,0)+14),"-")</f>
        <v>0.5</v>
      </c>
      <c r="S17" s="10">
        <f t="shared" ref="S17:S18" si="55">IFERROR(R17/J17,"-")</f>
        <v>5.5555555555555552E-2</v>
      </c>
      <c r="T17" s="4" t="str">
        <f t="shared" ref="T17:T18" si="56">IFERROR(IF(M17&lt;=S17,"EXCELENTE",IF(M17&lt;=Q17,"BOM",IF(M17&lt;=O17,"ATENÇÃO",IF(M17&gt;O17,"CRÍTICO","-")))),"-")</f>
        <v>EXCELENTE</v>
      </c>
      <c r="U17" s="16" t="s">
        <v>46</v>
      </c>
      <c r="V17" s="20" t="s">
        <v>62</v>
      </c>
      <c r="Y17" s="26" cm="1">
        <f t="array" ref="Y17">IFERROR(X17+IF(C17&lt;C16,LARGE(LOOKUP(V17,$V$1:$V16,$Z$1:$Z16),1),LOOKUP(2,1/($V$1:$V16=V17),($Z$1:$Z16))),"-")</f>
        <v>154.5</v>
      </c>
      <c r="Z17" s="26">
        <f t="shared" si="11"/>
        <v>154</v>
      </c>
    </row>
    <row r="18" spans="1:26" x14ac:dyDescent="0.3">
      <c r="A18" s="4">
        <f t="shared" si="48"/>
        <v>2026</v>
      </c>
      <c r="B18" s="8">
        <f t="shared" si="49"/>
        <v>46023</v>
      </c>
      <c r="C18" s="21">
        <v>46025</v>
      </c>
      <c r="D18" s="20" t="s">
        <v>54</v>
      </c>
      <c r="E18" s="4" t="str">
        <f>IFERROR(VLOOKUP(D18,Cadastros!A:B,2,FALSE),"-")</f>
        <v>SKIDDER 1</v>
      </c>
      <c r="F18" s="4" t="str">
        <f>IFERROR(VLOOKUP(E18,Cadastros!B:D,3,FALSE),"-")</f>
        <v>ARRASTE</v>
      </c>
      <c r="G18" s="26" cm="1">
        <f t="array" ref="G18">IF(C18&lt;C17,LARGE(LOOKUP(D18,$D$1:$D17,$H$1:$H17),1),LOOKUP(2,1/($D$1:$D17=D18),($H$1:$H17)))</f>
        <v>1219</v>
      </c>
      <c r="H18" s="27">
        <v>1221</v>
      </c>
      <c r="I18" s="15">
        <v>0.5</v>
      </c>
      <c r="J18" s="14">
        <f t="shared" si="50"/>
        <v>2</v>
      </c>
      <c r="K18" s="14">
        <f t="shared" ca="1" si="0"/>
        <v>0.25</v>
      </c>
      <c r="L18" s="4" t="str">
        <f t="shared" ca="1" si="51"/>
        <v>EXCELENTE</v>
      </c>
      <c r="M18" s="14">
        <f t="shared" si="52"/>
        <v>0.25</v>
      </c>
      <c r="N18" s="10" cm="1">
        <f t="array" ref="N18">IFERROR(INDEX('Metas Lubrificantes'!$A:$XR,MATCH(Graxa!E18,'Metas Lubrificantes'!A:A,0),MATCH(Graxa!U18,'Metas Lubrificantes'!$1:$1,0)+12),"-")</f>
        <v>1.2166666666666666</v>
      </c>
      <c r="O18" s="14">
        <f t="shared" si="53"/>
        <v>0.60833333333333328</v>
      </c>
      <c r="P18" s="10" cm="1">
        <f t="array" ref="P18">IFERROR(INDEX('Metas Lubrificantes'!$A:$XR,MATCH(Graxa!E18,'Metas Lubrificantes'!A:A,0),MATCH(Graxa!U18,'Metas Lubrificantes'!$1:$1,0)+13),"-")</f>
        <v>0.88888888888888884</v>
      </c>
      <c r="Q18" s="14">
        <f t="shared" si="54"/>
        <v>0.44444444444444442</v>
      </c>
      <c r="R18" s="10" cm="1">
        <f t="array" ref="R18">IFERROR(INDEX('Metas Lubrificantes'!$A:$XR,MATCH(Graxa!E18,'Metas Lubrificantes'!A:A,0),MATCH(Graxa!U18,'Metas Lubrificantes'!$1:$1,0)+14),"-")</f>
        <v>0.5</v>
      </c>
      <c r="S18" s="10">
        <f t="shared" si="55"/>
        <v>0.25</v>
      </c>
      <c r="T18" s="4" t="str">
        <f t="shared" si="56"/>
        <v>EXCELENTE</v>
      </c>
      <c r="U18" s="16" t="s">
        <v>46</v>
      </c>
      <c r="V18" s="20" t="s">
        <v>62</v>
      </c>
      <c r="Y18" s="26" cm="1">
        <f t="array" ref="Y18">IFERROR(X18+IF(C18&lt;C17,LARGE(LOOKUP(V18,$V$1:$V17,$Z$1:$Z17),1),LOOKUP(2,1/($V$1:$V17=V18),($Z$1:$Z17))),"-")</f>
        <v>154</v>
      </c>
      <c r="Z18" s="26">
        <f t="shared" si="11"/>
        <v>153.5</v>
      </c>
    </row>
  </sheetData>
  <autoFilter ref="A1:AA18" xr:uid="{FD5E54ED-729E-4EFC-A1FB-67A94E916E96}"/>
  <phoneticPr fontId="4" type="noConversion"/>
  <conditionalFormatting sqref="J2:J18">
    <cfRule type="cellIs" dxfId="25" priority="12" operator="greaterThan">
      <formula>70</formula>
    </cfRule>
  </conditionalFormatting>
  <conditionalFormatting sqref="K2:K18 M2:M18 O2:O18 Q2:Q18">
    <cfRule type="cellIs" dxfId="24" priority="11" operator="greaterThan">
      <formula>50</formula>
    </cfRule>
  </conditionalFormatting>
  <conditionalFormatting sqref="L1:L1048576 T1:U1048576">
    <cfRule type="cellIs" dxfId="23" priority="1" operator="equal">
      <formula>"EXCELENTE"</formula>
    </cfRule>
    <cfRule type="cellIs" dxfId="22" priority="2" operator="equal">
      <formula>"BOM"</formula>
    </cfRule>
    <cfRule type="cellIs" dxfId="21" priority="3" operator="equal">
      <formula>"ATENÇÃO"</formula>
    </cfRule>
    <cfRule type="cellIs" dxfId="20" priority="4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FA44-2927-4DA8-921C-9311BF1B4285}">
  <dimension ref="A1:AA25"/>
  <sheetViews>
    <sheetView topLeftCell="H1" zoomScale="85" zoomScaleNormal="85" workbookViewId="0">
      <pane ySplit="1" topLeftCell="A2" activePane="bottomLeft" state="frozen"/>
      <selection pane="bottomLeft" activeCell="L33" sqref="L33"/>
    </sheetView>
  </sheetViews>
  <sheetFormatPr defaultColWidth="8.88671875" defaultRowHeight="14.4" x14ac:dyDescent="0.3"/>
  <cols>
    <col min="1" max="1" width="8.88671875" style="4"/>
    <col min="2" max="2" width="13" style="8" customWidth="1"/>
    <col min="3" max="3" width="14.6640625" style="5" customWidth="1"/>
    <col min="4" max="4" width="16.6640625" style="3" customWidth="1"/>
    <col min="5" max="5" width="20.109375" style="4" customWidth="1"/>
    <col min="6" max="6" width="20.33203125" style="4" customWidth="1"/>
    <col min="7" max="7" width="16" style="10" customWidth="1"/>
    <col min="8" max="8" width="17.109375" style="11" customWidth="1"/>
    <col min="9" max="9" width="13.33203125" style="15" customWidth="1"/>
    <col min="10" max="10" width="13.33203125" style="10" customWidth="1"/>
    <col min="11" max="11" width="8.88671875" style="10"/>
    <col min="12" max="12" width="16.44140625" style="4" customWidth="1"/>
    <col min="13" max="13" width="12.6640625" style="10" customWidth="1"/>
    <col min="14" max="14" width="8.88671875" style="10"/>
    <col min="15" max="15" width="12.6640625" style="10" customWidth="1"/>
    <col min="16" max="16" width="8.88671875" style="10"/>
    <col min="17" max="17" width="14" style="10" customWidth="1"/>
    <col min="18" max="18" width="8.88671875" style="10"/>
    <col min="19" max="19" width="12.33203125" style="10" customWidth="1"/>
    <col min="20" max="20" width="16.44140625" style="4" customWidth="1"/>
    <col min="21" max="21" width="12.5546875" style="16" customWidth="1"/>
    <col min="22" max="22" width="11.88671875" style="3" customWidth="1"/>
    <col min="23" max="23" width="10.6640625" style="3" customWidth="1"/>
    <col min="24" max="24" width="10.88671875" style="3" customWidth="1"/>
    <col min="25" max="25" width="13.6640625" style="10" customWidth="1"/>
    <col min="26" max="26" width="8.88671875" style="4"/>
    <col min="27" max="16384" width="8.88671875" style="3"/>
  </cols>
  <sheetData>
    <row r="1" spans="1:27" s="1" customFormat="1" ht="36" customHeight="1" x14ac:dyDescent="0.3">
      <c r="A1" s="1" t="s">
        <v>8</v>
      </c>
      <c r="B1" s="7" t="s">
        <v>9</v>
      </c>
      <c r="C1" s="6" t="s">
        <v>10</v>
      </c>
      <c r="D1" s="1" t="s">
        <v>0</v>
      </c>
      <c r="E1" s="1" t="s">
        <v>1</v>
      </c>
      <c r="F1" s="1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45</v>
      </c>
      <c r="M1" s="9" t="s">
        <v>41</v>
      </c>
      <c r="N1" s="9" t="s">
        <v>17</v>
      </c>
      <c r="O1" s="9" t="s">
        <v>42</v>
      </c>
      <c r="P1" s="9" t="s">
        <v>18</v>
      </c>
      <c r="Q1" s="9" t="s">
        <v>43</v>
      </c>
      <c r="R1" s="9" t="s">
        <v>19</v>
      </c>
      <c r="S1" s="9" t="s">
        <v>44</v>
      </c>
      <c r="T1" s="9" t="s">
        <v>20</v>
      </c>
      <c r="U1" s="9" t="s">
        <v>47</v>
      </c>
      <c r="V1" s="1" t="s">
        <v>21</v>
      </c>
      <c r="W1" s="1" t="s">
        <v>22</v>
      </c>
      <c r="X1" s="1" t="s">
        <v>23</v>
      </c>
      <c r="Y1" s="9" t="s">
        <v>24</v>
      </c>
      <c r="Z1" s="1" t="s">
        <v>27</v>
      </c>
      <c r="AA1" s="1" t="s">
        <v>28</v>
      </c>
    </row>
    <row r="2" spans="1:27" x14ac:dyDescent="0.3">
      <c r="A2" s="4">
        <f>IFERROR(YEAR(C2),"-")</f>
        <v>2026</v>
      </c>
      <c r="B2" s="8">
        <f>IFERROR(DATE(YEAR(C2),MONTH(C2),MONTH(C2)),"-")</f>
        <v>46023</v>
      </c>
      <c r="C2" s="21">
        <v>46023</v>
      </c>
      <c r="D2" s="20" t="s">
        <v>50</v>
      </c>
      <c r="E2" s="4" t="str">
        <f>IFERROR(VLOOKUP(D2,Cadastros!A:B,2,FALSE),"-")</f>
        <v>FELLER BUNCHER 1</v>
      </c>
      <c r="F2" s="4" t="str">
        <f>IFERROR(VLOOKUP(E2,Cadastros!B:D,3,FALSE),"-")</f>
        <v>CORTE</v>
      </c>
      <c r="G2" s="28">
        <v>1000</v>
      </c>
      <c r="H2" s="27">
        <v>1012</v>
      </c>
      <c r="I2" s="15">
        <v>10</v>
      </c>
      <c r="J2" s="14">
        <f>IFERROR(IF(H2-G2&lt;0,"-",H2-G2),"-")</f>
        <v>12</v>
      </c>
      <c r="K2" s="14">
        <f t="shared" ref="K2:K18" ca="1" si="0">IFERROR(IF(C2&gt;=TODAY(),"",SUMIFS(I:I,E:E,E2,C:C,C2,B:B,B2)/SUMIFS(J:J,E:E,E2,C:C,C2,B:B,B2)),0)</f>
        <v>0.83333333333333337</v>
      </c>
      <c r="L2" s="4" t="str">
        <f ca="1">IFERROR(IF(K2&lt;=S2,"EXCELENTE",IF(K2&lt;=Q2,"BOM",IF(K2&lt;=O2,"ATENÇÃO",IF(K2&gt;O2,"CRÍTICO","-")))),"-")</f>
        <v>CRÍTICO</v>
      </c>
      <c r="M2" s="14">
        <f>IFERROR(I2/J2,"-")</f>
        <v>0.83333333333333337</v>
      </c>
      <c r="N2" s="10" cm="1">
        <f t="array" ref="N2">IFERROR(INDEX('Metas Lubrificantes'!$A:$XR,MATCH('15W40'!E2,'Metas Lubrificantes'!A:A,0),MATCH('15W40'!U2,'Metas Lubrificantes'!$1:$1,0)+12),"-")</f>
        <v>8.8666666666666671</v>
      </c>
      <c r="O2" s="14">
        <f>IFERROR(N2/J2,"-")</f>
        <v>0.73888888888888893</v>
      </c>
      <c r="P2" s="10" cm="1">
        <f t="array" ref="P2">IFERROR(INDEX('Metas Lubrificantes'!$A:$XR,MATCH('15W40'!E2,'Metas Lubrificantes'!A:A,0),MATCH('15W40'!U2,'Metas Lubrificantes'!$1:$1,0)+13),"-")</f>
        <v>6.9150326797385624</v>
      </c>
      <c r="Q2" s="14">
        <f>IFERROR(P2/J2,"-")</f>
        <v>0.57625272331154687</v>
      </c>
      <c r="R2" s="10" cm="1">
        <f t="array" ref="R2">IFERROR(INDEX('Metas Lubrificantes'!$A:$XR,MATCH('15W40'!E2,'Metas Lubrificantes'!A:A,0),MATCH('15W40'!U2,'Metas Lubrificantes'!$1:$1,0)+14),"-")</f>
        <v>5</v>
      </c>
      <c r="S2" s="10">
        <f>IFERROR(R2/J2,"-")</f>
        <v>0.41666666666666669</v>
      </c>
      <c r="T2" s="4" t="str">
        <f>IFERROR(IF(M2&lt;=S2,"EXCELENTE",IF(M2&lt;=Q2,"BOM",IF(M2&lt;=O2,"ATENÇÃO",IF(M2&gt;O2,"CRÍTICO","-")))),"-")</f>
        <v>CRÍTICO</v>
      </c>
      <c r="U2" s="16" t="s">
        <v>47</v>
      </c>
      <c r="V2" s="3" t="s">
        <v>62</v>
      </c>
      <c r="Y2" s="17">
        <v>200</v>
      </c>
      <c r="Z2" s="10">
        <f>IFERROR(Y2-I2,"-")</f>
        <v>190</v>
      </c>
    </row>
    <row r="3" spans="1:27" x14ac:dyDescent="0.3">
      <c r="A3" s="4">
        <f t="shared" ref="A3:A6" si="1">IFERROR(YEAR(C3),"-")</f>
        <v>2026</v>
      </c>
      <c r="B3" s="8">
        <f t="shared" ref="B3:B6" si="2">IFERROR(DATE(YEAR(C3),MONTH(C3),MONTH(C3)),"-")</f>
        <v>46023</v>
      </c>
      <c r="C3" s="21">
        <v>46023</v>
      </c>
      <c r="D3" s="20" t="s">
        <v>52</v>
      </c>
      <c r="E3" s="4" t="str">
        <f>IFERROR(VLOOKUP(D3,Cadastros!A:B,2,FALSE),"-")</f>
        <v>FELLER BUNCHER 2</v>
      </c>
      <c r="F3" s="4" t="str">
        <f>IFERROR(VLOOKUP(E3,Cadastros!B:D,3,FALSE),"-")</f>
        <v>CORTE</v>
      </c>
      <c r="G3" s="28">
        <v>2000</v>
      </c>
      <c r="H3" s="27">
        <v>2008</v>
      </c>
      <c r="I3" s="15">
        <v>25</v>
      </c>
      <c r="J3" s="14">
        <f t="shared" ref="J3:J6" si="3">IFERROR(IF(H3-G3&lt;0,"-",H3-G3),"-")</f>
        <v>8</v>
      </c>
      <c r="K3" s="14">
        <f t="shared" ca="1" si="0"/>
        <v>3.125</v>
      </c>
      <c r="L3" s="4" t="str">
        <f t="shared" ref="L3:L6" ca="1" si="4">IFERROR(IF(K3&lt;=S3,"EXCELENTE",IF(K3&lt;=Q3,"BOM",IF(K3&lt;=O3,"ATENÇÃO",IF(K3&gt;O3,"CRÍTICO","-")))),"-")</f>
        <v>CRÍTICO</v>
      </c>
      <c r="M3" s="14">
        <f t="shared" ref="M3:M6" si="5">IFERROR(I3/J3,"-")</f>
        <v>3.125</v>
      </c>
      <c r="N3" s="10" cm="1">
        <f t="array" ref="N3">IFERROR(INDEX('Metas Lubrificantes'!$A:$XR,MATCH('15W40'!E3,'Metas Lubrificantes'!A:A,0),MATCH('15W40'!U3,'Metas Lubrificantes'!$1:$1,0)+12),"-")</f>
        <v>13.916666666666666</v>
      </c>
      <c r="O3" s="14">
        <f t="shared" ref="O3:O6" si="6">IFERROR(N3/J3,"-")</f>
        <v>1.7395833333333333</v>
      </c>
      <c r="P3" s="10" cm="1">
        <f t="array" ref="P3">IFERROR(INDEX('Metas Lubrificantes'!$A:$XR,MATCH('15W40'!E3,'Metas Lubrificantes'!A:A,0),MATCH('15W40'!U3,'Metas Lubrificantes'!$1:$1,0)+13),"-")</f>
        <v>10.376470588235295</v>
      </c>
      <c r="Q3" s="14">
        <f t="shared" ref="Q3:Q6" si="7">IFERROR(P3/J3,"-")</f>
        <v>1.2970588235294118</v>
      </c>
      <c r="R3" s="10" cm="1">
        <f t="array" ref="R3">IFERROR(INDEX('Metas Lubrificantes'!$A:$XR,MATCH('15W40'!E3,'Metas Lubrificantes'!A:A,0),MATCH('15W40'!U3,'Metas Lubrificantes'!$1:$1,0)+14),"-")</f>
        <v>2</v>
      </c>
      <c r="S3" s="10">
        <f t="shared" ref="S3:S6" si="8">IFERROR(R3/J3,"-")</f>
        <v>0.25</v>
      </c>
      <c r="T3" s="4" t="str">
        <f t="shared" ref="T3:T6" si="9">IFERROR(IF(M3&lt;=S3,"EXCELENTE",IF(M3&lt;=Q3,"BOM",IF(M3&lt;=O3,"ATENÇÃO",IF(M3&gt;O3,"CRÍTICO","-")))),"-")</f>
        <v>CRÍTICO</v>
      </c>
      <c r="U3" s="16" t="s">
        <v>47</v>
      </c>
      <c r="V3" s="20" t="s">
        <v>62</v>
      </c>
      <c r="Y3" s="10" cm="1">
        <f t="array" ref="Y3">IFERROR(X3+IF(C3&lt;C2,LARGE(LOOKUP(V3,$V$1:$V2,$Z$1:$Z2),1),LOOKUP(2,1/($V$1:$V2=V3),($Z$1:$Z2))),"-")</f>
        <v>190</v>
      </c>
      <c r="Z3" s="10">
        <f t="shared" ref="Z3" si="10">IFERROR(Y3-I3,"-")</f>
        <v>165</v>
      </c>
    </row>
    <row r="4" spans="1:27" x14ac:dyDescent="0.3">
      <c r="A4" s="4">
        <f t="shared" si="1"/>
        <v>2026</v>
      </c>
      <c r="B4" s="8">
        <f t="shared" si="2"/>
        <v>46023</v>
      </c>
      <c r="C4" s="21">
        <v>46023</v>
      </c>
      <c r="D4" s="20" t="s">
        <v>54</v>
      </c>
      <c r="E4" s="4" t="str">
        <f>IFERROR(VLOOKUP(D4,Cadastros!A:B,2,FALSE),"-")</f>
        <v>SKIDDER 1</v>
      </c>
      <c r="F4" s="4" t="str">
        <f>IFERROR(VLOOKUP(E4,Cadastros!B:D,3,FALSE),"-")</f>
        <v>ARRASTE</v>
      </c>
      <c r="G4" s="28">
        <v>1200</v>
      </c>
      <c r="H4" s="27">
        <v>1215</v>
      </c>
      <c r="I4" s="15">
        <v>15</v>
      </c>
      <c r="J4" s="14">
        <f t="shared" si="3"/>
        <v>15</v>
      </c>
      <c r="K4" s="14">
        <f t="shared" ca="1" si="0"/>
        <v>1</v>
      </c>
      <c r="L4" s="4" t="str">
        <f t="shared" ca="1" si="4"/>
        <v>CRÍTICO</v>
      </c>
      <c r="M4" s="14">
        <f t="shared" si="5"/>
        <v>1</v>
      </c>
      <c r="N4" s="10" cm="1">
        <f t="array" ref="N4">IFERROR(INDEX('Metas Lubrificantes'!$A:$XR,MATCH('15W40'!E4,'Metas Lubrificantes'!A:A,0),MATCH('15W40'!U4,'Metas Lubrificantes'!$1:$1,0)+12),"-")</f>
        <v>10.466666666666667</v>
      </c>
      <c r="O4" s="14">
        <f t="shared" si="6"/>
        <v>0.69777777777777783</v>
      </c>
      <c r="P4" s="10" cm="1">
        <f t="array" ref="P4">IFERROR(INDEX('Metas Lubrificantes'!$A:$XR,MATCH('15W40'!E4,'Metas Lubrificantes'!A:A,0),MATCH('15W40'!U4,'Metas Lubrificantes'!$1:$1,0)+13),"-")</f>
        <v>9</v>
      </c>
      <c r="Q4" s="14">
        <f t="shared" si="7"/>
        <v>0.6</v>
      </c>
      <c r="R4" s="10" cm="1">
        <f t="array" ref="R4">IFERROR(INDEX('Metas Lubrificantes'!$A:$XR,MATCH('15W40'!E4,'Metas Lubrificantes'!A:A,0),MATCH('15W40'!U4,'Metas Lubrificantes'!$1:$1,0)+14),"-")</f>
        <v>5</v>
      </c>
      <c r="S4" s="10">
        <f t="shared" si="8"/>
        <v>0.33333333333333331</v>
      </c>
      <c r="T4" s="4" t="str">
        <f t="shared" si="9"/>
        <v>CRÍTICO</v>
      </c>
      <c r="U4" s="16" t="s">
        <v>47</v>
      </c>
      <c r="V4" s="20" t="s">
        <v>62</v>
      </c>
      <c r="Y4" s="26" cm="1">
        <f t="array" ref="Y4">IFERROR(X4+IF(C4&lt;C3,LARGE(LOOKUP(V4,$V$1:$V3,$Z$1:$Z3),1),LOOKUP(2,1/($V$1:$V3=V4),($Z$1:$Z3))),"-")</f>
        <v>165</v>
      </c>
      <c r="Z4" s="26">
        <f t="shared" ref="Z4:Z18" si="11">IFERROR(Y4-I4,"-")</f>
        <v>150</v>
      </c>
    </row>
    <row r="5" spans="1:27" x14ac:dyDescent="0.3">
      <c r="A5" s="4">
        <f t="shared" si="1"/>
        <v>2026</v>
      </c>
      <c r="B5" s="8">
        <f t="shared" si="2"/>
        <v>46023</v>
      </c>
      <c r="C5" s="21">
        <v>46023</v>
      </c>
      <c r="D5" s="20" t="s">
        <v>56</v>
      </c>
      <c r="E5" s="4" t="str">
        <f>IFERROR(VLOOKUP(D5,Cadastros!A:B,2,FALSE),"-")</f>
        <v>SKIDDER 2</v>
      </c>
      <c r="F5" s="4" t="str">
        <f>IFERROR(VLOOKUP(E5,Cadastros!B:D,3,FALSE),"-")</f>
        <v>ARRASTE</v>
      </c>
      <c r="G5" s="28">
        <v>2100</v>
      </c>
      <c r="H5" s="27">
        <v>2106</v>
      </c>
      <c r="I5" s="15">
        <v>36</v>
      </c>
      <c r="J5" s="14">
        <f t="shared" si="3"/>
        <v>6</v>
      </c>
      <c r="K5" s="14">
        <f t="shared" ca="1" si="0"/>
        <v>6</v>
      </c>
      <c r="L5" s="4" t="str">
        <f t="shared" ca="1" si="4"/>
        <v>CRÍTICO</v>
      </c>
      <c r="M5" s="14">
        <f t="shared" si="5"/>
        <v>6</v>
      </c>
      <c r="N5" s="10" cm="1">
        <f t="array" ref="N5">IFERROR(INDEX('Metas Lubrificantes'!$A:$XR,MATCH('15W40'!E5,'Metas Lubrificantes'!A:A,0),MATCH('15W40'!U5,'Metas Lubrificantes'!$1:$1,0)+12),"-")</f>
        <v>26.833333333333332</v>
      </c>
      <c r="O5" s="14">
        <f t="shared" si="6"/>
        <v>4.4722222222222223</v>
      </c>
      <c r="P5" s="10" cm="1">
        <f t="array" ref="P5">IFERROR(INDEX('Metas Lubrificantes'!$A:$XR,MATCH('15W40'!E5,'Metas Lubrificantes'!A:A,0),MATCH('15W40'!U5,'Metas Lubrificantes'!$1:$1,0)+13),"-")</f>
        <v>17.265789473684212</v>
      </c>
      <c r="Q5" s="14">
        <f t="shared" si="7"/>
        <v>2.8776315789473688</v>
      </c>
      <c r="R5" s="10" cm="1">
        <f t="array" ref="R5">IFERROR(INDEX('Metas Lubrificantes'!$A:$XR,MATCH('15W40'!E5,'Metas Lubrificantes'!A:A,0),MATCH('15W40'!U5,'Metas Lubrificantes'!$1:$1,0)+14),"-")</f>
        <v>7</v>
      </c>
      <c r="S5" s="10">
        <f t="shared" si="8"/>
        <v>1.1666666666666667</v>
      </c>
      <c r="T5" s="4" t="str">
        <f t="shared" si="9"/>
        <v>CRÍTICO</v>
      </c>
      <c r="U5" s="16" t="s">
        <v>47</v>
      </c>
      <c r="V5" s="20" t="s">
        <v>62</v>
      </c>
      <c r="Y5" s="26" cm="1">
        <f t="array" ref="Y5">IFERROR(X5+IF(C5&lt;C4,LARGE(LOOKUP(V5,$V$1:$V4,$Z$1:$Z4),1),LOOKUP(2,1/($V$1:$V4=V5),($Z$1:$Z4))),"-")</f>
        <v>150</v>
      </c>
      <c r="Z5" s="26">
        <f t="shared" si="11"/>
        <v>114</v>
      </c>
    </row>
    <row r="6" spans="1:27" x14ac:dyDescent="0.3">
      <c r="A6" s="4">
        <f t="shared" si="1"/>
        <v>2026</v>
      </c>
      <c r="B6" s="8">
        <f t="shared" si="2"/>
        <v>46023</v>
      </c>
      <c r="C6" s="21">
        <v>46024</v>
      </c>
      <c r="D6" s="20" t="s">
        <v>52</v>
      </c>
      <c r="E6" s="4" t="str">
        <f>IFERROR(VLOOKUP(D6,Cadastros!A:B,2,FALSE),"-")</f>
        <v>FELLER BUNCHER 2</v>
      </c>
      <c r="F6" s="4" t="str">
        <f>IFERROR(VLOOKUP(E6,Cadastros!B:D,3,FALSE),"-")</f>
        <v>CORTE</v>
      </c>
      <c r="G6" s="26" cm="1">
        <f t="array" ref="G6">IF(C6&lt;C5,LARGE(LOOKUP(D6,$D$1:$D5,$H$1:$H5),1),LOOKUP(2,1/($D$1:$D5=D6),($H$1:$H5)))</f>
        <v>2008</v>
      </c>
      <c r="H6" s="27">
        <v>2012</v>
      </c>
      <c r="I6" s="15">
        <v>2</v>
      </c>
      <c r="J6" s="14">
        <f t="shared" si="3"/>
        <v>4</v>
      </c>
      <c r="K6" s="14">
        <f t="shared" ca="1" si="0"/>
        <v>0.70588235294117652</v>
      </c>
      <c r="L6" s="4" t="str">
        <f t="shared" ca="1" si="4"/>
        <v>BOM</v>
      </c>
      <c r="M6" s="14">
        <f t="shared" si="5"/>
        <v>0.5</v>
      </c>
      <c r="N6" s="10" cm="1">
        <f t="array" ref="N6">IFERROR(INDEX('Metas Lubrificantes'!$A:$XR,MATCH('15W40'!E6,'Metas Lubrificantes'!A:A,0),MATCH('15W40'!U6,'Metas Lubrificantes'!$1:$1,0)+12),"-")</f>
        <v>13.916666666666666</v>
      </c>
      <c r="O6" s="14">
        <f t="shared" si="6"/>
        <v>3.4791666666666665</v>
      </c>
      <c r="P6" s="10" cm="1">
        <f t="array" ref="P6">IFERROR(INDEX('Metas Lubrificantes'!$A:$XR,MATCH('15W40'!E6,'Metas Lubrificantes'!A:A,0),MATCH('15W40'!U6,'Metas Lubrificantes'!$1:$1,0)+13),"-")</f>
        <v>10.376470588235295</v>
      </c>
      <c r="Q6" s="14">
        <f t="shared" si="7"/>
        <v>2.5941176470588236</v>
      </c>
      <c r="R6" s="10" cm="1">
        <f t="array" ref="R6">IFERROR(INDEX('Metas Lubrificantes'!$A:$XR,MATCH('15W40'!E6,'Metas Lubrificantes'!A:A,0),MATCH('15W40'!U6,'Metas Lubrificantes'!$1:$1,0)+14),"-")</f>
        <v>2</v>
      </c>
      <c r="S6" s="10">
        <f t="shared" si="8"/>
        <v>0.5</v>
      </c>
      <c r="T6" s="4" t="str">
        <f t="shared" si="9"/>
        <v>EXCELENTE</v>
      </c>
      <c r="U6" s="16" t="s">
        <v>47</v>
      </c>
      <c r="V6" s="20" t="s">
        <v>62</v>
      </c>
      <c r="Y6" s="26" cm="1">
        <f t="array" ref="Y6">IFERROR(X6+IF(C6&lt;C5,LARGE(LOOKUP(V6,$V$1:$V5,$Z$1:$Z5),1),LOOKUP(2,1/($V$1:$V5=V6),($Z$1:$Z5))),"-")</f>
        <v>114</v>
      </c>
      <c r="Z6" s="26">
        <f t="shared" si="11"/>
        <v>112</v>
      </c>
    </row>
    <row r="7" spans="1:27" x14ac:dyDescent="0.3">
      <c r="A7" s="4">
        <f t="shared" ref="A7:A8" si="12">IFERROR(YEAR(C7),"-")</f>
        <v>2026</v>
      </c>
      <c r="B7" s="8">
        <f t="shared" ref="B7:B8" si="13">IFERROR(DATE(YEAR(C7),MONTH(C7),MONTH(C7)),"-")</f>
        <v>46023</v>
      </c>
      <c r="C7" s="21">
        <v>46024</v>
      </c>
      <c r="D7" s="20" t="s">
        <v>60</v>
      </c>
      <c r="E7" s="4" t="str">
        <f>IFERROR(VLOOKUP(D7,Cadastros!A:B,2,FALSE),"-")</f>
        <v>GARRA TRAÇADORA 2</v>
      </c>
      <c r="F7" s="4" t="str">
        <f>IFERROR(VLOOKUP(E7,Cadastros!B:D,3,FALSE),"-")</f>
        <v>TRAÇAMENTO</v>
      </c>
      <c r="G7" s="28">
        <v>700</v>
      </c>
      <c r="H7" s="27">
        <v>711</v>
      </c>
      <c r="I7" s="15">
        <v>4</v>
      </c>
      <c r="J7" s="14">
        <f t="shared" ref="J7:J8" si="14">IFERROR(IF(H7-G7&lt;0,"-",H7-G7),"-")</f>
        <v>11</v>
      </c>
      <c r="K7" s="14">
        <f t="shared" ca="1" si="0"/>
        <v>0.36363636363636365</v>
      </c>
      <c r="L7" s="4" t="str">
        <f t="shared" ref="L7:L8" ca="1" si="15">IFERROR(IF(K7&lt;=S7,"EXCELENTE",IF(K7&lt;=Q7,"BOM",IF(K7&lt;=O7,"ATENÇÃO",IF(K7&gt;O7,"CRÍTICO","-")))),"-")</f>
        <v>EXCELENTE</v>
      </c>
      <c r="M7" s="14">
        <f t="shared" ref="M7:M8" si="16">IFERROR(I7/J7,"-")</f>
        <v>0.36363636363636365</v>
      </c>
      <c r="N7" s="10" cm="1">
        <f t="array" ref="N7">IFERROR(INDEX('Metas Lubrificantes'!$A:$XR,MATCH('15W40'!E7,'Metas Lubrificantes'!A:A,0),MATCH('15W40'!U7,'Metas Lubrificantes'!$1:$1,0)+12),"-")</f>
        <v>8.3000000000000007</v>
      </c>
      <c r="O7" s="14">
        <f t="shared" ref="O7:O8" si="17">IFERROR(N7/J7,"-")</f>
        <v>0.75454545454545463</v>
      </c>
      <c r="P7" s="10" cm="1">
        <f t="array" ref="P7">IFERROR(INDEX('Metas Lubrificantes'!$A:$XR,MATCH('15W40'!E7,'Metas Lubrificantes'!A:A,0),MATCH('15W40'!U7,'Metas Lubrificantes'!$1:$1,0)+13),"-")</f>
        <v>6.32258064516129</v>
      </c>
      <c r="Q7" s="14">
        <f t="shared" ref="Q7:Q8" si="18">IFERROR(P7/J7,"-")</f>
        <v>0.57478005865102633</v>
      </c>
      <c r="R7" s="10" cm="1">
        <f t="array" ref="R7">IFERROR(INDEX('Metas Lubrificantes'!$A:$XR,MATCH('15W40'!E7,'Metas Lubrificantes'!A:A,0),MATCH('15W40'!U7,'Metas Lubrificantes'!$1:$1,0)+14),"-")</f>
        <v>4</v>
      </c>
      <c r="S7" s="10">
        <f t="shared" ref="S7:S8" si="19">IFERROR(R7/J7,"-")</f>
        <v>0.36363636363636365</v>
      </c>
      <c r="T7" s="4" t="str">
        <f t="shared" ref="T7:T8" si="20">IFERROR(IF(M7&lt;=S7,"EXCELENTE",IF(M7&lt;=Q7,"BOM",IF(M7&lt;=O7,"ATENÇÃO",IF(M7&gt;O7,"CRÍTICO","-")))),"-")</f>
        <v>EXCELENTE</v>
      </c>
      <c r="U7" s="16" t="s">
        <v>47</v>
      </c>
      <c r="V7" s="20" t="s">
        <v>62</v>
      </c>
      <c r="Y7" s="26" cm="1">
        <f t="array" ref="Y7">IFERROR(X7+IF(C7&lt;C6,LARGE(LOOKUP(V7,$V$1:$V6,$Z$1:$Z6),1),LOOKUP(2,1/($V$1:$V6=V7),($Z$1:$Z6))),"-")</f>
        <v>112</v>
      </c>
      <c r="Z7" s="26">
        <f t="shared" si="11"/>
        <v>108</v>
      </c>
    </row>
    <row r="8" spans="1:27" x14ac:dyDescent="0.3">
      <c r="A8" s="4">
        <f t="shared" si="12"/>
        <v>2026</v>
      </c>
      <c r="B8" s="8">
        <f t="shared" si="13"/>
        <v>46023</v>
      </c>
      <c r="C8" s="21">
        <v>46024</v>
      </c>
      <c r="D8" s="20" t="s">
        <v>52</v>
      </c>
      <c r="E8" s="4" t="str">
        <f>IFERROR(VLOOKUP(D8,Cadastros!A:B,2,FALSE),"-")</f>
        <v>FELLER BUNCHER 2</v>
      </c>
      <c r="F8" s="4" t="str">
        <f>IFERROR(VLOOKUP(E8,Cadastros!B:D,3,FALSE),"-")</f>
        <v>CORTE</v>
      </c>
      <c r="G8" s="26" cm="1">
        <f t="array" ref="G8">IF(C8&lt;C7,LARGE(LOOKUP(D8,$D$1:$D7,$H$1:$H7),1),LOOKUP(2,1/($D$1:$D7=D8),($H$1:$H7)))</f>
        <v>2012</v>
      </c>
      <c r="H8" s="27">
        <v>2025</v>
      </c>
      <c r="I8" s="15">
        <v>10</v>
      </c>
      <c r="J8" s="14">
        <f t="shared" si="14"/>
        <v>13</v>
      </c>
      <c r="K8" s="14">
        <f t="shared" ca="1" si="0"/>
        <v>0.70588235294117652</v>
      </c>
      <c r="L8" s="4" t="str">
        <f t="shared" ca="1" si="15"/>
        <v>BOM</v>
      </c>
      <c r="M8" s="14">
        <f t="shared" si="16"/>
        <v>0.76923076923076927</v>
      </c>
      <c r="N8" s="10" cm="1">
        <f t="array" ref="N8">IFERROR(INDEX('Metas Lubrificantes'!$A:$XR,MATCH('15W40'!E8,'Metas Lubrificantes'!A:A,0),MATCH('15W40'!U8,'Metas Lubrificantes'!$1:$1,0)+12),"-")</f>
        <v>13.916666666666666</v>
      </c>
      <c r="O8" s="14">
        <f t="shared" si="17"/>
        <v>1.0705128205128205</v>
      </c>
      <c r="P8" s="10" cm="1">
        <f t="array" ref="P8">IFERROR(INDEX('Metas Lubrificantes'!$A:$XR,MATCH('15W40'!E8,'Metas Lubrificantes'!A:A,0),MATCH('15W40'!U8,'Metas Lubrificantes'!$1:$1,0)+13),"-")</f>
        <v>10.376470588235295</v>
      </c>
      <c r="Q8" s="14">
        <f t="shared" si="18"/>
        <v>0.79819004524886883</v>
      </c>
      <c r="R8" s="10" cm="1">
        <f t="array" ref="R8">IFERROR(INDEX('Metas Lubrificantes'!$A:$XR,MATCH('15W40'!E8,'Metas Lubrificantes'!A:A,0),MATCH('15W40'!U8,'Metas Lubrificantes'!$1:$1,0)+14),"-")</f>
        <v>2</v>
      </c>
      <c r="S8" s="10">
        <f t="shared" si="19"/>
        <v>0.15384615384615385</v>
      </c>
      <c r="T8" s="4" t="str">
        <f t="shared" si="20"/>
        <v>BOM</v>
      </c>
      <c r="U8" s="16" t="s">
        <v>47</v>
      </c>
      <c r="V8" s="20" t="s">
        <v>62</v>
      </c>
      <c r="Y8" s="26" cm="1">
        <f t="array" ref="Y8">IFERROR(X8+IF(C8&lt;C7,LARGE(LOOKUP(V8,$V$1:$V7,$Z$1:$Z7),1),LOOKUP(2,1/($V$1:$V7=V8),($Z$1:$Z7))),"-")</f>
        <v>108</v>
      </c>
      <c r="Z8" s="26">
        <f t="shared" si="11"/>
        <v>98</v>
      </c>
    </row>
    <row r="9" spans="1:27" x14ac:dyDescent="0.3">
      <c r="A9" s="4">
        <f t="shared" ref="A9:A10" si="21">IFERROR(YEAR(C9),"-")</f>
        <v>2026</v>
      </c>
      <c r="B9" s="8">
        <f t="shared" ref="B9:B10" si="22">IFERROR(DATE(YEAR(C9),MONTH(C9),MONTH(C9)),"-")</f>
        <v>46023</v>
      </c>
      <c r="C9" s="21">
        <v>46024</v>
      </c>
      <c r="D9" s="20" t="s">
        <v>50</v>
      </c>
      <c r="E9" s="4" t="str">
        <f>IFERROR(VLOOKUP(D9,Cadastros!A:B,2,FALSE),"-")</f>
        <v>FELLER BUNCHER 1</v>
      </c>
      <c r="F9" s="4" t="str">
        <f>IFERROR(VLOOKUP(E9,Cadastros!B:D,3,FALSE),"-")</f>
        <v>CORTE</v>
      </c>
      <c r="G9" s="26" cm="1">
        <f t="array" ref="G9">IF(C9&lt;C8,LARGE(LOOKUP(D9,$D$1:$D8,$H$1:$H8),1),LOOKUP(2,1/($D$1:$D8=D9),($H$1:$H8)))</f>
        <v>1012</v>
      </c>
      <c r="H9" s="27">
        <v>1018</v>
      </c>
      <c r="I9" s="15">
        <v>8</v>
      </c>
      <c r="J9" s="14">
        <f t="shared" ref="J9:J10" si="23">IFERROR(IF(H9-G9&lt;0,"-",H9-G9),"-")</f>
        <v>6</v>
      </c>
      <c r="K9" s="14">
        <f t="shared" ca="1" si="0"/>
        <v>1.3333333333333333</v>
      </c>
      <c r="L9" s="4" t="str">
        <f t="shared" ref="L9:L10" ca="1" si="24">IFERROR(IF(K9&lt;=S9,"EXCELENTE",IF(K9&lt;=Q9,"BOM",IF(K9&lt;=O9,"ATENÇÃO",IF(K9&gt;O9,"CRÍTICO","-")))),"-")</f>
        <v>ATENÇÃO</v>
      </c>
      <c r="M9" s="14">
        <f t="shared" ref="M9:M10" si="25">IFERROR(I9/J9,"-")</f>
        <v>1.3333333333333333</v>
      </c>
      <c r="N9" s="10" cm="1">
        <f t="array" ref="N9">IFERROR(INDEX('Metas Lubrificantes'!$A:$XR,MATCH('15W40'!E9,'Metas Lubrificantes'!A:A,0),MATCH('15W40'!U9,'Metas Lubrificantes'!$1:$1,0)+12),"-")</f>
        <v>8.8666666666666671</v>
      </c>
      <c r="O9" s="14">
        <f t="shared" ref="O9:O10" si="26">IFERROR(N9/J9,"-")</f>
        <v>1.4777777777777779</v>
      </c>
      <c r="P9" s="10" cm="1">
        <f t="array" ref="P9">IFERROR(INDEX('Metas Lubrificantes'!$A:$XR,MATCH('15W40'!E9,'Metas Lubrificantes'!A:A,0),MATCH('15W40'!U9,'Metas Lubrificantes'!$1:$1,0)+13),"-")</f>
        <v>6.9150326797385624</v>
      </c>
      <c r="Q9" s="14">
        <f t="shared" ref="Q9:Q10" si="27">IFERROR(P9/J9,"-")</f>
        <v>1.1525054466230937</v>
      </c>
      <c r="R9" s="10" cm="1">
        <f t="array" ref="R9">IFERROR(INDEX('Metas Lubrificantes'!$A:$XR,MATCH('15W40'!E9,'Metas Lubrificantes'!A:A,0),MATCH('15W40'!U9,'Metas Lubrificantes'!$1:$1,0)+14),"-")</f>
        <v>5</v>
      </c>
      <c r="S9" s="10">
        <f t="shared" ref="S9:S10" si="28">IFERROR(R9/J9,"-")</f>
        <v>0.83333333333333337</v>
      </c>
      <c r="T9" s="4" t="str">
        <f t="shared" ref="T9:T10" si="29">IFERROR(IF(M9&lt;=S9,"EXCELENTE",IF(M9&lt;=Q9,"BOM",IF(M9&lt;=O9,"ATENÇÃO",IF(M9&gt;O9,"CRÍTICO","-")))),"-")</f>
        <v>ATENÇÃO</v>
      </c>
      <c r="U9" s="16" t="s">
        <v>47</v>
      </c>
      <c r="V9" s="20" t="s">
        <v>62</v>
      </c>
      <c r="Y9" s="26" cm="1">
        <f t="array" ref="Y9">IFERROR(X9+IF(C9&lt;C8,LARGE(LOOKUP(V9,$V$1:$V8,$Z$1:$Z8),1),LOOKUP(2,1/($V$1:$V8=V9),($Z$1:$Z8))),"-")</f>
        <v>98</v>
      </c>
      <c r="Z9" s="26">
        <f t="shared" si="11"/>
        <v>90</v>
      </c>
    </row>
    <row r="10" spans="1:27" x14ac:dyDescent="0.3">
      <c r="A10" s="4">
        <f t="shared" si="21"/>
        <v>2026</v>
      </c>
      <c r="B10" s="8">
        <f t="shared" si="22"/>
        <v>46023</v>
      </c>
      <c r="C10" s="21">
        <v>46024</v>
      </c>
      <c r="D10" s="20" t="s">
        <v>56</v>
      </c>
      <c r="E10" s="4" t="str">
        <f>IFERROR(VLOOKUP(D10,Cadastros!A:B,2,FALSE),"-")</f>
        <v>SKIDDER 2</v>
      </c>
      <c r="F10" s="4" t="str">
        <f>IFERROR(VLOOKUP(E10,Cadastros!B:D,3,FALSE),"-")</f>
        <v>ARRASTE</v>
      </c>
      <c r="G10" s="26" cm="1">
        <f t="array" ref="G10">IF(C10&lt;C9,LARGE(LOOKUP(D10,$D$1:$D9,$H$1:$H9),1),LOOKUP(2,1/($D$1:$D9=D10),($H$1:$H9)))</f>
        <v>2106</v>
      </c>
      <c r="H10" s="27">
        <v>2110</v>
      </c>
      <c r="I10" s="15">
        <v>26</v>
      </c>
      <c r="J10" s="14">
        <f t="shared" si="23"/>
        <v>4</v>
      </c>
      <c r="K10" s="14">
        <f t="shared" ca="1" si="0"/>
        <v>4.2222222222222223</v>
      </c>
      <c r="L10" s="4" t="str">
        <f t="shared" ca="1" si="24"/>
        <v>BOM</v>
      </c>
      <c r="M10" s="14">
        <f t="shared" si="25"/>
        <v>6.5</v>
      </c>
      <c r="N10" s="10" cm="1">
        <f t="array" ref="N10">IFERROR(INDEX('Metas Lubrificantes'!$A:$XR,MATCH('15W40'!E10,'Metas Lubrificantes'!A:A,0),MATCH('15W40'!U10,'Metas Lubrificantes'!$1:$1,0)+12),"-")</f>
        <v>26.833333333333332</v>
      </c>
      <c r="O10" s="14">
        <f t="shared" si="26"/>
        <v>6.708333333333333</v>
      </c>
      <c r="P10" s="10" cm="1">
        <f t="array" ref="P10">IFERROR(INDEX('Metas Lubrificantes'!$A:$XR,MATCH('15W40'!E10,'Metas Lubrificantes'!A:A,0),MATCH('15W40'!U10,'Metas Lubrificantes'!$1:$1,0)+13),"-")</f>
        <v>17.265789473684212</v>
      </c>
      <c r="Q10" s="14">
        <f t="shared" si="27"/>
        <v>4.3164473684210529</v>
      </c>
      <c r="R10" s="10" cm="1">
        <f t="array" ref="R10">IFERROR(INDEX('Metas Lubrificantes'!$A:$XR,MATCH('15W40'!E10,'Metas Lubrificantes'!A:A,0),MATCH('15W40'!U10,'Metas Lubrificantes'!$1:$1,0)+14),"-")</f>
        <v>7</v>
      </c>
      <c r="S10" s="10">
        <f t="shared" si="28"/>
        <v>1.75</v>
      </c>
      <c r="T10" s="4" t="str">
        <f t="shared" si="29"/>
        <v>ATENÇÃO</v>
      </c>
      <c r="U10" s="16" t="s">
        <v>47</v>
      </c>
      <c r="V10" s="20" t="s">
        <v>62</v>
      </c>
      <c r="Y10" s="26" cm="1">
        <f t="array" ref="Y10">IFERROR(X10+IF(C10&lt;C9,LARGE(LOOKUP(V10,$V$1:$V9,$Z$1:$Z9),1),LOOKUP(2,1/($V$1:$V9=V10),($Z$1:$Z9))),"-")</f>
        <v>90</v>
      </c>
      <c r="Z10" s="26">
        <f t="shared" si="11"/>
        <v>64</v>
      </c>
    </row>
    <row r="11" spans="1:27" x14ac:dyDescent="0.3">
      <c r="A11" s="4">
        <f t="shared" ref="A11:A13" si="30">IFERROR(YEAR(C11),"-")</f>
        <v>2026</v>
      </c>
      <c r="B11" s="8">
        <f t="shared" ref="B11:B13" si="31">IFERROR(DATE(YEAR(C11),MONTH(C11),MONTH(C11)),"-")</f>
        <v>46023</v>
      </c>
      <c r="C11" s="21">
        <v>46024</v>
      </c>
      <c r="D11" s="20" t="s">
        <v>56</v>
      </c>
      <c r="E11" s="4" t="str">
        <f>IFERROR(VLOOKUP(D11,Cadastros!A:B,2,FALSE),"-")</f>
        <v>SKIDDER 2</v>
      </c>
      <c r="F11" s="4" t="str">
        <f>IFERROR(VLOOKUP(E11,Cadastros!B:D,3,FALSE),"-")</f>
        <v>ARRASTE</v>
      </c>
      <c r="G11" s="26" cm="1">
        <f t="array" ref="G11">IF(C11&lt;C10,LARGE(LOOKUP(D11,$D$1:$D10,$H$1:$H10),1),LOOKUP(2,1/($D$1:$D10=D11),($H$1:$H10)))</f>
        <v>2110</v>
      </c>
      <c r="H11" s="27">
        <v>2115</v>
      </c>
      <c r="I11" s="15">
        <v>12</v>
      </c>
      <c r="J11" s="14">
        <f t="shared" ref="J11:J13" si="32">IFERROR(IF(H11-G11&lt;0,"-",H11-G11),"-")</f>
        <v>5</v>
      </c>
      <c r="K11" s="14">
        <f t="shared" ca="1" si="0"/>
        <v>4.2222222222222223</v>
      </c>
      <c r="L11" s="4" t="str">
        <f t="shared" ref="L11:L13" ca="1" si="33">IFERROR(IF(K11&lt;=S11,"EXCELENTE",IF(K11&lt;=Q11,"BOM",IF(K11&lt;=O11,"ATENÇÃO",IF(K11&gt;O11,"CRÍTICO","-")))),"-")</f>
        <v>ATENÇÃO</v>
      </c>
      <c r="M11" s="14">
        <f t="shared" ref="M11:M13" si="34">IFERROR(I11/J11,"-")</f>
        <v>2.4</v>
      </c>
      <c r="N11" s="10" cm="1">
        <f t="array" ref="N11">IFERROR(INDEX('Metas Lubrificantes'!$A:$XR,MATCH('15W40'!E11,'Metas Lubrificantes'!A:A,0),MATCH('15W40'!U11,'Metas Lubrificantes'!$1:$1,0)+12),"-")</f>
        <v>26.833333333333332</v>
      </c>
      <c r="O11" s="14">
        <f t="shared" ref="O11:O13" si="35">IFERROR(N11/J11,"-")</f>
        <v>5.3666666666666663</v>
      </c>
      <c r="P11" s="10" cm="1">
        <f t="array" ref="P11">IFERROR(INDEX('Metas Lubrificantes'!$A:$XR,MATCH('15W40'!E11,'Metas Lubrificantes'!A:A,0),MATCH('15W40'!U11,'Metas Lubrificantes'!$1:$1,0)+13),"-")</f>
        <v>17.265789473684212</v>
      </c>
      <c r="Q11" s="14">
        <f t="shared" ref="Q11:Q13" si="36">IFERROR(P11/J11,"-")</f>
        <v>3.4531578947368424</v>
      </c>
      <c r="R11" s="10" cm="1">
        <f t="array" ref="R11">IFERROR(INDEX('Metas Lubrificantes'!$A:$XR,MATCH('15W40'!E11,'Metas Lubrificantes'!A:A,0),MATCH('15W40'!U11,'Metas Lubrificantes'!$1:$1,0)+14),"-")</f>
        <v>7</v>
      </c>
      <c r="S11" s="10">
        <f t="shared" ref="S11:S13" si="37">IFERROR(R11/J11,"-")</f>
        <v>1.4</v>
      </c>
      <c r="T11" s="4" t="str">
        <f t="shared" ref="T11:T13" si="38">IFERROR(IF(M11&lt;=S11,"EXCELENTE",IF(M11&lt;=Q11,"BOM",IF(M11&lt;=O11,"ATENÇÃO",IF(M11&gt;O11,"CRÍTICO","-")))),"-")</f>
        <v>BOM</v>
      </c>
      <c r="U11" s="16" t="s">
        <v>47</v>
      </c>
      <c r="V11" s="20" t="s">
        <v>62</v>
      </c>
      <c r="Y11" s="26" cm="1">
        <f t="array" ref="Y11">IFERROR(X11+IF(C11&lt;C10,LARGE(LOOKUP(V11,$V$1:$V10,$Z$1:$Z10),1),LOOKUP(2,1/($V$1:$V10=V11),($Z$1:$Z10))),"-")</f>
        <v>64</v>
      </c>
      <c r="Z11" s="26">
        <f t="shared" si="11"/>
        <v>52</v>
      </c>
    </row>
    <row r="12" spans="1:27" x14ac:dyDescent="0.3">
      <c r="A12" s="4">
        <f t="shared" si="30"/>
        <v>2026</v>
      </c>
      <c r="B12" s="8">
        <f t="shared" si="31"/>
        <v>46023</v>
      </c>
      <c r="C12" s="21">
        <v>46025</v>
      </c>
      <c r="D12" s="20" t="s">
        <v>50</v>
      </c>
      <c r="E12" s="4" t="str">
        <f>IFERROR(VLOOKUP(D12,Cadastros!A:B,2,FALSE),"-")</f>
        <v>FELLER BUNCHER 1</v>
      </c>
      <c r="F12" s="4" t="str">
        <f>IFERROR(VLOOKUP(E12,Cadastros!B:D,3,FALSE),"-")</f>
        <v>CORTE</v>
      </c>
      <c r="G12" s="26" cm="1">
        <f t="array" ref="G12">IF(C12&lt;C11,LARGE(LOOKUP(D12,$D$1:$D11,$H$1:$H11),1),LOOKUP(2,1/($D$1:$D11=D12),($H$1:$H11)))</f>
        <v>1018</v>
      </c>
      <c r="H12" s="27">
        <v>1025</v>
      </c>
      <c r="I12" s="15">
        <v>5</v>
      </c>
      <c r="J12" s="14">
        <f t="shared" si="32"/>
        <v>7</v>
      </c>
      <c r="K12" s="14">
        <f t="shared" ca="1" si="0"/>
        <v>0.7142857142857143</v>
      </c>
      <c r="L12" s="4" t="str">
        <f t="shared" ca="1" si="33"/>
        <v>EXCELENTE</v>
      </c>
      <c r="M12" s="14">
        <f t="shared" si="34"/>
        <v>0.7142857142857143</v>
      </c>
      <c r="N12" s="10" cm="1">
        <f t="array" ref="N12">IFERROR(INDEX('Metas Lubrificantes'!$A:$XR,MATCH('15W40'!E12,'Metas Lubrificantes'!A:A,0),MATCH('15W40'!U12,'Metas Lubrificantes'!$1:$1,0)+12),"-")</f>
        <v>8.8666666666666671</v>
      </c>
      <c r="O12" s="14">
        <f t="shared" si="35"/>
        <v>1.2666666666666668</v>
      </c>
      <c r="P12" s="10" cm="1">
        <f t="array" ref="P12">IFERROR(INDEX('Metas Lubrificantes'!$A:$XR,MATCH('15W40'!E12,'Metas Lubrificantes'!A:A,0),MATCH('15W40'!U12,'Metas Lubrificantes'!$1:$1,0)+13),"-")</f>
        <v>6.9150326797385624</v>
      </c>
      <c r="Q12" s="14">
        <f t="shared" si="36"/>
        <v>0.9878618113912232</v>
      </c>
      <c r="R12" s="10" cm="1">
        <f t="array" ref="R12">IFERROR(INDEX('Metas Lubrificantes'!$A:$XR,MATCH('15W40'!E12,'Metas Lubrificantes'!A:A,0),MATCH('15W40'!U12,'Metas Lubrificantes'!$1:$1,0)+14),"-")</f>
        <v>5</v>
      </c>
      <c r="S12" s="10">
        <f t="shared" si="37"/>
        <v>0.7142857142857143</v>
      </c>
      <c r="T12" s="4" t="str">
        <f t="shared" si="38"/>
        <v>EXCELENTE</v>
      </c>
      <c r="U12" s="16" t="s">
        <v>47</v>
      </c>
      <c r="V12" s="20" t="s">
        <v>62</v>
      </c>
      <c r="Y12" s="26" cm="1">
        <f t="array" ref="Y12">IFERROR(X12+IF(C12&lt;C11,LARGE(LOOKUP(V12,$V$1:$V11,$Z$1:$Z11),1),LOOKUP(2,1/($V$1:$V11=V12),($Z$1:$Z11))),"-")</f>
        <v>52</v>
      </c>
      <c r="Z12" s="26">
        <f t="shared" si="11"/>
        <v>47</v>
      </c>
    </row>
    <row r="13" spans="1:27" x14ac:dyDescent="0.3">
      <c r="A13" s="4">
        <f t="shared" si="30"/>
        <v>2026</v>
      </c>
      <c r="B13" s="8">
        <f t="shared" si="31"/>
        <v>46023</v>
      </c>
      <c r="C13" s="21">
        <v>46025</v>
      </c>
      <c r="D13" s="20" t="s">
        <v>58</v>
      </c>
      <c r="E13" s="4" t="str">
        <f>IFERROR(VLOOKUP(D13,Cadastros!A:B,2,FALSE),"-")</f>
        <v>GARRA TRAÇADORA 1</v>
      </c>
      <c r="F13" s="4" t="str">
        <f>IFERROR(VLOOKUP(E13,Cadastros!B:D,3,FALSE),"-")</f>
        <v>TRAÇAMENTO</v>
      </c>
      <c r="G13" s="28">
        <v>500</v>
      </c>
      <c r="H13" s="27">
        <v>510</v>
      </c>
      <c r="I13" s="15">
        <v>3</v>
      </c>
      <c r="J13" s="14">
        <f t="shared" si="32"/>
        <v>10</v>
      </c>
      <c r="K13" s="14">
        <f t="shared" ca="1" si="0"/>
        <v>0.3</v>
      </c>
      <c r="L13" s="4" t="str">
        <f t="shared" ca="1" si="33"/>
        <v>EXCELENTE</v>
      </c>
      <c r="M13" s="14">
        <f t="shared" si="34"/>
        <v>0.3</v>
      </c>
      <c r="N13" s="10" cm="1">
        <f t="array" ref="N13">IFERROR(INDEX('Metas Lubrificantes'!$A:$XR,MATCH('15W40'!E13,'Metas Lubrificantes'!A:A,0),MATCH('15W40'!U13,'Metas Lubrificantes'!$1:$1,0)+12),"-")</f>
        <v>3</v>
      </c>
      <c r="O13" s="14">
        <f t="shared" si="35"/>
        <v>0.3</v>
      </c>
      <c r="P13" s="10" cm="1">
        <f t="array" ref="P13">IFERROR(INDEX('Metas Lubrificantes'!$A:$XR,MATCH('15W40'!E13,'Metas Lubrificantes'!A:A,0),MATCH('15W40'!U13,'Metas Lubrificantes'!$1:$1,0)+13),"-")</f>
        <v>3</v>
      </c>
      <c r="Q13" s="14">
        <f t="shared" si="36"/>
        <v>0.3</v>
      </c>
      <c r="R13" s="10" cm="1">
        <f t="array" ref="R13">IFERROR(INDEX('Metas Lubrificantes'!$A:$XR,MATCH('15W40'!E13,'Metas Lubrificantes'!A:A,0),MATCH('15W40'!U13,'Metas Lubrificantes'!$1:$1,0)+14),"-")</f>
        <v>3</v>
      </c>
      <c r="S13" s="10">
        <f t="shared" si="37"/>
        <v>0.3</v>
      </c>
      <c r="T13" s="4" t="str">
        <f t="shared" si="38"/>
        <v>EXCELENTE</v>
      </c>
      <c r="U13" s="16" t="s">
        <v>47</v>
      </c>
      <c r="V13" s="20" t="s">
        <v>62</v>
      </c>
      <c r="Y13" s="26" cm="1">
        <f t="array" ref="Y13">IFERROR(X13+IF(C13&lt;C12,LARGE(LOOKUP(V13,$V$1:$V12,$Z$1:$Z12),1),LOOKUP(2,1/($V$1:$V12=V13),($Z$1:$Z12))),"-")</f>
        <v>47</v>
      </c>
      <c r="Z13" s="26">
        <f t="shared" si="11"/>
        <v>44</v>
      </c>
    </row>
    <row r="14" spans="1:27" x14ac:dyDescent="0.3">
      <c r="A14" s="4">
        <f t="shared" ref="A14:A15" si="39">IFERROR(YEAR(C14),"-")</f>
        <v>2026</v>
      </c>
      <c r="B14" s="8">
        <f t="shared" ref="B14:B15" si="40">IFERROR(DATE(YEAR(C14),MONTH(C14),MONTH(C14)),"-")</f>
        <v>46023</v>
      </c>
      <c r="C14" s="21">
        <v>46025</v>
      </c>
      <c r="D14" s="20" t="s">
        <v>54</v>
      </c>
      <c r="E14" s="4" t="str">
        <f>IFERROR(VLOOKUP(D14,Cadastros!A:B,2,FALSE),"-")</f>
        <v>SKIDDER 1</v>
      </c>
      <c r="F14" s="4" t="str">
        <f>IFERROR(VLOOKUP(E14,Cadastros!B:D,3,FALSE),"-")</f>
        <v>ARRASTE</v>
      </c>
      <c r="G14" s="26" cm="1">
        <f t="array" ref="G14">IF(C14&lt;C13,LARGE(LOOKUP(D14,$D$1:$D13,$H$1:$H13),1),LOOKUP(2,1/($D$1:$D13=D14),($H$1:$H13)))</f>
        <v>1215</v>
      </c>
      <c r="H14" s="27">
        <v>1219</v>
      </c>
      <c r="I14" s="15">
        <v>7</v>
      </c>
      <c r="J14" s="14">
        <f t="shared" ref="J14:J15" si="41">IFERROR(IF(H14-G14&lt;0,"-",H14-G14),"-")</f>
        <v>4</v>
      </c>
      <c r="K14" s="14">
        <f t="shared" ca="1" si="0"/>
        <v>2</v>
      </c>
      <c r="L14" s="4" t="str">
        <f t="shared" ref="L14:L15" ca="1" si="42">IFERROR(IF(K14&lt;=S14,"EXCELENTE",IF(K14&lt;=Q14,"BOM",IF(K14&lt;=O14,"ATENÇÃO",IF(K14&gt;O14,"CRÍTICO","-")))),"-")</f>
        <v>BOM</v>
      </c>
      <c r="M14" s="14">
        <f t="shared" ref="M14:M15" si="43">IFERROR(I14/J14,"-")</f>
        <v>1.75</v>
      </c>
      <c r="N14" s="10" cm="1">
        <f t="array" ref="N14">IFERROR(INDEX('Metas Lubrificantes'!$A:$XR,MATCH('15W40'!E14,'Metas Lubrificantes'!A:A,0),MATCH('15W40'!U14,'Metas Lubrificantes'!$1:$1,0)+12),"-")</f>
        <v>10.466666666666667</v>
      </c>
      <c r="O14" s="14">
        <f t="shared" ref="O14:O15" si="44">IFERROR(N14/J14,"-")</f>
        <v>2.6166666666666667</v>
      </c>
      <c r="P14" s="10" cm="1">
        <f t="array" ref="P14">IFERROR(INDEX('Metas Lubrificantes'!$A:$XR,MATCH('15W40'!E14,'Metas Lubrificantes'!A:A,0),MATCH('15W40'!U14,'Metas Lubrificantes'!$1:$1,0)+13),"-")</f>
        <v>9</v>
      </c>
      <c r="Q14" s="14">
        <f t="shared" ref="Q14:Q15" si="45">IFERROR(P14/J14,"-")</f>
        <v>2.25</v>
      </c>
      <c r="R14" s="10" cm="1">
        <f t="array" ref="R14">IFERROR(INDEX('Metas Lubrificantes'!$A:$XR,MATCH('15W40'!E14,'Metas Lubrificantes'!A:A,0),MATCH('15W40'!U14,'Metas Lubrificantes'!$1:$1,0)+14),"-")</f>
        <v>5</v>
      </c>
      <c r="S14" s="10">
        <f t="shared" ref="S14:S15" si="46">IFERROR(R14/J14,"-")</f>
        <v>1.25</v>
      </c>
      <c r="T14" s="4" t="str">
        <f t="shared" ref="T14:T15" si="47">IFERROR(IF(M14&lt;=S14,"EXCELENTE",IF(M14&lt;=Q14,"BOM",IF(M14&lt;=O14,"ATENÇÃO",IF(M14&gt;O14,"CRÍTICO","-")))),"-")</f>
        <v>BOM</v>
      </c>
      <c r="U14" s="16" t="s">
        <v>47</v>
      </c>
      <c r="V14" s="20" t="s">
        <v>62</v>
      </c>
      <c r="Y14" s="26" cm="1">
        <f t="array" ref="Y14">IFERROR(X14+IF(C14&lt;C13,LARGE(LOOKUP(V14,$V$1:$V13,$Z$1:$Z13),1),LOOKUP(2,1/($V$1:$V13=V14),($Z$1:$Z13))),"-")</f>
        <v>44</v>
      </c>
      <c r="Z14" s="26">
        <f t="shared" si="11"/>
        <v>37</v>
      </c>
    </row>
    <row r="15" spans="1:27" x14ac:dyDescent="0.3">
      <c r="A15" s="4">
        <f t="shared" si="39"/>
        <v>2026</v>
      </c>
      <c r="B15" s="8">
        <f t="shared" si="40"/>
        <v>46023</v>
      </c>
      <c r="C15" s="21">
        <v>46025</v>
      </c>
      <c r="D15" s="20" t="s">
        <v>60</v>
      </c>
      <c r="E15" s="4" t="str">
        <f>IFERROR(VLOOKUP(D15,Cadastros!A:B,2,FALSE),"-")</f>
        <v>GARRA TRAÇADORA 2</v>
      </c>
      <c r="F15" s="4" t="str">
        <f>IFERROR(VLOOKUP(E15,Cadastros!B:D,3,FALSE),"-")</f>
        <v>TRAÇAMENTO</v>
      </c>
      <c r="G15" s="26" cm="1">
        <f t="array" ref="G15">IF(C15&lt;C14,LARGE(LOOKUP(D15,$D$1:$D14,$H$1:$H14),1),LOOKUP(2,1/($D$1:$D14=D15),($H$1:$H14)))</f>
        <v>711</v>
      </c>
      <c r="H15" s="27">
        <v>722</v>
      </c>
      <c r="I15" s="15">
        <v>10</v>
      </c>
      <c r="J15" s="14">
        <f t="shared" si="41"/>
        <v>11</v>
      </c>
      <c r="K15" s="14">
        <f t="shared" ca="1" si="0"/>
        <v>0.90909090909090906</v>
      </c>
      <c r="L15" s="4" t="str">
        <f t="shared" ca="1" si="42"/>
        <v>CRÍTICO</v>
      </c>
      <c r="M15" s="14">
        <f t="shared" si="43"/>
        <v>0.90909090909090906</v>
      </c>
      <c r="N15" s="10" cm="1">
        <f t="array" ref="N15">IFERROR(INDEX('Metas Lubrificantes'!$A:$XR,MATCH('15W40'!E15,'Metas Lubrificantes'!A:A,0),MATCH('15W40'!U15,'Metas Lubrificantes'!$1:$1,0)+12),"-")</f>
        <v>8.3000000000000007</v>
      </c>
      <c r="O15" s="14">
        <f t="shared" si="44"/>
        <v>0.75454545454545463</v>
      </c>
      <c r="P15" s="10" cm="1">
        <f t="array" ref="P15">IFERROR(INDEX('Metas Lubrificantes'!$A:$XR,MATCH('15W40'!E15,'Metas Lubrificantes'!A:A,0),MATCH('15W40'!U15,'Metas Lubrificantes'!$1:$1,0)+13),"-")</f>
        <v>6.32258064516129</v>
      </c>
      <c r="Q15" s="14">
        <f t="shared" si="45"/>
        <v>0.57478005865102633</v>
      </c>
      <c r="R15" s="10" cm="1">
        <f t="array" ref="R15">IFERROR(INDEX('Metas Lubrificantes'!$A:$XR,MATCH('15W40'!E15,'Metas Lubrificantes'!A:A,0),MATCH('15W40'!U15,'Metas Lubrificantes'!$1:$1,0)+14),"-")</f>
        <v>4</v>
      </c>
      <c r="S15" s="10">
        <f t="shared" si="46"/>
        <v>0.36363636363636365</v>
      </c>
      <c r="T15" s="4" t="str">
        <f t="shared" si="47"/>
        <v>CRÍTICO</v>
      </c>
      <c r="U15" s="16" t="s">
        <v>47</v>
      </c>
      <c r="V15" s="20" t="s">
        <v>62</v>
      </c>
      <c r="Y15" s="26" cm="1">
        <f t="array" ref="Y15">IFERROR(X15+IF(C15&lt;C14,LARGE(LOOKUP(V15,$V$1:$V14,$Z$1:$Z14),1),LOOKUP(2,1/($V$1:$V14=V15),($Z$1:$Z14))),"-")</f>
        <v>37</v>
      </c>
      <c r="Z15" s="26">
        <f t="shared" si="11"/>
        <v>27</v>
      </c>
    </row>
    <row r="16" spans="1:27" x14ac:dyDescent="0.3">
      <c r="A16" s="4">
        <f t="shared" ref="A16:A17" si="48">IFERROR(YEAR(C16),"-")</f>
        <v>2026</v>
      </c>
      <c r="B16" s="8">
        <f t="shared" ref="B16:B17" si="49">IFERROR(DATE(YEAR(C16),MONTH(C16),MONTH(C16)),"-")</f>
        <v>46023</v>
      </c>
      <c r="C16" s="21">
        <v>46025</v>
      </c>
      <c r="D16" s="20" t="s">
        <v>56</v>
      </c>
      <c r="E16" s="4" t="str">
        <f>IFERROR(VLOOKUP(D16,Cadastros!A:B,2,FALSE),"-")</f>
        <v>SKIDDER 2</v>
      </c>
      <c r="F16" s="4" t="str">
        <f>IFERROR(VLOOKUP(E16,Cadastros!B:D,3,FALSE),"-")</f>
        <v>ARRASTE</v>
      </c>
      <c r="G16" s="26" cm="1">
        <f t="array" ref="G16">IF(C16&lt;C15,LARGE(LOOKUP(D16,$D$1:$D15,$H$1:$H15),1),LOOKUP(2,1/($D$1:$D15=D16),($H$1:$H15)))</f>
        <v>2115</v>
      </c>
      <c r="H16" s="27">
        <v>2123</v>
      </c>
      <c r="I16" s="15">
        <v>7</v>
      </c>
      <c r="J16" s="14">
        <f t="shared" ref="J16:J17" si="50">IFERROR(IF(H16-G16&lt;0,"-",H16-G16),"-")</f>
        <v>8</v>
      </c>
      <c r="K16" s="14">
        <f t="shared" ca="1" si="0"/>
        <v>0.875</v>
      </c>
      <c r="L16" s="4" t="str">
        <f t="shared" ref="L16:L17" ca="1" si="51">IFERROR(IF(K16&lt;=S16,"EXCELENTE",IF(K16&lt;=Q16,"BOM",IF(K16&lt;=O16,"ATENÇÃO",IF(K16&gt;O16,"CRÍTICO","-")))),"-")</f>
        <v>EXCELENTE</v>
      </c>
      <c r="M16" s="14">
        <f t="shared" ref="M16:M17" si="52">IFERROR(I16/J16,"-")</f>
        <v>0.875</v>
      </c>
      <c r="N16" s="10" cm="1">
        <f t="array" ref="N16">IFERROR(INDEX('Metas Lubrificantes'!$A:$XR,MATCH('15W40'!E16,'Metas Lubrificantes'!A:A,0),MATCH('15W40'!U16,'Metas Lubrificantes'!$1:$1,0)+12),"-")</f>
        <v>26.833333333333332</v>
      </c>
      <c r="O16" s="14">
        <f t="shared" ref="O16:O17" si="53">IFERROR(N16/J16,"-")</f>
        <v>3.3541666666666665</v>
      </c>
      <c r="P16" s="10" cm="1">
        <f t="array" ref="P16">IFERROR(INDEX('Metas Lubrificantes'!$A:$XR,MATCH('15W40'!E16,'Metas Lubrificantes'!A:A,0),MATCH('15W40'!U16,'Metas Lubrificantes'!$1:$1,0)+13),"-")</f>
        <v>17.265789473684212</v>
      </c>
      <c r="Q16" s="14">
        <f t="shared" ref="Q16:Q17" si="54">IFERROR(P16/J16,"-")</f>
        <v>2.1582236842105265</v>
      </c>
      <c r="R16" s="10" cm="1">
        <f t="array" ref="R16">IFERROR(INDEX('Metas Lubrificantes'!$A:$XR,MATCH('15W40'!E16,'Metas Lubrificantes'!A:A,0),MATCH('15W40'!U16,'Metas Lubrificantes'!$1:$1,0)+14),"-")</f>
        <v>7</v>
      </c>
      <c r="S16" s="10">
        <f t="shared" ref="S16:S17" si="55">IFERROR(R16/J16,"-")</f>
        <v>0.875</v>
      </c>
      <c r="T16" s="4" t="str">
        <f t="shared" ref="T16:T17" si="56">IFERROR(IF(M16&lt;=S16,"EXCELENTE",IF(M16&lt;=Q16,"BOM",IF(M16&lt;=O16,"ATENÇÃO",IF(M16&gt;O16,"CRÍTICO","-")))),"-")</f>
        <v>EXCELENTE</v>
      </c>
      <c r="U16" s="16" t="s">
        <v>47</v>
      </c>
      <c r="V16" s="20" t="s">
        <v>62</v>
      </c>
      <c r="Y16" s="26" cm="1">
        <f t="array" ref="Y16">IFERROR(X16+IF(C16&lt;C15,LARGE(LOOKUP(V16,$V$1:$V15,$Z$1:$Z15),1),LOOKUP(2,1/($V$1:$V15=V16),($Z$1:$Z15))),"-")</f>
        <v>27</v>
      </c>
      <c r="Z16" s="26">
        <f t="shared" si="11"/>
        <v>20</v>
      </c>
    </row>
    <row r="17" spans="1:26" x14ac:dyDescent="0.3">
      <c r="A17" s="4">
        <f t="shared" si="48"/>
        <v>2026</v>
      </c>
      <c r="B17" s="8">
        <f t="shared" si="49"/>
        <v>46023</v>
      </c>
      <c r="C17" s="21">
        <v>46025</v>
      </c>
      <c r="D17" s="20" t="s">
        <v>52</v>
      </c>
      <c r="E17" s="4" t="str">
        <f>IFERROR(VLOOKUP(D17,Cadastros!A:B,2,FALSE),"-")</f>
        <v>FELLER BUNCHER 2</v>
      </c>
      <c r="F17" s="4" t="str">
        <f>IFERROR(VLOOKUP(E17,Cadastros!B:D,3,FALSE),"-")</f>
        <v>CORTE</v>
      </c>
      <c r="G17" s="26" cm="1">
        <f t="array" ref="G17">IF(C17&lt;C16,LARGE(LOOKUP(D17,$D$1:$D16,$H$1:$H16),1),LOOKUP(2,1/($D$1:$D16=D17),($H$1:$H16)))</f>
        <v>2025</v>
      </c>
      <c r="H17" s="27">
        <v>2034</v>
      </c>
      <c r="I17" s="15">
        <v>5</v>
      </c>
      <c r="J17" s="14">
        <f t="shared" si="50"/>
        <v>9</v>
      </c>
      <c r="K17" s="14">
        <f t="shared" ca="1" si="0"/>
        <v>0.55555555555555558</v>
      </c>
      <c r="L17" s="4" t="str">
        <f t="shared" ca="1" si="51"/>
        <v>BOM</v>
      </c>
      <c r="M17" s="14">
        <f t="shared" si="52"/>
        <v>0.55555555555555558</v>
      </c>
      <c r="N17" s="10" cm="1">
        <f t="array" ref="N17">IFERROR(INDEX('Metas Lubrificantes'!$A:$XR,MATCH('15W40'!E17,'Metas Lubrificantes'!A:A,0),MATCH('15W40'!U17,'Metas Lubrificantes'!$1:$1,0)+12),"-")</f>
        <v>13.916666666666666</v>
      </c>
      <c r="O17" s="14">
        <f t="shared" si="53"/>
        <v>1.5462962962962963</v>
      </c>
      <c r="P17" s="10" cm="1">
        <f t="array" ref="P17">IFERROR(INDEX('Metas Lubrificantes'!$A:$XR,MATCH('15W40'!E17,'Metas Lubrificantes'!A:A,0),MATCH('15W40'!U17,'Metas Lubrificantes'!$1:$1,0)+13),"-")</f>
        <v>10.376470588235295</v>
      </c>
      <c r="Q17" s="14">
        <f t="shared" si="54"/>
        <v>1.1529411764705884</v>
      </c>
      <c r="R17" s="10" cm="1">
        <f t="array" ref="R17">IFERROR(INDEX('Metas Lubrificantes'!$A:$XR,MATCH('15W40'!E17,'Metas Lubrificantes'!A:A,0),MATCH('15W40'!U17,'Metas Lubrificantes'!$1:$1,0)+14),"-")</f>
        <v>2</v>
      </c>
      <c r="S17" s="10">
        <f t="shared" si="55"/>
        <v>0.22222222222222221</v>
      </c>
      <c r="T17" s="4" t="str">
        <f t="shared" si="56"/>
        <v>BOM</v>
      </c>
      <c r="U17" s="16" t="s">
        <v>47</v>
      </c>
      <c r="V17" s="20" t="s">
        <v>62</v>
      </c>
      <c r="Y17" s="26" cm="1">
        <f t="array" ref="Y17">IFERROR(X17+IF(C17&lt;C16,LARGE(LOOKUP(V17,$V$1:$V16,$Z$1:$Z16),1),LOOKUP(2,1/($V$1:$V16=V17),($Z$1:$Z16))),"-")</f>
        <v>20</v>
      </c>
      <c r="Z17" s="26">
        <f t="shared" si="11"/>
        <v>15</v>
      </c>
    </row>
    <row r="18" spans="1:26" x14ac:dyDescent="0.3">
      <c r="A18" s="4">
        <f t="shared" ref="A18" si="57">IFERROR(YEAR(C18),"-")</f>
        <v>2026</v>
      </c>
      <c r="B18" s="8">
        <f t="shared" ref="B18" si="58">IFERROR(DATE(YEAR(C18),MONTH(C18),MONTH(C18)),"-")</f>
        <v>46023</v>
      </c>
      <c r="C18" s="21">
        <v>46025</v>
      </c>
      <c r="D18" s="20" t="s">
        <v>54</v>
      </c>
      <c r="E18" s="4" t="str">
        <f>IFERROR(VLOOKUP(D18,Cadastros!A:B,2,FALSE),"-")</f>
        <v>SKIDDER 1</v>
      </c>
      <c r="F18" s="4" t="str">
        <f>IFERROR(VLOOKUP(E18,Cadastros!B:D,3,FALSE),"-")</f>
        <v>ARRASTE</v>
      </c>
      <c r="G18" s="26" cm="1">
        <f t="array" ref="G18">IF(C18&lt;C17,LARGE(LOOKUP(D18,$D$1:$D17,$H$1:$H17),1),LOOKUP(2,1/($D$1:$D17=D18),($H$1:$H17)))</f>
        <v>1219</v>
      </c>
      <c r="H18" s="27">
        <v>1221</v>
      </c>
      <c r="I18" s="15">
        <v>5</v>
      </c>
      <c r="J18" s="14">
        <f t="shared" ref="J18" si="59">IFERROR(IF(H18-G18&lt;0,"-",H18-G18),"-")</f>
        <v>2</v>
      </c>
      <c r="K18" s="14">
        <f t="shared" ca="1" si="0"/>
        <v>2</v>
      </c>
      <c r="L18" s="4" t="str">
        <f t="shared" ref="L18" ca="1" si="60">IFERROR(IF(K18&lt;=S18,"EXCELENTE",IF(K18&lt;=Q18,"BOM",IF(K18&lt;=O18,"ATENÇÃO",IF(K18&gt;O18,"CRÍTICO","-")))),"-")</f>
        <v>EXCELENTE</v>
      </c>
      <c r="M18" s="14">
        <f t="shared" ref="M18" si="61">IFERROR(I18/J18,"-")</f>
        <v>2.5</v>
      </c>
      <c r="N18" s="10" cm="1">
        <f t="array" ref="N18">IFERROR(INDEX('Metas Lubrificantes'!$A:$XR,MATCH('15W40'!E18,'Metas Lubrificantes'!A:A,0),MATCH('15W40'!U18,'Metas Lubrificantes'!$1:$1,0)+12),"-")</f>
        <v>10.466666666666667</v>
      </c>
      <c r="O18" s="14">
        <f t="shared" ref="O18" si="62">IFERROR(N18/J18,"-")</f>
        <v>5.2333333333333334</v>
      </c>
      <c r="P18" s="10" cm="1">
        <f t="array" ref="P18">IFERROR(INDEX('Metas Lubrificantes'!$A:$XR,MATCH('15W40'!E18,'Metas Lubrificantes'!A:A,0),MATCH('15W40'!U18,'Metas Lubrificantes'!$1:$1,0)+13),"-")</f>
        <v>9</v>
      </c>
      <c r="Q18" s="14">
        <f t="shared" ref="Q18" si="63">IFERROR(P18/J18,"-")</f>
        <v>4.5</v>
      </c>
      <c r="R18" s="10" cm="1">
        <f t="array" ref="R18">IFERROR(INDEX('Metas Lubrificantes'!$A:$XR,MATCH('15W40'!E18,'Metas Lubrificantes'!A:A,0),MATCH('15W40'!U18,'Metas Lubrificantes'!$1:$1,0)+14),"-")</f>
        <v>5</v>
      </c>
      <c r="S18" s="10">
        <f t="shared" ref="S18" si="64">IFERROR(R18/J18,"-")</f>
        <v>2.5</v>
      </c>
      <c r="T18" s="4" t="str">
        <f t="shared" ref="T18" si="65">IFERROR(IF(M18&lt;=S18,"EXCELENTE",IF(M18&lt;=Q18,"BOM",IF(M18&lt;=O18,"ATENÇÃO",IF(M18&gt;O18,"CRÍTICO","-")))),"-")</f>
        <v>EXCELENTE</v>
      </c>
      <c r="U18" s="16" t="s">
        <v>47</v>
      </c>
      <c r="V18" s="20" t="s">
        <v>62</v>
      </c>
      <c r="Y18" s="26" cm="1">
        <f t="array" ref="Y18">IFERROR(X18+IF(C18&lt;C17,LARGE(LOOKUP(V18,$V$1:$V17,$Z$1:$Z17),1),LOOKUP(2,1/($V$1:$V17=V18),($Z$1:$Z17))),"-")</f>
        <v>15</v>
      </c>
      <c r="Z18" s="26">
        <f t="shared" si="11"/>
        <v>10</v>
      </c>
    </row>
    <row r="19" spans="1:26" x14ac:dyDescent="0.3">
      <c r="J19" s="14"/>
      <c r="K19" s="14"/>
      <c r="M19" s="14"/>
      <c r="O19" s="14"/>
      <c r="Q19" s="14"/>
      <c r="Z19" s="10"/>
    </row>
    <row r="20" spans="1:26" x14ac:dyDescent="0.3">
      <c r="J20" s="14"/>
      <c r="K20" s="14"/>
      <c r="M20" s="14"/>
      <c r="O20" s="14"/>
      <c r="Q20" s="14"/>
      <c r="Z20" s="10"/>
    </row>
    <row r="21" spans="1:26" x14ac:dyDescent="0.3">
      <c r="J21" s="14"/>
      <c r="K21" s="14"/>
      <c r="M21" s="14"/>
      <c r="O21" s="14"/>
      <c r="Q21" s="14"/>
      <c r="Z21" s="10"/>
    </row>
    <row r="22" spans="1:26" x14ac:dyDescent="0.3">
      <c r="J22" s="14"/>
      <c r="K22" s="14"/>
      <c r="M22" s="14"/>
      <c r="O22" s="14"/>
      <c r="Q22" s="14"/>
      <c r="Z22" s="10"/>
    </row>
    <row r="23" spans="1:26" x14ac:dyDescent="0.3">
      <c r="J23" s="14"/>
      <c r="K23" s="14"/>
      <c r="M23" s="14"/>
      <c r="O23" s="14"/>
      <c r="Q23" s="14"/>
      <c r="Z23" s="10"/>
    </row>
    <row r="24" spans="1:26" x14ac:dyDescent="0.3">
      <c r="J24" s="14"/>
      <c r="K24" s="14"/>
      <c r="M24" s="14"/>
      <c r="O24" s="14"/>
      <c r="Q24" s="14"/>
      <c r="Z24" s="10"/>
    </row>
    <row r="25" spans="1:26" x14ac:dyDescent="0.3">
      <c r="J25" s="14"/>
      <c r="K25" s="14"/>
      <c r="M25" s="14"/>
      <c r="O25" s="14"/>
      <c r="Q25" s="14"/>
      <c r="Z25" s="10"/>
    </row>
  </sheetData>
  <autoFilter ref="A1:AA25" xr:uid="{719EFA44-2927-4DA8-921C-9311BF1B4285}"/>
  <phoneticPr fontId="4" type="noConversion"/>
  <conditionalFormatting sqref="J2:J25">
    <cfRule type="cellIs" dxfId="19" priority="12" operator="greaterThan">
      <formula>70</formula>
    </cfRule>
  </conditionalFormatting>
  <conditionalFormatting sqref="K2:K25 M2:M25 O2:O25 Q2:Q25">
    <cfRule type="cellIs" dxfId="18" priority="11" operator="greaterThan">
      <formula>50</formula>
    </cfRule>
  </conditionalFormatting>
  <conditionalFormatting sqref="L1:L1048576 T1:U1048576">
    <cfRule type="cellIs" dxfId="17" priority="1" operator="equal">
      <formula>"EXCELENTE"</formula>
    </cfRule>
    <cfRule type="cellIs" dxfId="16" priority="2" operator="equal">
      <formula>"BOM"</formula>
    </cfRule>
    <cfRule type="cellIs" dxfId="15" priority="3" operator="equal">
      <formula>"ATENÇÃO"</formula>
    </cfRule>
    <cfRule type="cellIs" dxfId="14" priority="4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1662-A78E-4CD8-A305-461205EFBE9F}">
  <dimension ref="A1:AA50"/>
  <sheetViews>
    <sheetView workbookViewId="0">
      <pane ySplit="1" topLeftCell="A2" activePane="bottomLeft" state="frozen"/>
      <selection pane="bottomLeft" activeCell="I11" sqref="I11"/>
    </sheetView>
  </sheetViews>
  <sheetFormatPr defaultColWidth="8.88671875" defaultRowHeight="14.4" x14ac:dyDescent="0.3"/>
  <cols>
    <col min="1" max="1" width="8.88671875" style="4"/>
    <col min="2" max="2" width="13" style="8" customWidth="1"/>
    <col min="3" max="3" width="14.6640625" style="5" customWidth="1"/>
    <col min="4" max="4" width="16.6640625" style="3" customWidth="1"/>
    <col min="5" max="5" width="18.21875" style="4" customWidth="1"/>
    <col min="6" max="6" width="16.109375" style="4" customWidth="1"/>
    <col min="7" max="7" width="16" style="10" customWidth="1"/>
    <col min="8" max="8" width="17.109375" style="11" customWidth="1"/>
    <col min="9" max="9" width="13.33203125" style="15" customWidth="1"/>
    <col min="10" max="10" width="13.33203125" style="10" customWidth="1"/>
    <col min="11" max="11" width="8.88671875" style="10"/>
    <col min="12" max="12" width="16.44140625" style="4" customWidth="1"/>
    <col min="13" max="13" width="12.6640625" style="10" customWidth="1"/>
    <col min="14" max="14" width="8.88671875" style="10"/>
    <col min="15" max="15" width="12.6640625" style="10" customWidth="1"/>
    <col min="16" max="16" width="8.88671875" style="10"/>
    <col min="17" max="17" width="14" style="10" customWidth="1"/>
    <col min="18" max="18" width="8.88671875" style="10"/>
    <col min="19" max="19" width="12.33203125" style="10" customWidth="1"/>
    <col min="20" max="20" width="16.44140625" style="4" customWidth="1"/>
    <col min="21" max="21" width="15" style="16" customWidth="1"/>
    <col min="22" max="22" width="11.88671875" style="3" customWidth="1"/>
    <col min="23" max="23" width="10.6640625" style="3" customWidth="1"/>
    <col min="24" max="24" width="10.88671875" style="3" customWidth="1"/>
    <col min="25" max="25" width="13.6640625" style="10" customWidth="1"/>
    <col min="26" max="26" width="8.88671875" style="4"/>
    <col min="27" max="27" width="27.6640625" style="19" bestFit="1" customWidth="1"/>
    <col min="28" max="16384" width="8.88671875" style="3"/>
  </cols>
  <sheetData>
    <row r="1" spans="1:27" s="1" customFormat="1" ht="36" customHeight="1" x14ac:dyDescent="0.3">
      <c r="A1" s="1" t="s">
        <v>8</v>
      </c>
      <c r="B1" s="7" t="s">
        <v>9</v>
      </c>
      <c r="C1" s="6" t="s">
        <v>10</v>
      </c>
      <c r="D1" s="1" t="s">
        <v>0</v>
      </c>
      <c r="E1" s="1" t="s">
        <v>1</v>
      </c>
      <c r="F1" s="1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45</v>
      </c>
      <c r="M1" s="9" t="s">
        <v>41</v>
      </c>
      <c r="N1" s="9" t="s">
        <v>17</v>
      </c>
      <c r="O1" s="9" t="s">
        <v>42</v>
      </c>
      <c r="P1" s="9" t="s">
        <v>18</v>
      </c>
      <c r="Q1" s="9" t="s">
        <v>43</v>
      </c>
      <c r="R1" s="9" t="s">
        <v>19</v>
      </c>
      <c r="S1" s="9" t="s">
        <v>44</v>
      </c>
      <c r="T1" s="9" t="s">
        <v>20</v>
      </c>
      <c r="U1" s="9" t="s">
        <v>48</v>
      </c>
      <c r="V1" s="1" t="s">
        <v>21</v>
      </c>
      <c r="W1" s="1" t="s">
        <v>22</v>
      </c>
      <c r="X1" s="1" t="s">
        <v>23</v>
      </c>
      <c r="Y1" s="9" t="s">
        <v>24</v>
      </c>
      <c r="Z1" s="1" t="s">
        <v>27</v>
      </c>
      <c r="AA1" s="1" t="s">
        <v>28</v>
      </c>
    </row>
    <row r="2" spans="1:27" x14ac:dyDescent="0.3">
      <c r="A2" s="4">
        <f>IFERROR(YEAR(C2),"-")</f>
        <v>2026</v>
      </c>
      <c r="B2" s="8">
        <f>IFERROR(DATE(YEAR(C2),MONTH(C2),MONTH(C2)),"-")</f>
        <v>46023</v>
      </c>
      <c r="C2" s="21">
        <v>46023</v>
      </c>
      <c r="D2" s="20" t="s">
        <v>50</v>
      </c>
      <c r="E2" s="4" t="str">
        <f>IFERROR(VLOOKUP(D2,Cadastros!A:B,2,FALSE),"-")</f>
        <v>FELLER BUNCHER 1</v>
      </c>
      <c r="F2" s="4" t="str">
        <f>IFERROR(VLOOKUP(E2,Cadastros!B:D,3,FALSE),"-")</f>
        <v>CORTE</v>
      </c>
      <c r="G2" s="28">
        <v>1000</v>
      </c>
      <c r="H2" s="27">
        <v>1012</v>
      </c>
      <c r="I2" s="15">
        <v>8</v>
      </c>
      <c r="J2" s="14">
        <f>IFERROR(IF(H2-G2&lt;0,"-",H2-G2),"-")</f>
        <v>12</v>
      </c>
      <c r="K2" s="14">
        <f t="shared" ref="K2:K18" ca="1" si="0">IFERROR(IF(C2&gt;=TODAY(),"",SUMIFS(I:I,E:E,E2,C:C,C2,B:B,B2)/SUMIFS(J:J,E:E,E2,C:C,C2,B:B,B2)),0)</f>
        <v>0.66666666666666663</v>
      </c>
      <c r="L2" s="4" t="str">
        <f ca="1">IFERROR(IF(K2&lt;=S2,"EXCELENTE",IF(K2&lt;=Q2,"BOM",IF(K2&lt;=O2,"ATENÇÃO",IF(K2&gt;O2,"CRÍTICO","-")))),"-")</f>
        <v>EXCELENTE</v>
      </c>
      <c r="M2" s="14">
        <f>IFERROR(I2/J2,"-")</f>
        <v>0.66666666666666663</v>
      </c>
      <c r="N2" s="10" cm="1">
        <f t="array" ref="N2">IFERROR(INDEX('Metas Lubrificantes'!$A:$XR,MATCH('Hidráulico 68'!E2,'Metas Lubrificantes'!A:A,0),MATCH('Hidráulico 68'!U2,'Metas Lubrificantes'!$1:$1,0)+12),"-")</f>
        <v>19.733333333333334</v>
      </c>
      <c r="O2" s="14">
        <f>IFERROR(N2/J2,"-")</f>
        <v>1.6444444444444446</v>
      </c>
      <c r="P2" s="10" cm="1">
        <f t="array" ref="P2">IFERROR(INDEX('Metas Lubrificantes'!$A:$XR,MATCH('Hidráulico 68'!E2,'Metas Lubrificantes'!A:A,0),MATCH('Hidráulico 68'!U2,'Metas Lubrificantes'!$1:$1,0)+13),"-")</f>
        <v>13.473684210526315</v>
      </c>
      <c r="Q2" s="14">
        <f>IFERROR(P2/J2,"-")</f>
        <v>1.1228070175438596</v>
      </c>
      <c r="R2" s="10" cm="1">
        <f t="array" ref="R2">IFERROR(INDEX('Metas Lubrificantes'!$A:$XR,MATCH('Hidráulico 68'!E2,'Metas Lubrificantes'!A:A,0),MATCH('Hidráulico 68'!U2,'Metas Lubrificantes'!$1:$1,0)+14),"-")</f>
        <v>8</v>
      </c>
      <c r="S2" s="10">
        <f>IFERROR(R2/J2,"-")</f>
        <v>0.66666666666666663</v>
      </c>
      <c r="T2" s="4" t="str">
        <f>IFERROR(IF(M2&lt;=S2,"EXCELENTE",IF(M2&lt;=Q2,"BOM",IF(M2&lt;=O2,"ATENÇÃO",IF(M2&gt;O2,"CRÍTICO","-")))),"-")</f>
        <v>EXCELENTE</v>
      </c>
      <c r="U2" s="16" t="s">
        <v>48</v>
      </c>
      <c r="V2" s="3" t="s">
        <v>62</v>
      </c>
      <c r="Y2" s="17">
        <v>400</v>
      </c>
      <c r="Z2" s="10">
        <f>IFERROR(Y2-I2,"-")</f>
        <v>392</v>
      </c>
    </row>
    <row r="3" spans="1:27" x14ac:dyDescent="0.3">
      <c r="A3" s="4">
        <f t="shared" ref="A3:A6" si="1">IFERROR(YEAR(C3),"-")</f>
        <v>2026</v>
      </c>
      <c r="B3" s="8">
        <f t="shared" ref="B3:B6" si="2">IFERROR(DATE(YEAR(C3),MONTH(C3),MONTH(C3)),"-")</f>
        <v>46023</v>
      </c>
      <c r="C3" s="21">
        <v>46023</v>
      </c>
      <c r="D3" s="20" t="s">
        <v>52</v>
      </c>
      <c r="E3" s="4" t="str">
        <f>IFERROR(VLOOKUP(D3,Cadastros!A:B,2,FALSE),"-")</f>
        <v>FELLER BUNCHER 2</v>
      </c>
      <c r="F3" s="4" t="str">
        <f>IFERROR(VLOOKUP(E3,Cadastros!B:D,3,FALSE),"-")</f>
        <v>CORTE</v>
      </c>
      <c r="G3" s="28">
        <v>2000</v>
      </c>
      <c r="H3" s="27">
        <v>2008</v>
      </c>
      <c r="I3" s="15">
        <v>10</v>
      </c>
      <c r="J3" s="14">
        <f t="shared" ref="J3:J6" si="3">IFERROR(IF(H3-G3&lt;0,"-",H3-G3),"-")</f>
        <v>8</v>
      </c>
      <c r="K3" s="14">
        <f t="shared" ca="1" si="0"/>
        <v>1.25</v>
      </c>
      <c r="L3" s="4" t="str">
        <f t="shared" ref="L3:L6" ca="1" si="4">IFERROR(IF(K3&lt;=S3,"EXCELENTE",IF(K3&lt;=Q3,"BOM",IF(K3&lt;=O3,"ATENÇÃO",IF(K3&gt;O3,"CRÍTICO","-")))),"-")</f>
        <v>ATENÇÃO</v>
      </c>
      <c r="M3" s="14">
        <f t="shared" ref="M3:M6" si="5">IFERROR(I3/J3,"-")</f>
        <v>1.25</v>
      </c>
      <c r="N3" s="10" cm="1">
        <f t="array" ref="N3">IFERROR(INDEX('Metas Lubrificantes'!$A:$XR,MATCH('Hidráulico 68'!E3,'Metas Lubrificantes'!A:A,0),MATCH('Hidráulico 68'!U3,'Metas Lubrificantes'!$1:$1,0)+12),"-")</f>
        <v>16.149999999999999</v>
      </c>
      <c r="O3" s="14">
        <f t="shared" ref="O3:O6" si="6">IFERROR(N3/J3,"-")</f>
        <v>2.0187499999999998</v>
      </c>
      <c r="P3" s="10" cm="1">
        <f t="array" ref="P3">IFERROR(INDEX('Metas Lubrificantes'!$A:$XR,MATCH('Hidráulico 68'!E3,'Metas Lubrificantes'!A:A,0),MATCH('Hidráulico 68'!U3,'Metas Lubrificantes'!$1:$1,0)+13),"-")</f>
        <v>8.9796747967479664</v>
      </c>
      <c r="Q3" s="14">
        <f t="shared" ref="Q3:Q6" si="7">IFERROR(P3/J3,"-")</f>
        <v>1.1224593495934958</v>
      </c>
      <c r="R3" s="10" cm="1">
        <f t="array" ref="R3">IFERROR(INDEX('Metas Lubrificantes'!$A:$XR,MATCH('Hidráulico 68'!E3,'Metas Lubrificantes'!A:A,0),MATCH('Hidráulico 68'!U3,'Metas Lubrificantes'!$1:$1,0)+14),"-")</f>
        <v>2</v>
      </c>
      <c r="S3" s="10">
        <f t="shared" ref="S3:S6" si="8">IFERROR(R3/J3,"-")</f>
        <v>0.25</v>
      </c>
      <c r="T3" s="4" t="str">
        <f t="shared" ref="T3:T6" si="9">IFERROR(IF(M3&lt;=S3,"EXCELENTE",IF(M3&lt;=Q3,"BOM",IF(M3&lt;=O3,"ATENÇÃO",IF(M3&gt;O3,"CRÍTICO","-")))),"-")</f>
        <v>ATENÇÃO</v>
      </c>
      <c r="U3" s="16" t="s">
        <v>48</v>
      </c>
      <c r="V3" s="20" t="s">
        <v>62</v>
      </c>
      <c r="Y3" s="10" cm="1">
        <f t="array" ref="Y3">IFERROR(X3+IF(C3&lt;C2,LARGE(LOOKUP(V3,$V$1:$V2,$Z$1:$Z2),1),LOOKUP(2,1/($V$1:$V2=V3),($Z$1:$Z2))),"-")</f>
        <v>392</v>
      </c>
      <c r="Z3" s="10">
        <f t="shared" ref="Z3" si="10">IFERROR(Y3-I3,"-")</f>
        <v>382</v>
      </c>
    </row>
    <row r="4" spans="1:27" x14ac:dyDescent="0.3">
      <c r="A4" s="4">
        <f t="shared" si="1"/>
        <v>2026</v>
      </c>
      <c r="B4" s="8">
        <f t="shared" si="2"/>
        <v>46023</v>
      </c>
      <c r="C4" s="21">
        <v>46023</v>
      </c>
      <c r="D4" s="20" t="s">
        <v>54</v>
      </c>
      <c r="E4" s="4" t="str">
        <f>IFERROR(VLOOKUP(D4,Cadastros!A:B,2,FALSE),"-")</f>
        <v>SKIDDER 1</v>
      </c>
      <c r="F4" s="4" t="str">
        <f>IFERROR(VLOOKUP(E4,Cadastros!B:D,3,FALSE),"-")</f>
        <v>ARRASTE</v>
      </c>
      <c r="G4" s="28">
        <v>1200</v>
      </c>
      <c r="H4" s="27">
        <v>1215</v>
      </c>
      <c r="I4" s="15">
        <v>23</v>
      </c>
      <c r="J4" s="14">
        <f t="shared" si="3"/>
        <v>15</v>
      </c>
      <c r="K4" s="14">
        <f t="shared" ca="1" si="0"/>
        <v>1.5333333333333334</v>
      </c>
      <c r="L4" s="4" t="str">
        <f t="shared" ca="1" si="4"/>
        <v>CRÍTICO</v>
      </c>
      <c r="M4" s="14">
        <f t="shared" si="5"/>
        <v>1.5333333333333334</v>
      </c>
      <c r="N4" s="10" cm="1">
        <f t="array" ref="N4">IFERROR(INDEX('Metas Lubrificantes'!$A:$XR,MATCH('Hidráulico 68'!E4,'Metas Lubrificantes'!A:A,0),MATCH('Hidráulico 68'!U4,'Metas Lubrificantes'!$1:$1,0)+12),"-")</f>
        <v>21.3</v>
      </c>
      <c r="O4" s="14">
        <f t="shared" si="6"/>
        <v>1.4200000000000002</v>
      </c>
      <c r="P4" s="10" cm="1">
        <f t="array" ref="P4">IFERROR(INDEX('Metas Lubrificantes'!$A:$XR,MATCH('Hidráulico 68'!E4,'Metas Lubrificantes'!A:A,0),MATCH('Hidráulico 68'!U4,'Metas Lubrificantes'!$1:$1,0)+13),"-")</f>
        <v>13.927710843373493</v>
      </c>
      <c r="Q4" s="14">
        <f t="shared" si="7"/>
        <v>0.92851405622489958</v>
      </c>
      <c r="R4" s="10" cm="1">
        <f t="array" ref="R4">IFERROR(INDEX('Metas Lubrificantes'!$A:$XR,MATCH('Hidráulico 68'!E4,'Metas Lubrificantes'!A:A,0),MATCH('Hidráulico 68'!U4,'Metas Lubrificantes'!$1:$1,0)+14),"-")</f>
        <v>8</v>
      </c>
      <c r="S4" s="10">
        <f t="shared" si="8"/>
        <v>0.53333333333333333</v>
      </c>
      <c r="T4" s="4" t="str">
        <f t="shared" si="9"/>
        <v>CRÍTICO</v>
      </c>
      <c r="U4" s="16" t="s">
        <v>48</v>
      </c>
      <c r="V4" s="20" t="s">
        <v>62</v>
      </c>
      <c r="Y4" s="26" cm="1">
        <f t="array" ref="Y4">IFERROR(X4+IF(C4&lt;C3,LARGE(LOOKUP(V4,$V$1:$V3,$Z$1:$Z3),1),LOOKUP(2,1/($V$1:$V3=V4),($Z$1:$Z3))),"-")</f>
        <v>382</v>
      </c>
      <c r="Z4" s="26">
        <f t="shared" ref="Z4:Z18" si="11">IFERROR(Y4-I4,"-")</f>
        <v>359</v>
      </c>
    </row>
    <row r="5" spans="1:27" x14ac:dyDescent="0.3">
      <c r="A5" s="4">
        <f t="shared" si="1"/>
        <v>2026</v>
      </c>
      <c r="B5" s="8">
        <f t="shared" si="2"/>
        <v>46023</v>
      </c>
      <c r="C5" s="21">
        <v>46023</v>
      </c>
      <c r="D5" s="20" t="s">
        <v>56</v>
      </c>
      <c r="E5" s="4" t="str">
        <f>IFERROR(VLOOKUP(D5,Cadastros!A:B,2,FALSE),"-")</f>
        <v>SKIDDER 2</v>
      </c>
      <c r="F5" s="4" t="str">
        <f>IFERROR(VLOOKUP(E5,Cadastros!B:D,3,FALSE),"-")</f>
        <v>ARRASTE</v>
      </c>
      <c r="G5" s="28">
        <v>2100</v>
      </c>
      <c r="H5" s="27">
        <v>2106</v>
      </c>
      <c r="I5" s="15">
        <v>26</v>
      </c>
      <c r="J5" s="14">
        <f t="shared" si="3"/>
        <v>6</v>
      </c>
      <c r="K5" s="14">
        <f t="shared" ca="1" si="0"/>
        <v>4.333333333333333</v>
      </c>
      <c r="L5" s="4" t="str">
        <f t="shared" ca="1" si="4"/>
        <v>ATENÇÃO</v>
      </c>
      <c r="M5" s="14">
        <f t="shared" si="5"/>
        <v>4.333333333333333</v>
      </c>
      <c r="N5" s="10" cm="1">
        <f t="array" ref="N5">IFERROR(INDEX('Metas Lubrificantes'!$A:$XR,MATCH('Hidráulico 68'!E5,'Metas Lubrificantes'!A:A,0),MATCH('Hidráulico 68'!U5,'Metas Lubrificantes'!$1:$1,0)+12),"-")</f>
        <v>26.950000000000003</v>
      </c>
      <c r="O5" s="14">
        <f t="shared" si="6"/>
        <v>4.4916666666666671</v>
      </c>
      <c r="P5" s="10" cm="1">
        <f t="array" ref="P5">IFERROR(INDEX('Metas Lubrificantes'!$A:$XR,MATCH('Hidráulico 68'!E5,'Metas Lubrificantes'!A:A,0),MATCH('Hidráulico 68'!U5,'Metas Lubrificantes'!$1:$1,0)+13),"-")</f>
        <v>23.696682464454973</v>
      </c>
      <c r="Q5" s="14">
        <f t="shared" si="7"/>
        <v>3.9494470774091623</v>
      </c>
      <c r="R5" s="10" cm="1">
        <f t="array" ref="R5">IFERROR(INDEX('Metas Lubrificantes'!$A:$XR,MATCH('Hidráulico 68'!E5,'Metas Lubrificantes'!A:A,0),MATCH('Hidráulico 68'!U5,'Metas Lubrificantes'!$1:$1,0)+14),"-")</f>
        <v>19</v>
      </c>
      <c r="S5" s="10">
        <f t="shared" si="8"/>
        <v>3.1666666666666665</v>
      </c>
      <c r="T5" s="4" t="str">
        <f t="shared" si="9"/>
        <v>ATENÇÃO</v>
      </c>
      <c r="U5" s="16" t="s">
        <v>48</v>
      </c>
      <c r="V5" s="20" t="s">
        <v>62</v>
      </c>
      <c r="Y5" s="26" cm="1">
        <f t="array" ref="Y5">IFERROR(X5+IF(C5&lt;C4,LARGE(LOOKUP(V5,$V$1:$V4,$Z$1:$Z4),1),LOOKUP(2,1/($V$1:$V4=V5),($Z$1:$Z4))),"-")</f>
        <v>359</v>
      </c>
      <c r="Z5" s="26">
        <f t="shared" si="11"/>
        <v>333</v>
      </c>
    </row>
    <row r="6" spans="1:27" x14ac:dyDescent="0.3">
      <c r="A6" s="4">
        <f t="shared" si="1"/>
        <v>2026</v>
      </c>
      <c r="B6" s="8">
        <f t="shared" si="2"/>
        <v>46023</v>
      </c>
      <c r="C6" s="21">
        <v>46024</v>
      </c>
      <c r="D6" s="20" t="s">
        <v>52</v>
      </c>
      <c r="E6" s="4" t="str">
        <f>IFERROR(VLOOKUP(D6,Cadastros!A:B,2,FALSE),"-")</f>
        <v>FELLER BUNCHER 2</v>
      </c>
      <c r="F6" s="4" t="str">
        <f>IFERROR(VLOOKUP(E6,Cadastros!B:D,3,FALSE),"-")</f>
        <v>CORTE</v>
      </c>
      <c r="G6" s="26" cm="1">
        <f t="array" ref="G6">IF(C6&lt;C5,LARGE(LOOKUP(D6,$D$1:$D5,$H$1:$H5),1),LOOKUP(2,1/($D$1:$D5=D6),($H$1:$H5)))</f>
        <v>2008</v>
      </c>
      <c r="H6" s="27">
        <v>2012</v>
      </c>
      <c r="I6" s="15">
        <v>18</v>
      </c>
      <c r="J6" s="14">
        <f t="shared" si="3"/>
        <v>4</v>
      </c>
      <c r="K6" s="14">
        <f t="shared" ca="1" si="0"/>
        <v>1.1764705882352942</v>
      </c>
      <c r="L6" s="4" t="str">
        <f t="shared" ca="1" si="4"/>
        <v>BOM</v>
      </c>
      <c r="M6" s="14">
        <f t="shared" si="5"/>
        <v>4.5</v>
      </c>
      <c r="N6" s="10" cm="1">
        <f t="array" ref="N6">IFERROR(INDEX('Metas Lubrificantes'!$A:$XR,MATCH('Hidráulico 68'!E6,'Metas Lubrificantes'!A:A,0),MATCH('Hidráulico 68'!U6,'Metas Lubrificantes'!$1:$1,0)+12),"-")</f>
        <v>16.149999999999999</v>
      </c>
      <c r="O6" s="14">
        <f t="shared" si="6"/>
        <v>4.0374999999999996</v>
      </c>
      <c r="P6" s="10" cm="1">
        <f t="array" ref="P6">IFERROR(INDEX('Metas Lubrificantes'!$A:$XR,MATCH('Hidráulico 68'!E6,'Metas Lubrificantes'!A:A,0),MATCH('Hidráulico 68'!U6,'Metas Lubrificantes'!$1:$1,0)+13),"-")</f>
        <v>8.9796747967479664</v>
      </c>
      <c r="Q6" s="14">
        <f t="shared" si="7"/>
        <v>2.2449186991869916</v>
      </c>
      <c r="R6" s="10" cm="1">
        <f t="array" ref="R6">IFERROR(INDEX('Metas Lubrificantes'!$A:$XR,MATCH('Hidráulico 68'!E6,'Metas Lubrificantes'!A:A,0),MATCH('Hidráulico 68'!U6,'Metas Lubrificantes'!$1:$1,0)+14),"-")</f>
        <v>2</v>
      </c>
      <c r="S6" s="10">
        <f t="shared" si="8"/>
        <v>0.5</v>
      </c>
      <c r="T6" s="4" t="str">
        <f t="shared" si="9"/>
        <v>CRÍTICO</v>
      </c>
      <c r="U6" s="16" t="s">
        <v>48</v>
      </c>
      <c r="V6" s="20" t="s">
        <v>62</v>
      </c>
      <c r="Y6" s="26" cm="1">
        <f t="array" ref="Y6">IFERROR(X6+IF(C6&lt;C5,LARGE(LOOKUP(V6,$V$1:$V5,$Z$1:$Z5),1),LOOKUP(2,1/($V$1:$V5=V6),($Z$1:$Z5))),"-")</f>
        <v>333</v>
      </c>
      <c r="Z6" s="26">
        <f t="shared" si="11"/>
        <v>315</v>
      </c>
    </row>
    <row r="7" spans="1:27" x14ac:dyDescent="0.3">
      <c r="A7" s="4">
        <f t="shared" ref="A7:A8" si="12">IFERROR(YEAR(C7),"-")</f>
        <v>2026</v>
      </c>
      <c r="B7" s="8">
        <f t="shared" ref="B7:B8" si="13">IFERROR(DATE(YEAR(C7),MONTH(C7),MONTH(C7)),"-")</f>
        <v>46023</v>
      </c>
      <c r="C7" s="21">
        <v>46024</v>
      </c>
      <c r="D7" s="20" t="s">
        <v>60</v>
      </c>
      <c r="E7" s="4" t="str">
        <f>IFERROR(VLOOKUP(D7,Cadastros!A:B,2,FALSE),"-")</f>
        <v>GARRA TRAÇADORA 2</v>
      </c>
      <c r="F7" s="4" t="str">
        <f>IFERROR(VLOOKUP(E7,Cadastros!B:D,3,FALSE),"-")</f>
        <v>TRAÇAMENTO</v>
      </c>
      <c r="G7" s="28">
        <v>700</v>
      </c>
      <c r="H7" s="27">
        <v>711</v>
      </c>
      <c r="I7" s="15">
        <v>19</v>
      </c>
      <c r="J7" s="14">
        <f t="shared" ref="J7:J8" si="14">IFERROR(IF(H7-G7&lt;0,"-",H7-G7),"-")</f>
        <v>11</v>
      </c>
      <c r="K7" s="14">
        <f t="shared" ca="1" si="0"/>
        <v>1.7272727272727273</v>
      </c>
      <c r="L7" s="4" t="str">
        <f t="shared" ref="L7:L8" ca="1" si="15">IFERROR(IF(K7&lt;=S7,"EXCELENTE",IF(K7&lt;=Q7,"BOM",IF(K7&lt;=O7,"ATENÇÃO",IF(K7&gt;O7,"CRÍTICO","-")))),"-")</f>
        <v>EXCELENTE</v>
      </c>
      <c r="M7" s="14">
        <f t="shared" ref="M7:M8" si="16">IFERROR(I7/J7,"-")</f>
        <v>1.7272727272727273</v>
      </c>
      <c r="N7" s="10" cm="1">
        <f t="array" ref="N7">IFERROR(INDEX('Metas Lubrificantes'!$A:$XR,MATCH('Hidráulico 68'!E7,'Metas Lubrificantes'!A:A,0),MATCH('Hidráulico 68'!U7,'Metas Lubrificantes'!$1:$1,0)+12),"-")</f>
        <v>26.166666666666671</v>
      </c>
      <c r="O7" s="14">
        <f t="shared" ref="O7:O8" si="17">IFERROR(N7/J7,"-")</f>
        <v>2.3787878787878793</v>
      </c>
      <c r="P7" s="10" cm="1">
        <f t="array" ref="P7">IFERROR(INDEX('Metas Lubrificantes'!$A:$XR,MATCH('Hidráulico 68'!E7,'Metas Lubrificantes'!A:A,0),MATCH('Hidráulico 68'!U7,'Metas Lubrificantes'!$1:$1,0)+13),"-")</f>
        <v>22.811881188118807</v>
      </c>
      <c r="Q7" s="14">
        <f t="shared" ref="Q7:Q8" si="18">IFERROR(P7/J7,"-")</f>
        <v>2.0738073807380735</v>
      </c>
      <c r="R7" s="10" cm="1">
        <f t="array" ref="R7">IFERROR(INDEX('Metas Lubrificantes'!$A:$XR,MATCH('Hidráulico 68'!E7,'Metas Lubrificantes'!A:A,0),MATCH('Hidráulico 68'!U7,'Metas Lubrificantes'!$1:$1,0)+14),"-")</f>
        <v>19</v>
      </c>
      <c r="S7" s="10">
        <f t="shared" ref="S7:S8" si="19">IFERROR(R7/J7,"-")</f>
        <v>1.7272727272727273</v>
      </c>
      <c r="T7" s="4" t="str">
        <f t="shared" ref="T7:T8" si="20">IFERROR(IF(M7&lt;=S7,"EXCELENTE",IF(M7&lt;=Q7,"BOM",IF(M7&lt;=O7,"ATENÇÃO",IF(M7&gt;O7,"CRÍTICO","-")))),"-")</f>
        <v>EXCELENTE</v>
      </c>
      <c r="U7" s="16" t="s">
        <v>48</v>
      </c>
      <c r="V7" s="20" t="s">
        <v>62</v>
      </c>
      <c r="Y7" s="26" cm="1">
        <f t="array" ref="Y7">IFERROR(X7+IF(C7&lt;C6,LARGE(LOOKUP(V7,$V$1:$V6,$Z$1:$Z6),1),LOOKUP(2,1/($V$1:$V6=V7),($Z$1:$Z6))),"-")</f>
        <v>315</v>
      </c>
      <c r="Z7" s="26">
        <f t="shared" si="11"/>
        <v>296</v>
      </c>
    </row>
    <row r="8" spans="1:27" x14ac:dyDescent="0.3">
      <c r="A8" s="4">
        <f t="shared" si="12"/>
        <v>2026</v>
      </c>
      <c r="B8" s="8">
        <f t="shared" si="13"/>
        <v>46023</v>
      </c>
      <c r="C8" s="21">
        <v>46024</v>
      </c>
      <c r="D8" s="20" t="s">
        <v>52</v>
      </c>
      <c r="E8" s="4" t="str">
        <f>IFERROR(VLOOKUP(D8,Cadastros!A:B,2,FALSE),"-")</f>
        <v>FELLER BUNCHER 2</v>
      </c>
      <c r="F8" s="4" t="str">
        <f>IFERROR(VLOOKUP(E8,Cadastros!B:D,3,FALSE),"-")</f>
        <v>CORTE</v>
      </c>
      <c r="G8" s="26" cm="1">
        <f t="array" ref="G8">IF(C8&lt;C7,LARGE(LOOKUP(D8,$D$1:$D7,$H$1:$H7),1),LOOKUP(2,1/($D$1:$D7=D8),($H$1:$H7)))</f>
        <v>2012</v>
      </c>
      <c r="H8" s="27">
        <v>2025</v>
      </c>
      <c r="I8" s="15">
        <v>2</v>
      </c>
      <c r="J8" s="14">
        <f t="shared" si="14"/>
        <v>13</v>
      </c>
      <c r="K8" s="14">
        <f t="shared" ca="1" si="0"/>
        <v>1.1764705882352942</v>
      </c>
      <c r="L8" s="4" t="str">
        <f t="shared" ca="1" si="15"/>
        <v>ATENÇÃO</v>
      </c>
      <c r="M8" s="14">
        <f t="shared" si="16"/>
        <v>0.15384615384615385</v>
      </c>
      <c r="N8" s="10" cm="1">
        <f t="array" ref="N8">IFERROR(INDEX('Metas Lubrificantes'!$A:$XR,MATCH('Hidráulico 68'!E8,'Metas Lubrificantes'!A:A,0),MATCH('Hidráulico 68'!U8,'Metas Lubrificantes'!$1:$1,0)+12),"-")</f>
        <v>16.149999999999999</v>
      </c>
      <c r="O8" s="14">
        <f t="shared" si="17"/>
        <v>1.2423076923076921</v>
      </c>
      <c r="P8" s="10" cm="1">
        <f t="array" ref="P8">IFERROR(INDEX('Metas Lubrificantes'!$A:$XR,MATCH('Hidráulico 68'!E8,'Metas Lubrificantes'!A:A,0),MATCH('Hidráulico 68'!U8,'Metas Lubrificantes'!$1:$1,0)+13),"-")</f>
        <v>8.9796747967479664</v>
      </c>
      <c r="Q8" s="14">
        <f t="shared" si="18"/>
        <v>0.69074421513445894</v>
      </c>
      <c r="R8" s="10" cm="1">
        <f t="array" ref="R8">IFERROR(INDEX('Metas Lubrificantes'!$A:$XR,MATCH('Hidráulico 68'!E8,'Metas Lubrificantes'!A:A,0),MATCH('Hidráulico 68'!U8,'Metas Lubrificantes'!$1:$1,0)+14),"-")</f>
        <v>2</v>
      </c>
      <c r="S8" s="10">
        <f t="shared" si="19"/>
        <v>0.15384615384615385</v>
      </c>
      <c r="T8" s="4" t="str">
        <f t="shared" si="20"/>
        <v>EXCELENTE</v>
      </c>
      <c r="U8" s="16" t="s">
        <v>48</v>
      </c>
      <c r="V8" s="20" t="s">
        <v>62</v>
      </c>
      <c r="Y8" s="26" cm="1">
        <f t="array" ref="Y8">IFERROR(X8+IF(C8&lt;C7,LARGE(LOOKUP(V8,$V$1:$V7,$Z$1:$Z7),1),LOOKUP(2,1/($V$1:$V7=V8),($Z$1:$Z7))),"-")</f>
        <v>296</v>
      </c>
      <c r="Z8" s="26">
        <f t="shared" si="11"/>
        <v>294</v>
      </c>
    </row>
    <row r="9" spans="1:27" x14ac:dyDescent="0.3">
      <c r="A9" s="4">
        <f t="shared" ref="A9:A10" si="21">IFERROR(YEAR(C9),"-")</f>
        <v>2026</v>
      </c>
      <c r="B9" s="8">
        <f t="shared" ref="B9:B10" si="22">IFERROR(DATE(YEAR(C9),MONTH(C9),MONTH(C9)),"-")</f>
        <v>46023</v>
      </c>
      <c r="C9" s="21">
        <v>46024</v>
      </c>
      <c r="D9" s="20" t="s">
        <v>50</v>
      </c>
      <c r="E9" s="4" t="str">
        <f>IFERROR(VLOOKUP(D9,Cadastros!A:B,2,FALSE),"-")</f>
        <v>FELLER BUNCHER 1</v>
      </c>
      <c r="F9" s="4" t="str">
        <f>IFERROR(VLOOKUP(E9,Cadastros!B:D,3,FALSE),"-")</f>
        <v>CORTE</v>
      </c>
      <c r="G9" s="26" cm="1">
        <f t="array" ref="G9">IF(C9&lt;C8,LARGE(LOOKUP(D9,$D$1:$D8,$H$1:$H8),1),LOOKUP(2,1/($D$1:$D8=D9),($H$1:$H8)))</f>
        <v>1012</v>
      </c>
      <c r="H9" s="27">
        <v>1018</v>
      </c>
      <c r="I9" s="15">
        <v>22</v>
      </c>
      <c r="J9" s="14">
        <f t="shared" ref="J9:J10" si="23">IFERROR(IF(H9-G9&lt;0,"-",H9-G9),"-")</f>
        <v>6</v>
      </c>
      <c r="K9" s="14">
        <f t="shared" ca="1" si="0"/>
        <v>3.6666666666666665</v>
      </c>
      <c r="L9" s="4" t="str">
        <f t="shared" ref="L9:L10" ca="1" si="24">IFERROR(IF(K9&lt;=S9,"EXCELENTE",IF(K9&lt;=Q9,"BOM",IF(K9&lt;=O9,"ATENÇÃO",IF(K9&gt;O9,"CRÍTICO","-")))),"-")</f>
        <v>CRÍTICO</v>
      </c>
      <c r="M9" s="14">
        <f t="shared" ref="M9:M10" si="25">IFERROR(I9/J9,"-")</f>
        <v>3.6666666666666665</v>
      </c>
      <c r="N9" s="10" cm="1">
        <f t="array" ref="N9">IFERROR(INDEX('Metas Lubrificantes'!$A:$XR,MATCH('Hidráulico 68'!E9,'Metas Lubrificantes'!A:A,0),MATCH('Hidráulico 68'!U9,'Metas Lubrificantes'!$1:$1,0)+12),"-")</f>
        <v>19.733333333333334</v>
      </c>
      <c r="O9" s="14">
        <f t="shared" ref="O9:O10" si="26">IFERROR(N9/J9,"-")</f>
        <v>3.2888888888888892</v>
      </c>
      <c r="P9" s="10" cm="1">
        <f t="array" ref="P9">IFERROR(INDEX('Metas Lubrificantes'!$A:$XR,MATCH('Hidráulico 68'!E9,'Metas Lubrificantes'!A:A,0),MATCH('Hidráulico 68'!U9,'Metas Lubrificantes'!$1:$1,0)+13),"-")</f>
        <v>13.473684210526315</v>
      </c>
      <c r="Q9" s="14">
        <f t="shared" ref="Q9:Q10" si="27">IFERROR(P9/J9,"-")</f>
        <v>2.2456140350877192</v>
      </c>
      <c r="R9" s="10" cm="1">
        <f t="array" ref="R9">IFERROR(INDEX('Metas Lubrificantes'!$A:$XR,MATCH('Hidráulico 68'!E9,'Metas Lubrificantes'!A:A,0),MATCH('Hidráulico 68'!U9,'Metas Lubrificantes'!$1:$1,0)+14),"-")</f>
        <v>8</v>
      </c>
      <c r="S9" s="10">
        <f t="shared" ref="S9:S10" si="28">IFERROR(R9/J9,"-")</f>
        <v>1.3333333333333333</v>
      </c>
      <c r="T9" s="4" t="str">
        <f t="shared" ref="T9:T10" si="29">IFERROR(IF(M9&lt;=S9,"EXCELENTE",IF(M9&lt;=Q9,"BOM",IF(M9&lt;=O9,"ATENÇÃO",IF(M9&gt;O9,"CRÍTICO","-")))),"-")</f>
        <v>CRÍTICO</v>
      </c>
      <c r="U9" s="16" t="s">
        <v>48</v>
      </c>
      <c r="V9" s="20" t="s">
        <v>62</v>
      </c>
      <c r="Y9" s="26" cm="1">
        <f t="array" ref="Y9">IFERROR(X9+IF(C9&lt;C8,LARGE(LOOKUP(V9,$V$1:$V8,$Z$1:$Z8),1),LOOKUP(2,1/($V$1:$V8=V9),($Z$1:$Z8))),"-")</f>
        <v>294</v>
      </c>
      <c r="Z9" s="26">
        <f t="shared" si="11"/>
        <v>272</v>
      </c>
    </row>
    <row r="10" spans="1:27" x14ac:dyDescent="0.3">
      <c r="A10" s="4">
        <f t="shared" si="21"/>
        <v>2026</v>
      </c>
      <c r="B10" s="8">
        <f t="shared" si="22"/>
        <v>46023</v>
      </c>
      <c r="C10" s="21">
        <v>46024</v>
      </c>
      <c r="D10" s="20" t="s">
        <v>56</v>
      </c>
      <c r="E10" s="4" t="str">
        <f>IFERROR(VLOOKUP(D10,Cadastros!A:B,2,FALSE),"-")</f>
        <v>SKIDDER 2</v>
      </c>
      <c r="F10" s="4" t="str">
        <f>IFERROR(VLOOKUP(E10,Cadastros!B:D,3,FALSE),"-")</f>
        <v>ARRASTE</v>
      </c>
      <c r="G10" s="26" cm="1">
        <f t="array" ref="G10">IF(C10&lt;C9,LARGE(LOOKUP(D10,$D$1:$D9,$H$1:$H9),1),LOOKUP(2,1/($D$1:$D9=D10),($H$1:$H9)))</f>
        <v>2106</v>
      </c>
      <c r="H10" s="27">
        <v>2110</v>
      </c>
      <c r="I10" s="15">
        <v>29</v>
      </c>
      <c r="J10" s="14">
        <f t="shared" si="23"/>
        <v>4</v>
      </c>
      <c r="K10" s="14">
        <f t="shared" ca="1" si="0"/>
        <v>6.1111111111111107</v>
      </c>
      <c r="L10" s="4" t="str">
        <f t="shared" ca="1" si="24"/>
        <v>ATENÇÃO</v>
      </c>
      <c r="M10" s="14">
        <f t="shared" si="25"/>
        <v>7.25</v>
      </c>
      <c r="N10" s="10" cm="1">
        <f t="array" ref="N10">IFERROR(INDEX('Metas Lubrificantes'!$A:$XR,MATCH('Hidráulico 68'!E10,'Metas Lubrificantes'!A:A,0),MATCH('Hidráulico 68'!U10,'Metas Lubrificantes'!$1:$1,0)+12),"-")</f>
        <v>26.950000000000003</v>
      </c>
      <c r="O10" s="14">
        <f t="shared" si="26"/>
        <v>6.7375000000000007</v>
      </c>
      <c r="P10" s="10" cm="1">
        <f t="array" ref="P10">IFERROR(INDEX('Metas Lubrificantes'!$A:$XR,MATCH('Hidráulico 68'!E10,'Metas Lubrificantes'!A:A,0),MATCH('Hidráulico 68'!U10,'Metas Lubrificantes'!$1:$1,0)+13),"-")</f>
        <v>23.696682464454973</v>
      </c>
      <c r="Q10" s="14">
        <f t="shared" si="27"/>
        <v>5.9241706161137433</v>
      </c>
      <c r="R10" s="10" cm="1">
        <f t="array" ref="R10">IFERROR(INDEX('Metas Lubrificantes'!$A:$XR,MATCH('Hidráulico 68'!E10,'Metas Lubrificantes'!A:A,0),MATCH('Hidráulico 68'!U10,'Metas Lubrificantes'!$1:$1,0)+14),"-")</f>
        <v>19</v>
      </c>
      <c r="S10" s="10">
        <f t="shared" si="28"/>
        <v>4.75</v>
      </c>
      <c r="T10" s="4" t="str">
        <f t="shared" si="29"/>
        <v>CRÍTICO</v>
      </c>
      <c r="U10" s="16" t="s">
        <v>48</v>
      </c>
      <c r="V10" s="20" t="s">
        <v>62</v>
      </c>
      <c r="Y10" s="26" cm="1">
        <f t="array" ref="Y10">IFERROR(X10+IF(C10&lt;C9,LARGE(LOOKUP(V10,$V$1:$V9,$Z$1:$Z9),1),LOOKUP(2,1/($V$1:$V9=V10),($Z$1:$Z9))),"-")</f>
        <v>272</v>
      </c>
      <c r="Z10" s="26">
        <f t="shared" si="11"/>
        <v>243</v>
      </c>
    </row>
    <row r="11" spans="1:27" x14ac:dyDescent="0.3">
      <c r="A11" s="4">
        <f t="shared" ref="A11:A13" si="30">IFERROR(YEAR(C11),"-")</f>
        <v>2026</v>
      </c>
      <c r="B11" s="8">
        <f t="shared" ref="B11:B13" si="31">IFERROR(DATE(YEAR(C11),MONTH(C11),MONTH(C11)),"-")</f>
        <v>46023</v>
      </c>
      <c r="C11" s="21">
        <v>46024</v>
      </c>
      <c r="D11" s="20" t="s">
        <v>56</v>
      </c>
      <c r="E11" s="4" t="str">
        <f>IFERROR(VLOOKUP(D11,Cadastros!A:B,2,FALSE),"-")</f>
        <v>SKIDDER 2</v>
      </c>
      <c r="F11" s="4" t="str">
        <f>IFERROR(VLOOKUP(E11,Cadastros!B:D,3,FALSE),"-")</f>
        <v>ARRASTE</v>
      </c>
      <c r="G11" s="26" cm="1">
        <f t="array" ref="G11">IF(C11&lt;C10,LARGE(LOOKUP(D11,$D$1:$D10,$H$1:$H10),1),LOOKUP(2,1/($D$1:$D10=D11),($H$1:$H10)))</f>
        <v>2110</v>
      </c>
      <c r="H11" s="27">
        <v>2115</v>
      </c>
      <c r="I11" s="15">
        <v>26</v>
      </c>
      <c r="J11" s="14">
        <f t="shared" ref="J11:J12" si="32">IFERROR(IF(H11-G11&lt;0,"-",H11-G11),"-")</f>
        <v>5</v>
      </c>
      <c r="K11" s="14">
        <f t="shared" ca="1" si="0"/>
        <v>6.1111111111111107</v>
      </c>
      <c r="L11" s="4" t="str">
        <f t="shared" ref="L11:L12" ca="1" si="33">IFERROR(IF(K11&lt;=S11,"EXCELENTE",IF(K11&lt;=Q11,"BOM",IF(K11&lt;=O11,"ATENÇÃO",IF(K11&gt;O11,"CRÍTICO","-")))),"-")</f>
        <v>CRÍTICO</v>
      </c>
      <c r="M11" s="14">
        <f t="shared" ref="M11:M12" si="34">IFERROR(I11/J11,"-")</f>
        <v>5.2</v>
      </c>
      <c r="N11" s="10" cm="1">
        <f t="array" ref="N11">IFERROR(INDEX('Metas Lubrificantes'!$A:$XR,MATCH('Hidráulico 68'!E11,'Metas Lubrificantes'!A:A,0),MATCH('Hidráulico 68'!U11,'Metas Lubrificantes'!$1:$1,0)+12),"-")</f>
        <v>26.950000000000003</v>
      </c>
      <c r="O11" s="14">
        <f t="shared" ref="O11:O12" si="35">IFERROR(N11/J11,"-")</f>
        <v>5.3900000000000006</v>
      </c>
      <c r="P11" s="10" cm="1">
        <f t="array" ref="P11">IFERROR(INDEX('Metas Lubrificantes'!$A:$XR,MATCH('Hidráulico 68'!E11,'Metas Lubrificantes'!A:A,0),MATCH('Hidráulico 68'!U11,'Metas Lubrificantes'!$1:$1,0)+13),"-")</f>
        <v>23.696682464454973</v>
      </c>
      <c r="Q11" s="14">
        <f t="shared" ref="Q11:Q12" si="36">IFERROR(P11/J11,"-")</f>
        <v>4.7393364928909945</v>
      </c>
      <c r="R11" s="10" cm="1">
        <f t="array" ref="R11">IFERROR(INDEX('Metas Lubrificantes'!$A:$XR,MATCH('Hidráulico 68'!E11,'Metas Lubrificantes'!A:A,0),MATCH('Hidráulico 68'!U11,'Metas Lubrificantes'!$1:$1,0)+14),"-")</f>
        <v>19</v>
      </c>
      <c r="S11" s="10">
        <f t="shared" ref="S11:S12" si="37">IFERROR(R11/J11,"-")</f>
        <v>3.8</v>
      </c>
      <c r="T11" s="4" t="str">
        <f t="shared" ref="T11:T12" si="38">IFERROR(IF(M11&lt;=S11,"EXCELENTE",IF(M11&lt;=Q11,"BOM",IF(M11&lt;=O11,"ATENÇÃO",IF(M11&gt;O11,"CRÍTICO","-")))),"-")</f>
        <v>ATENÇÃO</v>
      </c>
      <c r="U11" s="16" t="s">
        <v>48</v>
      </c>
      <c r="V11" s="20" t="s">
        <v>62</v>
      </c>
      <c r="Y11" s="26" cm="1">
        <f t="array" ref="Y11">IFERROR(X11+IF(C11&lt;C10,LARGE(LOOKUP(V11,$V$1:$V10,$Z$1:$Z10),1),LOOKUP(2,1/($V$1:$V10=V11),($Z$1:$Z10))),"-")</f>
        <v>243</v>
      </c>
      <c r="Z11" s="26">
        <f t="shared" si="11"/>
        <v>217</v>
      </c>
    </row>
    <row r="12" spans="1:27" x14ac:dyDescent="0.3">
      <c r="A12" s="4">
        <f t="shared" si="30"/>
        <v>2026</v>
      </c>
      <c r="B12" s="8">
        <f t="shared" si="31"/>
        <v>46023</v>
      </c>
      <c r="C12" s="21">
        <v>46025</v>
      </c>
      <c r="D12" s="20" t="s">
        <v>50</v>
      </c>
      <c r="E12" s="4" t="str">
        <f>IFERROR(VLOOKUP(D12,Cadastros!A:B,2,FALSE),"-")</f>
        <v>FELLER BUNCHER 1</v>
      </c>
      <c r="F12" s="4" t="str">
        <f>IFERROR(VLOOKUP(E12,Cadastros!B:D,3,FALSE),"-")</f>
        <v>CORTE</v>
      </c>
      <c r="G12" s="26" cm="1">
        <f t="array" ref="G12">IF(C12&lt;C11,LARGE(LOOKUP(D12,$D$1:$D11,$H$1:$H11),1),LOOKUP(2,1/($D$1:$D11=D12),($H$1:$H11)))</f>
        <v>1018</v>
      </c>
      <c r="H12" s="27">
        <v>1025</v>
      </c>
      <c r="I12" s="15">
        <v>18</v>
      </c>
      <c r="J12" s="14">
        <f t="shared" si="32"/>
        <v>7</v>
      </c>
      <c r="K12" s="14">
        <f t="shared" ca="1" si="0"/>
        <v>2.5714285714285716</v>
      </c>
      <c r="L12" s="4" t="str">
        <f t="shared" ca="1" si="33"/>
        <v>ATENÇÃO</v>
      </c>
      <c r="M12" s="14">
        <f t="shared" si="34"/>
        <v>2.5714285714285716</v>
      </c>
      <c r="N12" s="10" cm="1">
        <f t="array" ref="N12">IFERROR(INDEX('Metas Lubrificantes'!$A:$XR,MATCH('Hidráulico 68'!E12,'Metas Lubrificantes'!A:A,0),MATCH('Hidráulico 68'!U12,'Metas Lubrificantes'!$1:$1,0)+12),"-")</f>
        <v>19.733333333333334</v>
      </c>
      <c r="O12" s="14">
        <f t="shared" si="35"/>
        <v>2.8190476190476192</v>
      </c>
      <c r="P12" s="10" cm="1">
        <f t="array" ref="P12">IFERROR(INDEX('Metas Lubrificantes'!$A:$XR,MATCH('Hidráulico 68'!E12,'Metas Lubrificantes'!A:A,0),MATCH('Hidráulico 68'!U12,'Metas Lubrificantes'!$1:$1,0)+13),"-")</f>
        <v>13.473684210526315</v>
      </c>
      <c r="Q12" s="14">
        <f t="shared" si="36"/>
        <v>1.9248120300751879</v>
      </c>
      <c r="R12" s="10" cm="1">
        <f t="array" ref="R12">IFERROR(INDEX('Metas Lubrificantes'!$A:$XR,MATCH('Hidráulico 68'!E12,'Metas Lubrificantes'!A:A,0),MATCH('Hidráulico 68'!U12,'Metas Lubrificantes'!$1:$1,0)+14),"-")</f>
        <v>8</v>
      </c>
      <c r="S12" s="10">
        <f t="shared" si="37"/>
        <v>1.1428571428571428</v>
      </c>
      <c r="T12" s="4" t="str">
        <f t="shared" si="38"/>
        <v>ATENÇÃO</v>
      </c>
      <c r="U12" s="16" t="s">
        <v>48</v>
      </c>
      <c r="V12" s="20" t="s">
        <v>62</v>
      </c>
      <c r="Y12" s="26" cm="1">
        <f t="array" ref="Y12">IFERROR(X12+IF(C12&lt;C11,LARGE(LOOKUP(V12,$V$1:$V11,$Z$1:$Z11),1),LOOKUP(2,1/($V$1:$V11=V12),($Z$1:$Z11))),"-")</f>
        <v>217</v>
      </c>
      <c r="Z12" s="26">
        <f t="shared" si="11"/>
        <v>199</v>
      </c>
    </row>
    <row r="13" spans="1:27" x14ac:dyDescent="0.3">
      <c r="A13" s="4">
        <f t="shared" si="30"/>
        <v>2026</v>
      </c>
      <c r="B13" s="8">
        <f t="shared" si="31"/>
        <v>46023</v>
      </c>
      <c r="C13" s="21">
        <v>46025</v>
      </c>
      <c r="D13" s="20" t="s">
        <v>58</v>
      </c>
      <c r="E13" s="4" t="str">
        <f>IFERROR(VLOOKUP(D13,Cadastros!A:B,2,FALSE),"-")</f>
        <v>GARRA TRAÇADORA 1</v>
      </c>
      <c r="F13" s="4" t="str">
        <f>IFERROR(VLOOKUP(E13,Cadastros!B:D,3,FALSE),"-")</f>
        <v>TRAÇAMENTO</v>
      </c>
      <c r="G13" s="28">
        <v>500</v>
      </c>
      <c r="H13" s="27">
        <v>510</v>
      </c>
      <c r="I13" s="15">
        <v>8</v>
      </c>
      <c r="J13" s="14">
        <f t="shared" ref="J13:J14" si="39">IFERROR(IF(H13-G13&lt;0,"-",H13-G13),"-")</f>
        <v>10</v>
      </c>
      <c r="K13" s="14">
        <f t="shared" ca="1" si="0"/>
        <v>0.8</v>
      </c>
      <c r="L13" s="4" t="str">
        <f t="shared" ref="L13:L14" ca="1" si="40">IFERROR(IF(K13&lt;=S13,"EXCELENTE",IF(K13&lt;=Q13,"BOM",IF(K13&lt;=O13,"ATENÇÃO",IF(K13&gt;O13,"CRÍTICO","-")))),"-")</f>
        <v>EXCELENTE</v>
      </c>
      <c r="M13" s="14">
        <f t="shared" ref="M13:M14" si="41">IFERROR(I13/J13,"-")</f>
        <v>0.8</v>
      </c>
      <c r="N13" s="10" cm="1">
        <f t="array" ref="N13">IFERROR(INDEX('Metas Lubrificantes'!$A:$XR,MATCH('Hidráulico 68'!E13,'Metas Lubrificantes'!A:A,0),MATCH('Hidráulico 68'!U13,'Metas Lubrificantes'!$1:$1,0)+12),"-")</f>
        <v>8</v>
      </c>
      <c r="O13" s="14">
        <f t="shared" ref="O13:O14" si="42">IFERROR(N13/J13,"-")</f>
        <v>0.8</v>
      </c>
      <c r="P13" s="10" cm="1">
        <f t="array" ref="P13">IFERROR(INDEX('Metas Lubrificantes'!$A:$XR,MATCH('Hidráulico 68'!E13,'Metas Lubrificantes'!A:A,0),MATCH('Hidráulico 68'!U13,'Metas Lubrificantes'!$1:$1,0)+13),"-")</f>
        <v>8</v>
      </c>
      <c r="Q13" s="14">
        <f t="shared" ref="Q13:Q14" si="43">IFERROR(P13/J13,"-")</f>
        <v>0.8</v>
      </c>
      <c r="R13" s="10" cm="1">
        <f t="array" ref="R13">IFERROR(INDEX('Metas Lubrificantes'!$A:$XR,MATCH('Hidráulico 68'!E13,'Metas Lubrificantes'!A:A,0),MATCH('Hidráulico 68'!U13,'Metas Lubrificantes'!$1:$1,0)+14),"-")</f>
        <v>8</v>
      </c>
      <c r="S13" s="10">
        <f t="shared" ref="S13:S14" si="44">IFERROR(R13/J13,"-")</f>
        <v>0.8</v>
      </c>
      <c r="T13" s="4" t="str">
        <f t="shared" ref="T13:T14" si="45">IFERROR(IF(M13&lt;=S13,"EXCELENTE",IF(M13&lt;=Q13,"BOM",IF(M13&lt;=O13,"ATENÇÃO",IF(M13&gt;O13,"CRÍTICO","-")))),"-")</f>
        <v>EXCELENTE</v>
      </c>
      <c r="U13" s="16" t="s">
        <v>48</v>
      </c>
      <c r="V13" s="20" t="s">
        <v>62</v>
      </c>
      <c r="Y13" s="26" cm="1">
        <f t="array" ref="Y13">IFERROR(X13+IF(C13&lt;C12,LARGE(LOOKUP(V13,$V$1:$V12,$Z$1:$Z12),1),LOOKUP(2,1/($V$1:$V12=V13),($Z$1:$Z12))),"-")</f>
        <v>199</v>
      </c>
      <c r="Z13" s="26">
        <f t="shared" si="11"/>
        <v>191</v>
      </c>
    </row>
    <row r="14" spans="1:27" x14ac:dyDescent="0.3">
      <c r="A14" s="4">
        <f t="shared" ref="A14:A15" si="46">IFERROR(YEAR(C14),"-")</f>
        <v>2026</v>
      </c>
      <c r="B14" s="8">
        <f t="shared" ref="B14:B15" si="47">IFERROR(DATE(YEAR(C14),MONTH(C14),MONTH(C14)),"-")</f>
        <v>46023</v>
      </c>
      <c r="C14" s="21">
        <v>46025</v>
      </c>
      <c r="D14" s="20" t="s">
        <v>54</v>
      </c>
      <c r="E14" s="4" t="str">
        <f>IFERROR(VLOOKUP(D14,Cadastros!A:B,2,FALSE),"-")</f>
        <v>SKIDDER 1</v>
      </c>
      <c r="F14" s="4" t="str">
        <f>IFERROR(VLOOKUP(E14,Cadastros!B:D,3,FALSE),"-")</f>
        <v>ARRASTE</v>
      </c>
      <c r="G14" s="26" cm="1">
        <f t="array" ref="G14">IF(C14&lt;C13,LARGE(LOOKUP(D14,$D$1:$D13,$H$1:$H13),1),LOOKUP(2,1/($D$1:$D13=D14),($H$1:$H13)))</f>
        <v>1215</v>
      </c>
      <c r="H14" s="27">
        <v>1219</v>
      </c>
      <c r="I14" s="15">
        <v>8</v>
      </c>
      <c r="J14" s="14">
        <f t="shared" si="39"/>
        <v>4</v>
      </c>
      <c r="K14" s="14">
        <f t="shared" ca="1" si="0"/>
        <v>4.666666666666667</v>
      </c>
      <c r="L14" s="4" t="str">
        <f t="shared" ca="1" si="40"/>
        <v>ATENÇÃO</v>
      </c>
      <c r="M14" s="14">
        <f t="shared" si="41"/>
        <v>2</v>
      </c>
      <c r="N14" s="10" cm="1">
        <f t="array" ref="N14">IFERROR(INDEX('Metas Lubrificantes'!$A:$XR,MATCH('Hidráulico 68'!E14,'Metas Lubrificantes'!A:A,0),MATCH('Hidráulico 68'!U14,'Metas Lubrificantes'!$1:$1,0)+12),"-")</f>
        <v>21.3</v>
      </c>
      <c r="O14" s="14">
        <f t="shared" si="42"/>
        <v>5.3250000000000002</v>
      </c>
      <c r="P14" s="10" cm="1">
        <f t="array" ref="P14">IFERROR(INDEX('Metas Lubrificantes'!$A:$XR,MATCH('Hidráulico 68'!E14,'Metas Lubrificantes'!A:A,0),MATCH('Hidráulico 68'!U14,'Metas Lubrificantes'!$1:$1,0)+13),"-")</f>
        <v>13.927710843373493</v>
      </c>
      <c r="Q14" s="14">
        <f t="shared" si="43"/>
        <v>3.4819277108433733</v>
      </c>
      <c r="R14" s="10" cm="1">
        <f t="array" ref="R14">IFERROR(INDEX('Metas Lubrificantes'!$A:$XR,MATCH('Hidráulico 68'!E14,'Metas Lubrificantes'!A:A,0),MATCH('Hidráulico 68'!U14,'Metas Lubrificantes'!$1:$1,0)+14),"-")</f>
        <v>8</v>
      </c>
      <c r="S14" s="10">
        <f t="shared" si="44"/>
        <v>2</v>
      </c>
      <c r="T14" s="4" t="str">
        <f t="shared" si="45"/>
        <v>EXCELENTE</v>
      </c>
      <c r="U14" s="16" t="s">
        <v>48</v>
      </c>
      <c r="V14" s="20" t="s">
        <v>62</v>
      </c>
      <c r="Y14" s="26" cm="1">
        <f t="array" ref="Y14">IFERROR(X14+IF(C14&lt;C13,LARGE(LOOKUP(V14,$V$1:$V13,$Z$1:$Z13),1),LOOKUP(2,1/($V$1:$V13=V14),($Z$1:$Z13))),"-")</f>
        <v>191</v>
      </c>
      <c r="Z14" s="26">
        <f t="shared" si="11"/>
        <v>183</v>
      </c>
    </row>
    <row r="15" spans="1:27" x14ac:dyDescent="0.3">
      <c r="A15" s="4">
        <f t="shared" si="46"/>
        <v>2026</v>
      </c>
      <c r="B15" s="8">
        <f t="shared" si="47"/>
        <v>46023</v>
      </c>
      <c r="C15" s="21">
        <v>46025</v>
      </c>
      <c r="D15" s="20" t="s">
        <v>60</v>
      </c>
      <c r="E15" s="4" t="str">
        <f>IFERROR(VLOOKUP(D15,Cadastros!A:B,2,FALSE),"-")</f>
        <v>GARRA TRAÇADORA 2</v>
      </c>
      <c r="F15" s="4" t="str">
        <f>IFERROR(VLOOKUP(E15,Cadastros!B:D,3,FALSE),"-")</f>
        <v>TRAÇAMENTO</v>
      </c>
      <c r="G15" s="26" cm="1">
        <f t="array" ref="G15">IF(C15&lt;C14,LARGE(LOOKUP(D15,$D$1:$D14,$H$1:$H14),1),LOOKUP(2,1/($D$1:$D14=D15),($H$1:$H14)))</f>
        <v>711</v>
      </c>
      <c r="H15" s="27">
        <v>722</v>
      </c>
      <c r="I15" s="15">
        <v>29</v>
      </c>
      <c r="J15" s="14">
        <f t="shared" ref="J15:J16" si="48">IFERROR(IF(H15-G15&lt;0,"-",H15-G15),"-")</f>
        <v>11</v>
      </c>
      <c r="K15" s="14">
        <f t="shared" ca="1" si="0"/>
        <v>2.6363636363636362</v>
      </c>
      <c r="L15" s="4" t="str">
        <f t="shared" ref="L15:L16" ca="1" si="49">IFERROR(IF(K15&lt;=S15,"EXCELENTE",IF(K15&lt;=Q15,"BOM",IF(K15&lt;=O15,"ATENÇÃO",IF(K15&gt;O15,"CRÍTICO","-")))),"-")</f>
        <v>CRÍTICO</v>
      </c>
      <c r="M15" s="14">
        <f t="shared" ref="M15:M16" si="50">IFERROR(I15/J15,"-")</f>
        <v>2.6363636363636362</v>
      </c>
      <c r="N15" s="10" cm="1">
        <f t="array" ref="N15">IFERROR(INDEX('Metas Lubrificantes'!$A:$XR,MATCH('Hidráulico 68'!E15,'Metas Lubrificantes'!A:A,0),MATCH('Hidráulico 68'!U15,'Metas Lubrificantes'!$1:$1,0)+12),"-")</f>
        <v>26.166666666666671</v>
      </c>
      <c r="O15" s="14">
        <f t="shared" ref="O15:O16" si="51">IFERROR(N15/J15,"-")</f>
        <v>2.3787878787878793</v>
      </c>
      <c r="P15" s="10" cm="1">
        <f t="array" ref="P15">IFERROR(INDEX('Metas Lubrificantes'!$A:$XR,MATCH('Hidráulico 68'!E15,'Metas Lubrificantes'!A:A,0),MATCH('Hidráulico 68'!U15,'Metas Lubrificantes'!$1:$1,0)+13),"-")</f>
        <v>22.811881188118807</v>
      </c>
      <c r="Q15" s="14">
        <f t="shared" ref="Q15:Q16" si="52">IFERROR(P15/J15,"-")</f>
        <v>2.0738073807380735</v>
      </c>
      <c r="R15" s="10" cm="1">
        <f t="array" ref="R15">IFERROR(INDEX('Metas Lubrificantes'!$A:$XR,MATCH('Hidráulico 68'!E15,'Metas Lubrificantes'!A:A,0),MATCH('Hidráulico 68'!U15,'Metas Lubrificantes'!$1:$1,0)+14),"-")</f>
        <v>19</v>
      </c>
      <c r="S15" s="10">
        <f t="shared" ref="S15:S16" si="53">IFERROR(R15/J15,"-")</f>
        <v>1.7272727272727273</v>
      </c>
      <c r="T15" s="4" t="str">
        <f t="shared" ref="T15:T16" si="54">IFERROR(IF(M15&lt;=S15,"EXCELENTE",IF(M15&lt;=Q15,"BOM",IF(M15&lt;=O15,"ATENÇÃO",IF(M15&gt;O15,"CRÍTICO","-")))),"-")</f>
        <v>CRÍTICO</v>
      </c>
      <c r="U15" s="16" t="s">
        <v>48</v>
      </c>
      <c r="V15" s="20" t="s">
        <v>62</v>
      </c>
      <c r="Y15" s="26" cm="1">
        <f t="array" ref="Y15">IFERROR(X15+IF(C15&lt;C14,LARGE(LOOKUP(V15,$V$1:$V14,$Z$1:$Z14),1),LOOKUP(2,1/($V$1:$V14=V15),($Z$1:$Z14))),"-")</f>
        <v>183</v>
      </c>
      <c r="Z15" s="26">
        <f t="shared" si="11"/>
        <v>154</v>
      </c>
    </row>
    <row r="16" spans="1:27" x14ac:dyDescent="0.3">
      <c r="A16" s="4">
        <f t="shared" ref="A16:A18" si="55">IFERROR(YEAR(C16),"-")</f>
        <v>2026</v>
      </c>
      <c r="B16" s="8">
        <f t="shared" ref="B16:B18" si="56">IFERROR(DATE(YEAR(C16),MONTH(C16),MONTH(C16)),"-")</f>
        <v>46023</v>
      </c>
      <c r="C16" s="21">
        <v>46025</v>
      </c>
      <c r="D16" s="20" t="s">
        <v>56</v>
      </c>
      <c r="E16" s="4" t="str">
        <f>IFERROR(VLOOKUP(D16,Cadastros!A:B,2,FALSE),"-")</f>
        <v>SKIDDER 2</v>
      </c>
      <c r="F16" s="4" t="str">
        <f>IFERROR(VLOOKUP(E16,Cadastros!B:D,3,FALSE),"-")</f>
        <v>ARRASTE</v>
      </c>
      <c r="G16" s="26" cm="1">
        <f t="array" ref="G16">IF(C16&lt;C15,LARGE(LOOKUP(D16,$D$1:$D15,$H$1:$H15),1),LOOKUP(2,1/($D$1:$D15=D16),($H$1:$H15)))</f>
        <v>2115</v>
      </c>
      <c r="H16" s="27">
        <v>2123</v>
      </c>
      <c r="I16" s="15">
        <v>19</v>
      </c>
      <c r="J16" s="14">
        <f t="shared" si="48"/>
        <v>8</v>
      </c>
      <c r="K16" s="14">
        <f t="shared" ca="1" si="0"/>
        <v>2.375</v>
      </c>
      <c r="L16" s="4" t="str">
        <f t="shared" ca="1" si="49"/>
        <v>EXCELENTE</v>
      </c>
      <c r="M16" s="14">
        <f t="shared" si="50"/>
        <v>2.375</v>
      </c>
      <c r="N16" s="10" cm="1">
        <f t="array" ref="N16">IFERROR(INDEX('Metas Lubrificantes'!$A:$XR,MATCH('Hidráulico 68'!E16,'Metas Lubrificantes'!A:A,0),MATCH('Hidráulico 68'!U16,'Metas Lubrificantes'!$1:$1,0)+12),"-")</f>
        <v>26.950000000000003</v>
      </c>
      <c r="O16" s="14">
        <f t="shared" si="51"/>
        <v>3.3687500000000004</v>
      </c>
      <c r="P16" s="10" cm="1">
        <f t="array" ref="P16">IFERROR(INDEX('Metas Lubrificantes'!$A:$XR,MATCH('Hidráulico 68'!E16,'Metas Lubrificantes'!A:A,0),MATCH('Hidráulico 68'!U16,'Metas Lubrificantes'!$1:$1,0)+13),"-")</f>
        <v>23.696682464454973</v>
      </c>
      <c r="Q16" s="14">
        <f t="shared" si="52"/>
        <v>2.9620853080568716</v>
      </c>
      <c r="R16" s="10" cm="1">
        <f t="array" ref="R16">IFERROR(INDEX('Metas Lubrificantes'!$A:$XR,MATCH('Hidráulico 68'!E16,'Metas Lubrificantes'!A:A,0),MATCH('Hidráulico 68'!U16,'Metas Lubrificantes'!$1:$1,0)+14),"-")</f>
        <v>19</v>
      </c>
      <c r="S16" s="10">
        <f t="shared" si="53"/>
        <v>2.375</v>
      </c>
      <c r="T16" s="4" t="str">
        <f t="shared" si="54"/>
        <v>EXCELENTE</v>
      </c>
      <c r="U16" s="16" t="s">
        <v>48</v>
      </c>
      <c r="V16" s="20" t="s">
        <v>62</v>
      </c>
      <c r="Y16" s="26" cm="1">
        <f t="array" ref="Y16">IFERROR(X16+IF(C16&lt;C15,LARGE(LOOKUP(V16,$V$1:$V15,$Z$1:$Z15),1),LOOKUP(2,1/($V$1:$V15=V16),($Z$1:$Z15))),"-")</f>
        <v>154</v>
      </c>
      <c r="Z16" s="26">
        <f t="shared" si="11"/>
        <v>135</v>
      </c>
    </row>
    <row r="17" spans="1:26" x14ac:dyDescent="0.3">
      <c r="A17" s="4">
        <f t="shared" si="55"/>
        <v>2026</v>
      </c>
      <c r="B17" s="8">
        <f t="shared" si="56"/>
        <v>46023</v>
      </c>
      <c r="C17" s="21">
        <v>46025</v>
      </c>
      <c r="D17" s="20" t="s">
        <v>52</v>
      </c>
      <c r="E17" s="4" t="str">
        <f>IFERROR(VLOOKUP(D17,Cadastros!A:B,2,FALSE),"-")</f>
        <v>FELLER BUNCHER 2</v>
      </c>
      <c r="F17" s="4" t="str">
        <f>IFERROR(VLOOKUP(E17,Cadastros!B:D,3,FALSE),"-")</f>
        <v>CORTE</v>
      </c>
      <c r="G17" s="26" cm="1">
        <f t="array" ref="G17">IF(C17&lt;C16,LARGE(LOOKUP(D17,$D$1:$D16,$H$1:$H16),1),LOOKUP(2,1/($D$1:$D16=D17),($H$1:$H16)))</f>
        <v>2025</v>
      </c>
      <c r="H17" s="27">
        <v>2034</v>
      </c>
      <c r="I17" s="15">
        <v>17</v>
      </c>
      <c r="J17" s="14">
        <f t="shared" ref="J17:J18" si="57">IFERROR(IF(H17-G17&lt;0,"-",H17-G17),"-")</f>
        <v>9</v>
      </c>
      <c r="K17" s="14">
        <f t="shared" ca="1" si="0"/>
        <v>1.8888888888888888</v>
      </c>
      <c r="L17" s="4" t="str">
        <f t="shared" ref="L17:L18" ca="1" si="58">IFERROR(IF(K17&lt;=S17,"EXCELENTE",IF(K17&lt;=Q17,"BOM",IF(K17&lt;=O17,"ATENÇÃO",IF(K17&gt;O17,"CRÍTICO","-")))),"-")</f>
        <v>CRÍTICO</v>
      </c>
      <c r="M17" s="14">
        <f t="shared" ref="M17:M18" si="59">IFERROR(I17/J17,"-")</f>
        <v>1.8888888888888888</v>
      </c>
      <c r="N17" s="10" cm="1">
        <f t="array" ref="N17">IFERROR(INDEX('Metas Lubrificantes'!$A:$XR,MATCH('Hidráulico 68'!E17,'Metas Lubrificantes'!A:A,0),MATCH('Hidráulico 68'!U17,'Metas Lubrificantes'!$1:$1,0)+12),"-")</f>
        <v>16.149999999999999</v>
      </c>
      <c r="O17" s="14">
        <f t="shared" ref="O17:O18" si="60">IFERROR(N17/J17,"-")</f>
        <v>1.7944444444444443</v>
      </c>
      <c r="P17" s="10" cm="1">
        <f t="array" ref="P17">IFERROR(INDEX('Metas Lubrificantes'!$A:$XR,MATCH('Hidráulico 68'!E17,'Metas Lubrificantes'!A:A,0),MATCH('Hidráulico 68'!U17,'Metas Lubrificantes'!$1:$1,0)+13),"-")</f>
        <v>8.9796747967479664</v>
      </c>
      <c r="Q17" s="14">
        <f t="shared" ref="Q17:Q18" si="61">IFERROR(P17/J17,"-")</f>
        <v>0.99774164408310739</v>
      </c>
      <c r="R17" s="10" cm="1">
        <f t="array" ref="R17">IFERROR(INDEX('Metas Lubrificantes'!$A:$XR,MATCH('Hidráulico 68'!E17,'Metas Lubrificantes'!A:A,0),MATCH('Hidráulico 68'!U17,'Metas Lubrificantes'!$1:$1,0)+14),"-")</f>
        <v>2</v>
      </c>
      <c r="S17" s="10">
        <f t="shared" ref="S17:S18" si="62">IFERROR(R17/J17,"-")</f>
        <v>0.22222222222222221</v>
      </c>
      <c r="T17" s="4" t="str">
        <f t="shared" ref="T17:T18" si="63">IFERROR(IF(M17&lt;=S17,"EXCELENTE",IF(M17&lt;=Q17,"BOM",IF(M17&lt;=O17,"ATENÇÃO",IF(M17&gt;O17,"CRÍTICO","-")))),"-")</f>
        <v>CRÍTICO</v>
      </c>
      <c r="U17" s="16" t="s">
        <v>48</v>
      </c>
      <c r="V17" s="20" t="s">
        <v>62</v>
      </c>
      <c r="Y17" s="26" cm="1">
        <f t="array" ref="Y17">IFERROR(X17+IF(C17&lt;C16,LARGE(LOOKUP(V17,$V$1:$V16,$Z$1:$Z16),1),LOOKUP(2,1/($V$1:$V16=V17),($Z$1:$Z16))),"-")</f>
        <v>135</v>
      </c>
      <c r="Z17" s="26">
        <f t="shared" si="11"/>
        <v>118</v>
      </c>
    </row>
    <row r="18" spans="1:26" x14ac:dyDescent="0.3">
      <c r="A18" s="4">
        <f t="shared" si="55"/>
        <v>2026</v>
      </c>
      <c r="B18" s="8">
        <f t="shared" si="56"/>
        <v>46023</v>
      </c>
      <c r="C18" s="21">
        <v>46025</v>
      </c>
      <c r="D18" s="20" t="s">
        <v>54</v>
      </c>
      <c r="E18" s="4" t="str">
        <f>IFERROR(VLOOKUP(D18,Cadastros!A:B,2,FALSE),"-")</f>
        <v>SKIDDER 1</v>
      </c>
      <c r="F18" s="4" t="str">
        <f>IFERROR(VLOOKUP(E18,Cadastros!B:D,3,FALSE),"-")</f>
        <v>ARRASTE</v>
      </c>
      <c r="G18" s="26" cm="1">
        <f t="array" ref="G18">IF(C18&lt;C17,LARGE(LOOKUP(D18,$D$1:$D17,$H$1:$H17),1),LOOKUP(2,1/($D$1:$D17=D18),($H$1:$H17)))</f>
        <v>1219</v>
      </c>
      <c r="H18" s="27">
        <v>1221</v>
      </c>
      <c r="I18" s="15">
        <v>20</v>
      </c>
      <c r="J18" s="14">
        <f t="shared" si="57"/>
        <v>2</v>
      </c>
      <c r="K18" s="14">
        <f t="shared" ca="1" si="0"/>
        <v>4.666666666666667</v>
      </c>
      <c r="L18" s="4" t="str">
        <f t="shared" ca="1" si="58"/>
        <v>BOM</v>
      </c>
      <c r="M18" s="14">
        <f t="shared" si="59"/>
        <v>10</v>
      </c>
      <c r="N18" s="10" cm="1">
        <f t="array" ref="N18">IFERROR(INDEX('Metas Lubrificantes'!$A:$XR,MATCH('Hidráulico 68'!E18,'Metas Lubrificantes'!A:A,0),MATCH('Hidráulico 68'!U18,'Metas Lubrificantes'!$1:$1,0)+12),"-")</f>
        <v>21.3</v>
      </c>
      <c r="O18" s="14">
        <f t="shared" si="60"/>
        <v>10.65</v>
      </c>
      <c r="P18" s="10" cm="1">
        <f t="array" ref="P18">IFERROR(INDEX('Metas Lubrificantes'!$A:$XR,MATCH('Hidráulico 68'!E18,'Metas Lubrificantes'!A:A,0),MATCH('Hidráulico 68'!U18,'Metas Lubrificantes'!$1:$1,0)+13),"-")</f>
        <v>13.927710843373493</v>
      </c>
      <c r="Q18" s="14">
        <f t="shared" si="61"/>
        <v>6.9638554216867465</v>
      </c>
      <c r="R18" s="10" cm="1">
        <f t="array" ref="R18">IFERROR(INDEX('Metas Lubrificantes'!$A:$XR,MATCH('Hidráulico 68'!E18,'Metas Lubrificantes'!A:A,0),MATCH('Hidráulico 68'!U18,'Metas Lubrificantes'!$1:$1,0)+14),"-")</f>
        <v>8</v>
      </c>
      <c r="S18" s="10">
        <f t="shared" si="62"/>
        <v>4</v>
      </c>
      <c r="T18" s="4" t="str">
        <f t="shared" si="63"/>
        <v>ATENÇÃO</v>
      </c>
      <c r="U18" s="16" t="s">
        <v>48</v>
      </c>
      <c r="V18" s="20" t="s">
        <v>62</v>
      </c>
      <c r="Y18" s="26" cm="1">
        <f t="array" ref="Y18">IFERROR(X18+IF(C18&lt;C17,LARGE(LOOKUP(V18,$V$1:$V17,$Z$1:$Z17),1),LOOKUP(2,1/($V$1:$V17=V18),($Z$1:$Z17))),"-")</f>
        <v>118</v>
      </c>
      <c r="Z18" s="26">
        <f t="shared" si="11"/>
        <v>98</v>
      </c>
    </row>
    <row r="19" spans="1:26" x14ac:dyDescent="0.3">
      <c r="J19" s="14"/>
      <c r="K19" s="14"/>
      <c r="M19" s="14"/>
      <c r="O19" s="14"/>
      <c r="Q19" s="14"/>
      <c r="Z19" s="10"/>
    </row>
    <row r="20" spans="1:26" x14ac:dyDescent="0.3">
      <c r="J20" s="14"/>
      <c r="K20" s="14"/>
      <c r="M20" s="14"/>
      <c r="O20" s="14"/>
      <c r="Q20" s="14"/>
      <c r="Z20" s="10"/>
    </row>
    <row r="21" spans="1:26" x14ac:dyDescent="0.3">
      <c r="J21" s="14"/>
      <c r="K21" s="14"/>
      <c r="M21" s="14"/>
      <c r="O21" s="14"/>
      <c r="Q21" s="14"/>
      <c r="Z21" s="10"/>
    </row>
    <row r="22" spans="1:26" x14ac:dyDescent="0.3">
      <c r="J22" s="14"/>
      <c r="K22" s="14"/>
      <c r="M22" s="14"/>
      <c r="O22" s="14"/>
      <c r="Q22" s="14"/>
      <c r="Z22" s="10"/>
    </row>
    <row r="23" spans="1:26" x14ac:dyDescent="0.3">
      <c r="J23" s="14"/>
      <c r="K23" s="14"/>
      <c r="M23" s="14"/>
      <c r="O23" s="14"/>
      <c r="Q23" s="14"/>
      <c r="Z23" s="10"/>
    </row>
    <row r="24" spans="1:26" x14ac:dyDescent="0.3">
      <c r="J24" s="14"/>
      <c r="K24" s="14"/>
      <c r="M24" s="14"/>
      <c r="O24" s="14"/>
      <c r="Q24" s="14"/>
      <c r="Z24" s="10"/>
    </row>
    <row r="25" spans="1:26" x14ac:dyDescent="0.3">
      <c r="J25" s="14"/>
      <c r="K25" s="14"/>
      <c r="M25" s="14"/>
      <c r="O25" s="14"/>
      <c r="Q25" s="14"/>
      <c r="Z25" s="10"/>
    </row>
    <row r="26" spans="1:26" x14ac:dyDescent="0.3">
      <c r="J26" s="14"/>
      <c r="K26" s="14"/>
      <c r="M26" s="14"/>
      <c r="O26" s="14"/>
      <c r="Q26" s="14"/>
      <c r="Z26" s="10"/>
    </row>
    <row r="27" spans="1:26" x14ac:dyDescent="0.3">
      <c r="J27" s="14"/>
      <c r="K27" s="14"/>
      <c r="M27" s="14"/>
      <c r="O27" s="14"/>
      <c r="Q27" s="14"/>
      <c r="Z27" s="10"/>
    </row>
    <row r="28" spans="1:26" x14ac:dyDescent="0.3">
      <c r="J28" s="14"/>
      <c r="K28" s="14"/>
      <c r="M28" s="14"/>
      <c r="O28" s="14"/>
      <c r="Q28" s="14"/>
      <c r="Z28" s="10"/>
    </row>
    <row r="29" spans="1:26" x14ac:dyDescent="0.3">
      <c r="J29" s="14"/>
      <c r="K29" s="14"/>
      <c r="M29" s="14"/>
      <c r="O29" s="14"/>
      <c r="Q29" s="14"/>
      <c r="Z29" s="10"/>
    </row>
    <row r="30" spans="1:26" x14ac:dyDescent="0.3">
      <c r="J30" s="14"/>
      <c r="K30" s="14"/>
      <c r="M30" s="14"/>
      <c r="O30" s="14"/>
      <c r="Q30" s="14"/>
      <c r="Z30" s="10"/>
    </row>
    <row r="31" spans="1:26" x14ac:dyDescent="0.3">
      <c r="J31" s="14"/>
      <c r="K31" s="14"/>
      <c r="M31" s="14"/>
      <c r="O31" s="14"/>
      <c r="Q31" s="14"/>
      <c r="Z31" s="10"/>
    </row>
    <row r="32" spans="1:26" x14ac:dyDescent="0.3">
      <c r="J32" s="14"/>
      <c r="K32" s="14"/>
      <c r="M32" s="14"/>
      <c r="O32" s="14"/>
      <c r="Q32" s="14"/>
      <c r="Z32" s="10"/>
    </row>
    <row r="33" spans="10:26" x14ac:dyDescent="0.3">
      <c r="J33" s="14"/>
      <c r="K33" s="14"/>
      <c r="M33" s="14"/>
      <c r="O33" s="14"/>
      <c r="Q33" s="14"/>
      <c r="Z33" s="10"/>
    </row>
    <row r="34" spans="10:26" x14ac:dyDescent="0.3">
      <c r="J34" s="14"/>
      <c r="K34" s="14"/>
      <c r="M34" s="14"/>
      <c r="O34" s="14"/>
      <c r="Q34" s="14"/>
      <c r="Z34" s="10"/>
    </row>
    <row r="35" spans="10:26" x14ac:dyDescent="0.3">
      <c r="J35" s="14"/>
      <c r="K35" s="14"/>
      <c r="M35" s="14"/>
      <c r="O35" s="14"/>
      <c r="Q35" s="14"/>
      <c r="Z35" s="10"/>
    </row>
    <row r="36" spans="10:26" x14ac:dyDescent="0.3">
      <c r="J36" s="14"/>
      <c r="K36" s="14"/>
      <c r="M36" s="14"/>
      <c r="O36" s="14"/>
      <c r="Q36" s="14"/>
      <c r="Z36" s="10"/>
    </row>
    <row r="37" spans="10:26" x14ac:dyDescent="0.3">
      <c r="J37" s="14"/>
      <c r="K37" s="14"/>
      <c r="M37" s="14"/>
      <c r="O37" s="14"/>
      <c r="Q37" s="14"/>
      <c r="Z37" s="10"/>
    </row>
    <row r="38" spans="10:26" x14ac:dyDescent="0.3">
      <c r="J38" s="14"/>
      <c r="K38" s="14"/>
      <c r="M38" s="14"/>
      <c r="O38" s="14"/>
      <c r="Q38" s="14"/>
      <c r="Z38" s="10"/>
    </row>
    <row r="39" spans="10:26" x14ac:dyDescent="0.3">
      <c r="J39" s="14"/>
      <c r="K39" s="14"/>
      <c r="M39" s="14"/>
      <c r="O39" s="14"/>
      <c r="Q39" s="14"/>
      <c r="Z39" s="10"/>
    </row>
    <row r="40" spans="10:26" x14ac:dyDescent="0.3">
      <c r="J40" s="14"/>
      <c r="K40" s="14"/>
      <c r="M40" s="14"/>
      <c r="O40" s="14"/>
      <c r="Q40" s="14"/>
      <c r="Z40" s="10"/>
    </row>
    <row r="41" spans="10:26" x14ac:dyDescent="0.3">
      <c r="J41" s="14"/>
      <c r="K41" s="14"/>
      <c r="M41" s="14"/>
      <c r="O41" s="14"/>
      <c r="Q41" s="14"/>
      <c r="Z41" s="10"/>
    </row>
    <row r="42" spans="10:26" x14ac:dyDescent="0.3">
      <c r="J42" s="14"/>
      <c r="K42" s="14"/>
      <c r="M42" s="14"/>
      <c r="O42" s="14"/>
      <c r="Q42" s="14"/>
      <c r="Z42" s="10"/>
    </row>
    <row r="43" spans="10:26" x14ac:dyDescent="0.3">
      <c r="J43" s="14"/>
      <c r="K43" s="14"/>
      <c r="M43" s="14"/>
      <c r="O43" s="14"/>
      <c r="Q43" s="14"/>
      <c r="Z43" s="10"/>
    </row>
    <row r="44" spans="10:26" x14ac:dyDescent="0.3">
      <c r="J44" s="14"/>
      <c r="K44" s="14"/>
      <c r="M44" s="14"/>
      <c r="O44" s="14"/>
      <c r="Q44" s="14"/>
      <c r="Z44" s="10"/>
    </row>
    <row r="45" spans="10:26" x14ac:dyDescent="0.3">
      <c r="J45" s="14"/>
      <c r="K45" s="14"/>
      <c r="M45" s="14"/>
      <c r="O45" s="14"/>
      <c r="Q45" s="14"/>
      <c r="Z45" s="10"/>
    </row>
    <row r="46" spans="10:26" x14ac:dyDescent="0.3">
      <c r="J46" s="14"/>
      <c r="K46" s="14"/>
      <c r="M46" s="14"/>
      <c r="O46" s="14"/>
      <c r="Q46" s="14"/>
      <c r="Z46" s="10"/>
    </row>
    <row r="47" spans="10:26" x14ac:dyDescent="0.3">
      <c r="J47" s="14"/>
      <c r="K47" s="14"/>
      <c r="M47" s="14"/>
      <c r="O47" s="14"/>
      <c r="Q47" s="14"/>
      <c r="Z47" s="10"/>
    </row>
    <row r="48" spans="10:26" x14ac:dyDescent="0.3">
      <c r="J48" s="14"/>
      <c r="K48" s="14"/>
      <c r="M48" s="14"/>
      <c r="O48" s="14"/>
      <c r="Q48" s="14"/>
      <c r="Z48" s="10"/>
    </row>
    <row r="49" spans="10:26" x14ac:dyDescent="0.3">
      <c r="J49" s="14"/>
      <c r="K49" s="14"/>
      <c r="M49" s="14"/>
      <c r="O49" s="14"/>
      <c r="Q49" s="14"/>
      <c r="Z49" s="10"/>
    </row>
    <row r="50" spans="10:26" x14ac:dyDescent="0.3">
      <c r="J50" s="14"/>
      <c r="K50" s="14"/>
      <c r="M50" s="14"/>
      <c r="O50" s="14"/>
      <c r="Q50" s="14"/>
      <c r="Z50" s="10"/>
    </row>
  </sheetData>
  <phoneticPr fontId="4" type="noConversion"/>
  <conditionalFormatting sqref="J2:J50">
    <cfRule type="cellIs" dxfId="13" priority="12" operator="greaterThan">
      <formula>70</formula>
    </cfRule>
  </conditionalFormatting>
  <conditionalFormatting sqref="K2:K50 M2:M50 O2:O50 Q2:Q50">
    <cfRule type="cellIs" dxfId="12" priority="11" operator="greaterThan">
      <formula>50</formula>
    </cfRule>
  </conditionalFormatting>
  <conditionalFormatting sqref="L1:L1048576 T1:U1048576">
    <cfRule type="cellIs" dxfId="11" priority="1" operator="equal">
      <formula>"EXCELENTE"</formula>
    </cfRule>
    <cfRule type="cellIs" dxfId="10" priority="2" operator="equal">
      <formula>"BOM"</formula>
    </cfRule>
    <cfRule type="cellIs" dxfId="9" priority="3" operator="equal">
      <formula>"ATENÇÃO"</formula>
    </cfRule>
    <cfRule type="cellIs" dxfId="8" priority="4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00A9-D1A2-475B-BCB7-E98B18E974C6}">
  <dimension ref="A1:P7"/>
  <sheetViews>
    <sheetView zoomScale="90" zoomScaleNormal="90" workbookViewId="0">
      <pane ySplit="1" topLeftCell="A2" activePane="bottomLeft" state="frozen"/>
      <selection pane="bottomLeft" activeCell="D43" sqref="D43"/>
    </sheetView>
  </sheetViews>
  <sheetFormatPr defaultColWidth="8.88671875" defaultRowHeight="14.4" x14ac:dyDescent="0.3"/>
  <cols>
    <col min="1" max="1" width="23.21875" style="3" customWidth="1"/>
    <col min="2" max="2" width="20" style="4" bestFit="1" customWidth="1"/>
    <col min="3" max="3" width="16.88671875" style="10" customWidth="1"/>
    <col min="4" max="7" width="11.5546875" style="10" customWidth="1"/>
    <col min="8" max="8" width="14.33203125" style="13" customWidth="1"/>
    <col min="9" max="9" width="13.44140625" style="4" customWidth="1"/>
    <col min="10" max="12" width="14.33203125" style="10" customWidth="1"/>
    <col min="13" max="13" width="17.6640625" style="10" customWidth="1"/>
    <col min="14" max="16" width="8.88671875" style="10"/>
    <col min="17" max="16384" width="8.88671875" style="3"/>
  </cols>
  <sheetData>
    <row r="1" spans="1:16" s="1" customFormat="1" ht="36" customHeight="1" x14ac:dyDescent="0.3">
      <c r="A1" s="1" t="s">
        <v>29</v>
      </c>
      <c r="B1" s="7" t="s">
        <v>11</v>
      </c>
      <c r="C1" s="9" t="s">
        <v>39</v>
      </c>
      <c r="D1" s="9" t="s">
        <v>30</v>
      </c>
      <c r="E1" s="9" t="s">
        <v>31</v>
      </c>
      <c r="F1" s="9" t="s">
        <v>32</v>
      </c>
      <c r="G1" s="9" t="s">
        <v>40</v>
      </c>
      <c r="H1" s="12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  <c r="N1" s="1" t="s">
        <v>17</v>
      </c>
      <c r="O1" s="1" t="s">
        <v>18</v>
      </c>
      <c r="P1" s="1" t="s">
        <v>19</v>
      </c>
    </row>
    <row r="2" spans="1:16" x14ac:dyDescent="0.3">
      <c r="A2" s="3" t="s">
        <v>51</v>
      </c>
      <c r="B2" s="4" t="str">
        <f>IFERROR(VLOOKUP(A2,Cadastros!B:D,3,FALSE),"-")</f>
        <v>CORTE</v>
      </c>
      <c r="C2" s="10">
        <f>IFERROR(AVERAGEIFS(Diesel!I:I,Diesel!E:E,'Metas Diesel'!A2,Diesel!F:F,'Metas Diesel'!B2),"-")</f>
        <v>203.33333333333334</v>
      </c>
      <c r="D2" s="10" cm="1">
        <f t="array" ref="D2">IFERROR(_xlfn.PERCENTILE.INC(_xlfn._xlws.FILTER(Diesel!I:I,(Diesel!E:E='Metas Diesel'!A2)*(Diesel!F:F='Metas Diesel'!B2)),0.5),"-")</f>
        <v>110</v>
      </c>
      <c r="E2" s="10" cm="1">
        <f t="array" ref="E2">IFERROR(_xlfn.PERCENTILE.INC(_xlfn._xlws.FILTER(Diesel!I:I,(Diesel!E:E='Metas Diesel'!A2)*(Diesel!F:F='Metas Diesel'!B2)),0.75),"-")</f>
        <v>255</v>
      </c>
      <c r="F2" s="10" cm="1">
        <f t="array" ref="F2">IFERROR(_xlfn.PERCENTILE.INC(_xlfn._xlws.FILTER(Diesel!I:I,(Diesel!E:E='Metas Diesel'!A2)*(Diesel!F:F='Metas Diesel'!B2)),0.9),"-")</f>
        <v>341.99999999999994</v>
      </c>
      <c r="G2" s="10">
        <f>IFERROR(_xlfn.MAXIFS(Diesel!I:I,Diesel!E:E,'Metas Diesel'!A2,Diesel!F:F,'Metas Diesel'!B2),"-")</f>
        <v>400</v>
      </c>
      <c r="H2" s="13">
        <f>IFERROR(COUNTIFS(Diesel!E:E,'Metas Diesel'!A2,Diesel!F:F,'Metas Diesel'!B2),"-")</f>
        <v>3</v>
      </c>
      <c r="I2" s="4" t="str">
        <f>IFERROR(IF(C2&lt;D2,"BAIXO",IF(AND(C2&gt;=D2,C2&lt;E2),"MEDIO",IF(AND(C2&gt;=E2,C2&lt;G2),"ALTO","-"))),"-")</f>
        <v>MEDIO</v>
      </c>
      <c r="J2" s="10">
        <f>IFERROR(AVERAGE((D2/C2),(E2/C2)),"-")</f>
        <v>0.89754098360655732</v>
      </c>
      <c r="K2" s="10">
        <f>IFERROR(AVERAGE((D2/C2),(E2/C2),(F2/C2)),"-")</f>
        <v>1.1590163934426227</v>
      </c>
      <c r="L2" s="10">
        <f>IFERROR(1/J2,"-")</f>
        <v>1.1141552511415527</v>
      </c>
      <c r="M2" s="10">
        <f>IFERROR(1/K2,"-")</f>
        <v>0.86280056577086295</v>
      </c>
      <c r="N2" s="10">
        <f>IFERROR(C2*K2,"-")</f>
        <v>235.66666666666663</v>
      </c>
      <c r="O2" s="10">
        <f>IFERROR(C2*L2,"-")</f>
        <v>226.54490106544907</v>
      </c>
      <c r="P2" s="10">
        <f>IFERROR(_xlfn.MINIFS(Diesel!I:I,Diesel!E:E,'Metas Diesel'!A2,Diesel!F:F,'Metas Diesel'!B2),"-")</f>
        <v>100</v>
      </c>
    </row>
    <row r="3" spans="1:16" x14ac:dyDescent="0.3">
      <c r="A3" s="3" t="s">
        <v>53</v>
      </c>
      <c r="B3" s="4" t="str">
        <f>IFERROR(VLOOKUP(A3,Cadastros!B:D,3,FALSE),"-")</f>
        <v>CORTE</v>
      </c>
      <c r="C3" s="10">
        <f>IFERROR(AVERAGEIFS(Diesel!I:I,Diesel!E:E,'Metas Diesel'!A3,Diesel!F:F,'Metas Diesel'!B3),"-")</f>
        <v>197.5</v>
      </c>
      <c r="D3" s="10" cm="1">
        <f t="array" ref="D3">IFERROR(_xlfn.PERCENTILE.INC(_xlfn._xlws.FILTER(Diesel!I:I,(Diesel!E:E='Metas Diesel'!A3)*(Diesel!F:F='Metas Diesel'!B3)),0.5),"-")</f>
        <v>180</v>
      </c>
      <c r="E3" s="10" cm="1">
        <f t="array" ref="E3">IFERROR(_xlfn.PERCENTILE.INC(_xlfn._xlws.FILTER(Diesel!I:I,(Diesel!E:E='Metas Diesel'!A3)*(Diesel!F:F='Metas Diesel'!B3)),0.75),"-")</f>
        <v>212.5</v>
      </c>
      <c r="F3" s="10" cm="1">
        <f t="array" ref="F3">IFERROR(_xlfn.PERCENTILE.INC(_xlfn._xlws.FILTER(Diesel!I:I,(Diesel!E:E='Metas Diesel'!A3)*(Diesel!F:F='Metas Diesel'!B3)),0.9),"-")</f>
        <v>253</v>
      </c>
      <c r="G3" s="10">
        <f>IFERROR(_xlfn.MAXIFS(Diesel!I:I,Diesel!E:E,'Metas Diesel'!A3,Diesel!F:F,'Metas Diesel'!B3),"-")</f>
        <v>280</v>
      </c>
      <c r="H3" s="13">
        <f>IFERROR(COUNTIFS(Diesel!E:E,'Metas Diesel'!A3,Diesel!F:F,'Metas Diesel'!B3),"-")</f>
        <v>4</v>
      </c>
      <c r="I3" s="4" t="str">
        <f t="shared" ref="I3:I7" si="0">IFERROR(IF(C3&lt;D3,"BAIXO",IF(AND(C3&gt;=D3,C3&lt;E3),"MEDIO",IF(AND(C3&gt;=E3,C3&lt;G3),"ALTO","-"))),"-")</f>
        <v>MEDIO</v>
      </c>
      <c r="J3" s="10">
        <f t="shared" ref="J3:J7" si="1">IFERROR(AVERAGE((D3/C3),(E3/C3)),"-")</f>
        <v>0.99367088607594933</v>
      </c>
      <c r="K3" s="10">
        <f t="shared" ref="K3:K7" si="2">IFERROR(AVERAGE((D3/C3),(E3/C3),(F3/C3)),"-")</f>
        <v>1.0894514767932488</v>
      </c>
      <c r="L3" s="10">
        <f t="shared" ref="L3:L7" si="3">IFERROR(1/J3,"-")</f>
        <v>1.0063694267515924</v>
      </c>
      <c r="M3" s="10">
        <f t="shared" ref="M3:M7" si="4">IFERROR(1/K3,"-")</f>
        <v>0.91789310611928743</v>
      </c>
      <c r="N3" s="10">
        <f t="shared" ref="N3:N7" si="5">IFERROR(C3*K3,"-")</f>
        <v>215.16666666666666</v>
      </c>
      <c r="O3" s="10">
        <f t="shared" ref="O3:O7" si="6">IFERROR(C3*L3,"-")</f>
        <v>198.7579617834395</v>
      </c>
      <c r="P3" s="10">
        <f>IFERROR(_xlfn.MINIFS(Diesel!I:I,Diesel!E:E,'Metas Diesel'!A3,Diesel!F:F,'Metas Diesel'!B3),"-")</f>
        <v>150</v>
      </c>
    </row>
    <row r="4" spans="1:16" x14ac:dyDescent="0.3">
      <c r="A4" s="3" t="s">
        <v>55</v>
      </c>
      <c r="B4" s="4" t="str">
        <f>IFERROR(VLOOKUP(A4,Cadastros!B:D,3,FALSE),"-")</f>
        <v>ARRASTE</v>
      </c>
      <c r="C4" s="10">
        <f>IFERROR(AVERAGEIFS(Diesel!I:I,Diesel!E:E,'Metas Diesel'!A4,Diesel!F:F,'Metas Diesel'!B4),"-")</f>
        <v>390</v>
      </c>
      <c r="D4" s="10" cm="1">
        <f t="array" ref="D4">IFERROR(_xlfn.PERCENTILE.INC(_xlfn._xlws.FILTER(Diesel!I:I,(Diesel!E:E='Metas Diesel'!A4)*(Diesel!F:F='Metas Diesel'!B4)),0.5),"-")</f>
        <v>370</v>
      </c>
      <c r="E4" s="10" cm="1">
        <f t="array" ref="E4">IFERROR(_xlfn.PERCENTILE.INC(_xlfn._xlws.FILTER(Diesel!I:I,(Diesel!E:E='Metas Diesel'!A4)*(Diesel!F:F='Metas Diesel'!B4)),0.75),"-")</f>
        <v>435</v>
      </c>
      <c r="F4" s="10" cm="1">
        <f t="array" ref="F4">IFERROR(_xlfn.PERCENTILE.INC(_xlfn._xlws.FILTER(Diesel!I:I,(Diesel!E:E='Metas Diesel'!A4)*(Diesel!F:F='Metas Diesel'!B4)),0.9),"-")</f>
        <v>474</v>
      </c>
      <c r="G4" s="10">
        <f>IFERROR(_xlfn.MAXIFS(Diesel!I:I,Diesel!E:E,'Metas Diesel'!A4,Diesel!F:F,'Metas Diesel'!B4),"-")</f>
        <v>500</v>
      </c>
      <c r="H4" s="13">
        <f>IFERROR(COUNTIFS(Diesel!E:E,'Metas Diesel'!A4,Diesel!F:F,'Metas Diesel'!B4),"-")</f>
        <v>3</v>
      </c>
      <c r="I4" s="4" t="str">
        <f t="shared" si="0"/>
        <v>MEDIO</v>
      </c>
      <c r="J4" s="10">
        <f t="shared" si="1"/>
        <v>1.0320512820512819</v>
      </c>
      <c r="K4" s="10">
        <f t="shared" si="2"/>
        <v>1.0931623931623931</v>
      </c>
      <c r="L4" s="10">
        <f t="shared" si="3"/>
        <v>0.96894409937888204</v>
      </c>
      <c r="M4" s="10">
        <f t="shared" si="4"/>
        <v>0.91477716966379996</v>
      </c>
      <c r="N4" s="10">
        <f t="shared" si="5"/>
        <v>426.33333333333331</v>
      </c>
      <c r="O4" s="10">
        <f t="shared" si="6"/>
        <v>377.88819875776397</v>
      </c>
      <c r="P4" s="10">
        <f>IFERROR(_xlfn.MINIFS(Diesel!I:I,Diesel!E:E,'Metas Diesel'!A4,Diesel!F:F,'Metas Diesel'!B4),"-")</f>
        <v>300</v>
      </c>
    </row>
    <row r="5" spans="1:16" x14ac:dyDescent="0.3">
      <c r="A5" s="3" t="s">
        <v>57</v>
      </c>
      <c r="B5" s="4" t="str">
        <f>IFERROR(VLOOKUP(A5,Cadastros!B:D,3,FALSE),"-")</f>
        <v>ARRASTE</v>
      </c>
      <c r="C5" s="10">
        <f>IFERROR(AVERAGEIFS(Diesel!I:I,Diesel!E:E,'Metas Diesel'!A5,Diesel!F:F,'Metas Diesel'!B5),"-")</f>
        <v>202.5</v>
      </c>
      <c r="D5" s="10" cm="1">
        <f t="array" ref="D5">IFERROR(_xlfn.PERCENTILE.INC(_xlfn._xlws.FILTER(Diesel!I:I,(Diesel!E:E='Metas Diesel'!A5)*(Diesel!F:F='Metas Diesel'!B5)),0.5),"-")</f>
        <v>190</v>
      </c>
      <c r="E5" s="10" cm="1">
        <f t="array" ref="E5">IFERROR(_xlfn.PERCENTILE.INC(_xlfn._xlws.FILTER(Diesel!I:I,(Diesel!E:E='Metas Diesel'!A5)*(Diesel!F:F='Metas Diesel'!B5)),0.75),"-")</f>
        <v>232.5</v>
      </c>
      <c r="F5" s="10" cm="1">
        <f t="array" ref="F5">IFERROR(_xlfn.PERCENTILE.INC(_xlfn._xlws.FILTER(Diesel!I:I,(Diesel!E:E='Metas Diesel'!A5)*(Diesel!F:F='Metas Diesel'!B5)),0.9),"-")</f>
        <v>291</v>
      </c>
      <c r="G5" s="10">
        <f>IFERROR(_xlfn.MAXIFS(Diesel!I:I,Diesel!E:E,'Metas Diesel'!A5,Diesel!F:F,'Metas Diesel'!B5),"-")</f>
        <v>330</v>
      </c>
      <c r="H5" s="13">
        <f>IFERROR(COUNTIFS(Diesel!E:E,'Metas Diesel'!A5,Diesel!F:F,'Metas Diesel'!B5),"-")</f>
        <v>4</v>
      </c>
      <c r="I5" s="4" t="str">
        <f t="shared" si="0"/>
        <v>MEDIO</v>
      </c>
      <c r="J5" s="10">
        <f t="shared" si="1"/>
        <v>1.0432098765432098</v>
      </c>
      <c r="K5" s="10">
        <f t="shared" si="2"/>
        <v>1.1744855967078189</v>
      </c>
      <c r="L5" s="10">
        <f t="shared" si="3"/>
        <v>0.95857988165680474</v>
      </c>
      <c r="M5" s="10">
        <f t="shared" si="4"/>
        <v>0.85143658023826208</v>
      </c>
      <c r="N5" s="10">
        <f t="shared" si="5"/>
        <v>237.83333333333334</v>
      </c>
      <c r="O5" s="10">
        <f t="shared" si="6"/>
        <v>194.11242603550295</v>
      </c>
      <c r="P5" s="10">
        <f>IFERROR(_xlfn.MINIFS(Diesel!I:I,Diesel!E:E,'Metas Diesel'!A5,Diesel!F:F,'Metas Diesel'!B5),"-")</f>
        <v>100</v>
      </c>
    </row>
    <row r="6" spans="1:16" x14ac:dyDescent="0.3">
      <c r="A6" s="3" t="s">
        <v>59</v>
      </c>
      <c r="B6" s="4" t="str">
        <f>IFERROR(VLOOKUP(A6,Cadastros!B:D,3,FALSE),"-")</f>
        <v>TRAÇAMENTO</v>
      </c>
      <c r="C6" s="10">
        <f>IFERROR(AVERAGEIFS(Diesel!I:I,Diesel!E:E,'Metas Diesel'!A6,Diesel!F:F,'Metas Diesel'!B6),"-")</f>
        <v>400</v>
      </c>
      <c r="D6" s="10" cm="1">
        <f t="array" ref="D6">IFERROR(_xlfn.PERCENTILE.INC(_xlfn._xlws.FILTER(Diesel!I:I,(Diesel!E:E='Metas Diesel'!A6)*(Diesel!F:F='Metas Diesel'!B6)),0.5),"-")</f>
        <v>400</v>
      </c>
      <c r="E6" s="10" cm="1">
        <f t="array" ref="E6">IFERROR(_xlfn.PERCENTILE.INC(_xlfn._xlws.FILTER(Diesel!I:I,(Diesel!E:E='Metas Diesel'!A6)*(Diesel!F:F='Metas Diesel'!B6)),0.75),"-")</f>
        <v>400</v>
      </c>
      <c r="F6" s="10" cm="1">
        <f t="array" ref="F6">IFERROR(_xlfn.PERCENTILE.INC(_xlfn._xlws.FILTER(Diesel!I:I,(Diesel!E:E='Metas Diesel'!A6)*(Diesel!F:F='Metas Diesel'!B6)),0.9),"-")</f>
        <v>400</v>
      </c>
      <c r="G6" s="10">
        <f>IFERROR(_xlfn.MAXIFS(Diesel!I:I,Diesel!E:E,'Metas Diesel'!A6,Diesel!F:F,'Metas Diesel'!B6),"-")</f>
        <v>400</v>
      </c>
      <c r="H6" s="13">
        <f>IFERROR(COUNTIFS(Diesel!E:E,'Metas Diesel'!A6,Diesel!F:F,'Metas Diesel'!B6),"-")</f>
        <v>1</v>
      </c>
      <c r="I6" s="4" t="str">
        <f t="shared" si="0"/>
        <v>-</v>
      </c>
      <c r="J6" s="10">
        <f t="shared" si="1"/>
        <v>1</v>
      </c>
      <c r="K6" s="10">
        <f t="shared" si="2"/>
        <v>1</v>
      </c>
      <c r="L6" s="10">
        <f t="shared" si="3"/>
        <v>1</v>
      </c>
      <c r="M6" s="10">
        <f t="shared" si="4"/>
        <v>1</v>
      </c>
      <c r="N6" s="10">
        <f t="shared" si="5"/>
        <v>400</v>
      </c>
      <c r="O6" s="10">
        <f t="shared" si="6"/>
        <v>400</v>
      </c>
      <c r="P6" s="10">
        <f>IFERROR(_xlfn.MINIFS(Diesel!I:I,Diesel!E:E,'Metas Diesel'!A6,Diesel!F:F,'Metas Diesel'!B6),"-")</f>
        <v>400</v>
      </c>
    </row>
    <row r="7" spans="1:16" x14ac:dyDescent="0.3">
      <c r="A7" s="3" t="s">
        <v>61</v>
      </c>
      <c r="B7" s="4" t="str">
        <f>IFERROR(VLOOKUP(A7,Cadastros!B:D,3,FALSE),"-")</f>
        <v>TRAÇAMENTO</v>
      </c>
      <c r="C7" s="10">
        <f>IFERROR(AVERAGEIFS(Diesel!I:I,Diesel!E:E,'Metas Diesel'!A7,Diesel!F:F,'Metas Diesel'!B7),"-")</f>
        <v>360</v>
      </c>
      <c r="D7" s="10" cm="1">
        <f t="array" ref="D7">IFERROR(_xlfn.PERCENTILE.INC(_xlfn._xlws.FILTER(Diesel!I:I,(Diesel!E:E='Metas Diesel'!A7)*(Diesel!F:F='Metas Diesel'!B7)),0.5),"-")</f>
        <v>360</v>
      </c>
      <c r="E7" s="10" cm="1">
        <f t="array" ref="E7">IFERROR(_xlfn.PERCENTILE.INC(_xlfn._xlws.FILTER(Diesel!I:I,(Diesel!E:E='Metas Diesel'!A7)*(Diesel!F:F='Metas Diesel'!B7)),0.75),"-")</f>
        <v>370</v>
      </c>
      <c r="F7" s="10" cm="1">
        <f t="array" ref="F7">IFERROR(_xlfn.PERCENTILE.INC(_xlfn._xlws.FILTER(Diesel!I:I,(Diesel!E:E='Metas Diesel'!A7)*(Diesel!F:F='Metas Diesel'!B7)),0.9),"-")</f>
        <v>376</v>
      </c>
      <c r="G7" s="10">
        <f>IFERROR(_xlfn.MAXIFS(Diesel!I:I,Diesel!E:E,'Metas Diesel'!A7,Diesel!F:F,'Metas Diesel'!B7),"-")</f>
        <v>380</v>
      </c>
      <c r="H7" s="13">
        <f>IFERROR(COUNTIFS(Diesel!E:E,'Metas Diesel'!A7,Diesel!F:F,'Metas Diesel'!B7),"-")</f>
        <v>2</v>
      </c>
      <c r="I7" s="4" t="str">
        <f t="shared" si="0"/>
        <v>MEDIO</v>
      </c>
      <c r="J7" s="10">
        <f t="shared" si="1"/>
        <v>1.0138888888888888</v>
      </c>
      <c r="K7" s="10">
        <f t="shared" si="2"/>
        <v>1.0240740740740739</v>
      </c>
      <c r="L7" s="10">
        <f t="shared" si="3"/>
        <v>0.98630136986301375</v>
      </c>
      <c r="M7" s="10">
        <f t="shared" si="4"/>
        <v>0.97649186256781206</v>
      </c>
      <c r="N7" s="10">
        <f t="shared" si="5"/>
        <v>368.66666666666663</v>
      </c>
      <c r="O7" s="10">
        <f t="shared" si="6"/>
        <v>355.06849315068496</v>
      </c>
      <c r="P7" s="10">
        <f>IFERROR(_xlfn.MINIFS(Diesel!I:I,Diesel!E:E,'Metas Diesel'!A7,Diesel!F:F,'Metas Diesel'!B7),"-")</f>
        <v>340</v>
      </c>
    </row>
  </sheetData>
  <conditionalFormatting sqref="A1">
    <cfRule type="duplicateValues" dxfId="7" priority="4"/>
  </conditionalFormatting>
  <conditionalFormatting sqref="I1:I1048576">
    <cfRule type="cellIs" dxfId="6" priority="1" operator="equal">
      <formula>"BAIXO"</formula>
    </cfRule>
    <cfRule type="cellIs" dxfId="5" priority="2" operator="equal">
      <formula>"MEDIO"</formula>
    </cfRule>
    <cfRule type="cellIs" dxfId="4" priority="3" operator="equal">
      <formula>"ALTO"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6D9E-21D9-41CE-A76E-EB24A75FFFC7}">
  <dimension ref="A1:AU7"/>
  <sheetViews>
    <sheetView zoomScale="85" zoomScaleNormal="85" workbookViewId="0">
      <pane ySplit="1" topLeftCell="A2" activePane="bottomLeft" state="frozen"/>
      <selection activeCell="C1" sqref="C1"/>
      <selection pane="bottomLeft" activeCell="G40" sqref="G40"/>
    </sheetView>
  </sheetViews>
  <sheetFormatPr defaultColWidth="8.88671875" defaultRowHeight="14.4" x14ac:dyDescent="0.3"/>
  <cols>
    <col min="1" max="1" width="20.44140625" style="3" customWidth="1"/>
    <col min="2" max="2" width="15.5546875" style="4" customWidth="1"/>
    <col min="3" max="3" width="8.88671875" style="3"/>
    <col min="4" max="4" width="16.88671875" style="10" customWidth="1"/>
    <col min="5" max="8" width="11.5546875" style="10" customWidth="1"/>
    <col min="9" max="9" width="14.33203125" style="13" customWidth="1"/>
    <col min="10" max="10" width="13.44140625" style="4" customWidth="1"/>
    <col min="11" max="13" width="14.33203125" style="10" customWidth="1"/>
    <col min="14" max="14" width="17.6640625" style="10" customWidth="1"/>
    <col min="15" max="17" width="8.88671875" style="10"/>
    <col min="18" max="18" width="8.88671875" style="3"/>
    <col min="19" max="19" width="16.88671875" style="10" customWidth="1"/>
    <col min="20" max="23" width="11.5546875" style="10" customWidth="1"/>
    <col min="24" max="24" width="14.33203125" style="13" customWidth="1"/>
    <col min="25" max="25" width="13.44140625" style="4" customWidth="1"/>
    <col min="26" max="28" width="14.33203125" style="10" customWidth="1"/>
    <col min="29" max="29" width="17.6640625" style="10" customWidth="1"/>
    <col min="30" max="32" width="8.88671875" style="10"/>
    <col min="33" max="33" width="15.6640625" style="3" customWidth="1"/>
    <col min="34" max="34" width="16.88671875" style="10" customWidth="1"/>
    <col min="35" max="38" width="11.5546875" style="10" customWidth="1"/>
    <col min="39" max="39" width="14.33203125" style="13" customWidth="1"/>
    <col min="40" max="40" width="13.44140625" style="4" customWidth="1"/>
    <col min="41" max="43" width="14.33203125" style="10" customWidth="1"/>
    <col min="44" max="44" width="17.6640625" style="10" customWidth="1"/>
    <col min="45" max="47" width="8.88671875" style="10"/>
    <col min="48" max="16384" width="8.88671875" style="3"/>
  </cols>
  <sheetData>
    <row r="1" spans="1:47" s="1" customFormat="1" ht="36" customHeight="1" x14ac:dyDescent="0.3">
      <c r="A1" s="1" t="s">
        <v>29</v>
      </c>
      <c r="B1" s="7" t="s">
        <v>11</v>
      </c>
      <c r="C1" s="1" t="s">
        <v>46</v>
      </c>
      <c r="D1" s="9" t="s">
        <v>39</v>
      </c>
      <c r="E1" s="9" t="s">
        <v>30</v>
      </c>
      <c r="F1" s="9" t="s">
        <v>31</v>
      </c>
      <c r="G1" s="9" t="s">
        <v>32</v>
      </c>
      <c r="H1" s="9" t="s">
        <v>40</v>
      </c>
      <c r="I1" s="12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1" t="s">
        <v>17</v>
      </c>
      <c r="P1" s="1" t="s">
        <v>18</v>
      </c>
      <c r="Q1" s="1" t="s">
        <v>19</v>
      </c>
      <c r="R1" s="1" t="s">
        <v>47</v>
      </c>
      <c r="S1" s="9" t="s">
        <v>39</v>
      </c>
      <c r="T1" s="9" t="s">
        <v>30</v>
      </c>
      <c r="U1" s="9" t="s">
        <v>31</v>
      </c>
      <c r="V1" s="9" t="s">
        <v>32</v>
      </c>
      <c r="W1" s="9" t="s">
        <v>40</v>
      </c>
      <c r="X1" s="12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1" t="s">
        <v>17</v>
      </c>
      <c r="AE1" s="1" t="s">
        <v>18</v>
      </c>
      <c r="AF1" s="1" t="s">
        <v>19</v>
      </c>
      <c r="AG1" s="1" t="s">
        <v>48</v>
      </c>
      <c r="AH1" s="9" t="s">
        <v>39</v>
      </c>
      <c r="AI1" s="9" t="s">
        <v>30</v>
      </c>
      <c r="AJ1" s="9" t="s">
        <v>31</v>
      </c>
      <c r="AK1" s="9" t="s">
        <v>32</v>
      </c>
      <c r="AL1" s="9" t="s">
        <v>40</v>
      </c>
      <c r="AM1" s="12" t="s">
        <v>33</v>
      </c>
      <c r="AN1" s="9" t="s">
        <v>34</v>
      </c>
      <c r="AO1" s="9" t="s">
        <v>35</v>
      </c>
      <c r="AP1" s="9" t="s">
        <v>36</v>
      </c>
      <c r="AQ1" s="9" t="s">
        <v>37</v>
      </c>
      <c r="AR1" s="9" t="s">
        <v>38</v>
      </c>
      <c r="AS1" s="1" t="s">
        <v>17</v>
      </c>
      <c r="AT1" s="1" t="s">
        <v>18</v>
      </c>
      <c r="AU1" s="1" t="s">
        <v>19</v>
      </c>
    </row>
    <row r="2" spans="1:47" x14ac:dyDescent="0.3">
      <c r="A2" s="3" t="s">
        <v>51</v>
      </c>
      <c r="B2" s="4" t="str">
        <f>IFERROR(VLOOKUP(A2,Cadastros!B:D,3,FALSE),"-")</f>
        <v>CORTE</v>
      </c>
      <c r="C2" s="3" t="s">
        <v>46</v>
      </c>
      <c r="D2" s="10">
        <f>IFERROR(AVERAGEIFS(Graxa!$I:$I,Graxa!$E:$E,'Metas Lubrificantes'!$A2,Graxa!$F:$F,'Metas Lubrificantes'!$B2),"-")</f>
        <v>1.1666666666666667</v>
      </c>
      <c r="E2" s="10" cm="1">
        <f t="array" ref="E2">IFERROR(_xlfn.PERCENTILE.INC(_xlfn._xlws.FILTER(Graxa!$I:$I,(Graxa!$E:$E='Metas Lubrificantes'!$A2)*(Graxa!$F:$F='Metas Lubrificantes'!$B2)),0.5),"-")</f>
        <v>1</v>
      </c>
      <c r="F2" s="10" cm="1">
        <f t="array" ref="F2">IFERROR(_xlfn.PERCENTILE.INC(_xlfn._xlws.FILTER(Graxa!$I:$I,(Graxa!$E:$E='Metas Lubrificantes'!$A2)*(Graxa!$F:$F='Metas Lubrificantes'!$B2)),0.75),"-")</f>
        <v>1.5</v>
      </c>
      <c r="G2" s="10" cm="1">
        <f t="array" ref="G2">IFERROR(_xlfn.PERCENTILE.INC(_xlfn._xlws.FILTER(Graxa!$I:$I,(Graxa!$E:$E='Metas Lubrificantes'!$A2)*(Graxa!$F:$F='Metas Lubrificantes'!$B2)),0.9),"-")</f>
        <v>1.7999999999999998</v>
      </c>
      <c r="H2" s="10">
        <f>IFERROR(_xlfn.MAXIFS(Graxa!$I:$I,Graxa!$E:$E,'Metas Lubrificantes'!$A2,Graxa!$F:$F,'Metas Lubrificantes'!$B2),"-")</f>
        <v>2</v>
      </c>
      <c r="I2" s="13">
        <f>IFERROR(COUNTIFS(Graxa!$E:$E,'Metas Lubrificantes'!$A2,Graxa!$F:$F,'Metas Lubrificantes'!$B2),"-")</f>
        <v>3</v>
      </c>
      <c r="J2" s="4" t="str">
        <f>IFERROR(IF(D2&lt;E2,"BAIXO",IF(AND(D2&gt;=E2,D2&lt;F2),"MEDIO",IF(AND(D2&gt;=F2,D2&lt;H2),"ALTO","-"))),"-")</f>
        <v>MEDIO</v>
      </c>
      <c r="K2" s="10">
        <f>IFERROR(AVERAGE((E2/D2),(F2/D2)),"-")</f>
        <v>1.0714285714285714</v>
      </c>
      <c r="L2" s="10">
        <f>IFERROR(AVERAGE((E2/D2),(F2/D2),(G2/D2)),"-")</f>
        <v>1.2285714285714284</v>
      </c>
      <c r="M2" s="10">
        <f>IFERROR(1/K2,"-")</f>
        <v>0.93333333333333335</v>
      </c>
      <c r="N2" s="10">
        <f>IFERROR(1/L2,"-")</f>
        <v>0.81395348837209314</v>
      </c>
      <c r="O2" s="10">
        <f>IFERROR(D2*L2,"-")</f>
        <v>1.4333333333333333</v>
      </c>
      <c r="P2" s="10">
        <f>IFERROR(D2*M2,"-")</f>
        <v>1.088888888888889</v>
      </c>
      <c r="Q2" s="10">
        <f>IFERROR(_xlfn.MINIFS(Graxa!$I:$I,Graxa!$E:$E,'Metas Lubrificantes'!$A2,Graxa!$F:$F,'Metas Lubrificantes'!$B2),"-")</f>
        <v>0.5</v>
      </c>
      <c r="R2" s="3" t="s">
        <v>47</v>
      </c>
      <c r="S2" s="10">
        <f>IFERROR(AVERAGEIFS('15W40'!$I:$I,'15W40'!$E:$E,'Metas Lubrificantes'!$A2,'15W40'!$F:$F,'Metas Lubrificantes'!$B2),"-")</f>
        <v>7.666666666666667</v>
      </c>
      <c r="T2" s="10" cm="1">
        <f t="array" ref="T2">IFERROR(_xlfn.PERCENTILE.INC(_xlfn._xlws.FILTER('15W40'!$I:$I,('15W40'!$E:$E='Metas Lubrificantes'!$A2)*('15W40'!$F:$F='Metas Lubrificantes'!$B2)),0.5),"-")</f>
        <v>8</v>
      </c>
      <c r="U2" s="10" cm="1">
        <f t="array" ref="U2">IFERROR(_xlfn.PERCENTILE.INC(_xlfn._xlws.FILTER('15W40'!$I:$I,('15W40'!$E:$E='Metas Lubrificantes'!$A2)*('15W40'!$F:$F='Metas Lubrificantes'!$B2)),0.75),"-")</f>
        <v>9</v>
      </c>
      <c r="V2" s="10" cm="1">
        <f t="array" ref="V2">IFERROR(_xlfn.PERCENTILE.INC(_xlfn._xlws.FILTER('15W40'!$I:$I,('15W40'!$E:$E='Metas Lubrificantes'!$A2)*('15W40'!$F:$F='Metas Lubrificantes'!$B2)),0.9),"-")</f>
        <v>9.6</v>
      </c>
      <c r="W2" s="10">
        <f>IFERROR(_xlfn.MAXIFS('15W40'!$I:$I,'15W40'!$E:$E,'Metas Lubrificantes'!$A2,'15W40'!$F:$F,'Metas Lubrificantes'!$B2),"-")</f>
        <v>10</v>
      </c>
      <c r="X2" s="13">
        <f>IFERROR(COUNTIFS('15W40'!$E:$E,'Metas Lubrificantes'!$A2,'15W40'!$F:$F,'Metas Lubrificantes'!$B2),"-")</f>
        <v>3</v>
      </c>
      <c r="Y2" s="4" t="str">
        <f>IFERROR(IF(S2&lt;T2,"BAIXO",IF(AND(S2&gt;=T2,S2&lt;U2),"MEDIO",IF(AND(S2&gt;=U2,S2&lt;W2),"ALTO","-"))),"-")</f>
        <v>BAIXO</v>
      </c>
      <c r="Z2" s="10">
        <f>IFERROR(AVERAGE((T2/S2),(U2/S2)),"-")</f>
        <v>1.1086956521739131</v>
      </c>
      <c r="AA2" s="10">
        <f>IFERROR(AVERAGE((T2/S2),(U2/S2),(V2/S2)),"-")</f>
        <v>1.1565217391304348</v>
      </c>
      <c r="AB2" s="10">
        <f>IFERROR(1/Z2,"-")</f>
        <v>0.90196078431372551</v>
      </c>
      <c r="AC2" s="10">
        <f>IFERROR(1/AA2,"-")</f>
        <v>0.86466165413533835</v>
      </c>
      <c r="AD2" s="10">
        <f>IFERROR(S2*AA2,"-")</f>
        <v>8.8666666666666671</v>
      </c>
      <c r="AE2" s="10">
        <f>IFERROR(S2*AB2,"-")</f>
        <v>6.9150326797385624</v>
      </c>
      <c r="AF2" s="10">
        <f>IFERROR(_xlfn.MINIFS('15W40'!$I:$I,'15W40'!$E:$E,'Metas Lubrificantes'!$A2,'15W40'!$F:$F,'Metas Lubrificantes'!$B2),"-")</f>
        <v>5</v>
      </c>
      <c r="AG2" s="3" t="s">
        <v>48</v>
      </c>
      <c r="AH2" s="10">
        <f>IFERROR(AVERAGEIFS('Hidráulico 68'!$I:$I,'Hidráulico 68'!$E:$E,'Metas Lubrificantes'!$A2,'Hidráulico 68'!$F:$F,'Metas Lubrificantes'!$B2),"-")</f>
        <v>16</v>
      </c>
      <c r="AI2" s="10" cm="1">
        <f t="array" ref="AI2">IFERROR(_xlfn.PERCENTILE.INC(_xlfn._xlws.FILTER('Hidráulico 68'!$I:$I,('Hidráulico 68'!$E:$E='Metas Lubrificantes'!$A2)*('Hidráulico 68'!$F:$F='Metas Lubrificantes'!$B2)),0.5),"-")</f>
        <v>18</v>
      </c>
      <c r="AJ2" s="10" cm="1">
        <f t="array" ref="AJ2">IFERROR(_xlfn.PERCENTILE.INC(_xlfn._xlws.FILTER('Hidráulico 68'!$I:$I,('Hidráulico 68'!$E:$E='Metas Lubrificantes'!$A2)*('Hidráulico 68'!$F:$F='Metas Lubrificantes'!$B2)),0.75),"-")</f>
        <v>20</v>
      </c>
      <c r="AK2" s="10" cm="1">
        <f t="array" ref="AK2">IFERROR(_xlfn.PERCENTILE.INC(_xlfn._xlws.FILTER('Hidráulico 68'!$I:$I,('Hidráulico 68'!$E:$E='Metas Lubrificantes'!$A2)*('Hidráulico 68'!$F:$F='Metas Lubrificantes'!$B2)),0.9),"-")</f>
        <v>21.2</v>
      </c>
      <c r="AL2" s="10">
        <f>IFERROR(_xlfn.MAXIFS('Hidráulico 68'!$I:$I,'Hidráulico 68'!$E:$E,'Metas Lubrificantes'!$A2,'Hidráulico 68'!$F:$F,'Metas Lubrificantes'!$B2),"-")</f>
        <v>22</v>
      </c>
      <c r="AM2" s="13">
        <f>IFERROR(COUNTIFS('Hidráulico 68'!$E:$E,'Metas Lubrificantes'!$A2,'Hidráulico 68'!$F:$F,'Metas Lubrificantes'!$B2),"-")</f>
        <v>3</v>
      </c>
      <c r="AN2" s="4" t="str">
        <f>IFERROR(IF(AH2&lt;AI2,"BAIXO",IF(AND(AH2&gt;=AI2,AH2&lt;AJ2),"MEDIO",IF(AND(AH2&gt;=AJ2,AH2&lt;AL2),"ALTO","-"))),"-")</f>
        <v>BAIXO</v>
      </c>
      <c r="AO2" s="10">
        <f>IFERROR(AVERAGE((AI2/AH2),(AJ2/AH2)),"-")</f>
        <v>1.1875</v>
      </c>
      <c r="AP2" s="10">
        <f>IFERROR(AVERAGE((AI2/AH2),(AJ2/AH2),(AK2/AH2)),"-")</f>
        <v>1.2333333333333334</v>
      </c>
      <c r="AQ2" s="10">
        <f>IFERROR(1/AO2,"-")</f>
        <v>0.84210526315789469</v>
      </c>
      <c r="AR2" s="10">
        <f>IFERROR(1/AP2,"-")</f>
        <v>0.81081081081081074</v>
      </c>
      <c r="AS2" s="10">
        <f>IFERROR(AH2*AP2,"-")</f>
        <v>19.733333333333334</v>
      </c>
      <c r="AT2" s="10">
        <f>IFERROR(AH2*AQ2,"-")</f>
        <v>13.473684210526315</v>
      </c>
      <c r="AU2" s="10">
        <f>IFERROR(_xlfn.MINIFS('Hidráulico 68'!$I:$I,'Hidráulico 68'!$E:$E,'Metas Lubrificantes'!$A2,'Hidráulico 68'!$F:$F,'Metas Lubrificantes'!$B2),"-")</f>
        <v>8</v>
      </c>
    </row>
    <row r="3" spans="1:47" x14ac:dyDescent="0.3">
      <c r="A3" s="3" t="s">
        <v>53</v>
      </c>
      <c r="B3" s="4" t="str">
        <f>IFERROR(VLOOKUP(A3,Cadastros!B:D,3,FALSE),"-")</f>
        <v>CORTE</v>
      </c>
      <c r="C3" s="3" t="s">
        <v>46</v>
      </c>
      <c r="D3" s="10">
        <f>IFERROR(AVERAGEIFS(Graxa!$I:$I,Graxa!$E:$E,'Metas Lubrificantes'!$A3,Graxa!$F:$F,'Metas Lubrificantes'!$B3),"-")</f>
        <v>0.625</v>
      </c>
      <c r="E3" s="10" cm="1">
        <f t="array" ref="E3">IFERROR(_xlfn.PERCENTILE.INC(_xlfn._xlws.FILTER(Graxa!$I:$I,(Graxa!$E:$E='Metas Lubrificantes'!$A3)*(Graxa!$F:$F='Metas Lubrificantes'!$B3)),0.5),"-")</f>
        <v>0.5</v>
      </c>
      <c r="F3" s="10" cm="1">
        <f t="array" ref="F3">IFERROR(_xlfn.PERCENTILE.INC(_xlfn._xlws.FILTER(Graxa!$I:$I,(Graxa!$E:$E='Metas Lubrificantes'!$A3)*(Graxa!$F:$F='Metas Lubrificantes'!$B3)),0.75),"-")</f>
        <v>0.625</v>
      </c>
      <c r="G3" s="10" cm="1">
        <f t="array" ref="G3">IFERROR(_xlfn.PERCENTILE.INC(_xlfn._xlws.FILTER(Graxa!$I:$I,(Graxa!$E:$E='Metas Lubrificantes'!$A3)*(Graxa!$F:$F='Metas Lubrificantes'!$B3)),0.9),"-")</f>
        <v>0.85000000000000009</v>
      </c>
      <c r="H3" s="10">
        <f>IFERROR(_xlfn.MAXIFS(Graxa!$I:$I,Graxa!$E:$E,'Metas Lubrificantes'!$A3,Graxa!$F:$F,'Metas Lubrificantes'!$B3),"-")</f>
        <v>1</v>
      </c>
      <c r="I3" s="13">
        <f>IFERROR(COUNTIFS(Graxa!$E:$E,'Metas Lubrificantes'!$A3,Graxa!$F:$F,'Metas Lubrificantes'!$B3),"-")</f>
        <v>4</v>
      </c>
      <c r="J3" s="4" t="str">
        <f t="shared" ref="J3:J7" si="0">IFERROR(IF(D3&lt;E3,"BAIXO",IF(AND(D3&gt;=E3,D3&lt;F3),"MEDIO",IF(AND(D3&gt;=F3,D3&lt;H3),"ALTO","-"))),"-")</f>
        <v>ALTO</v>
      </c>
      <c r="K3" s="10">
        <f t="shared" ref="K3:K7" si="1">IFERROR(AVERAGE((E3/D3),(F3/D3)),"-")</f>
        <v>0.9</v>
      </c>
      <c r="L3" s="10">
        <f t="shared" ref="L3:L7" si="2">IFERROR(AVERAGE((E3/D3),(F3/D3),(G3/D3)),"-")</f>
        <v>1.0533333333333335</v>
      </c>
      <c r="M3" s="10">
        <f t="shared" ref="M3:M7" si="3">IFERROR(1/K3,"-")</f>
        <v>1.1111111111111112</v>
      </c>
      <c r="N3" s="10">
        <f t="shared" ref="N3:N7" si="4">IFERROR(1/L3,"-")</f>
        <v>0.94936708860759478</v>
      </c>
      <c r="O3" s="10">
        <f t="shared" ref="O3:O7" si="5">IFERROR(D3*L3,"-")</f>
        <v>0.65833333333333344</v>
      </c>
      <c r="P3" s="10">
        <f t="shared" ref="P3:P7" si="6">IFERROR(D3*M3,"-")</f>
        <v>0.69444444444444442</v>
      </c>
      <c r="Q3" s="10">
        <f>IFERROR(_xlfn.MINIFS(Graxa!$I:$I,Graxa!$E:$E,'Metas Lubrificantes'!$A3,Graxa!$F:$F,'Metas Lubrificantes'!$B3),"-")</f>
        <v>0.5</v>
      </c>
      <c r="R3" s="3" t="s">
        <v>47</v>
      </c>
      <c r="S3" s="10">
        <f>IFERROR(AVERAGEIFS('15W40'!$I:$I,'15W40'!$E:$E,'Metas Lubrificantes'!$A3,'15W40'!$F:$F,'Metas Lubrificantes'!$B3),"-")</f>
        <v>10.5</v>
      </c>
      <c r="T3" s="10" cm="1">
        <f t="array" ref="T3">IFERROR(_xlfn.PERCENTILE.INC(_xlfn._xlws.FILTER('15W40'!$I:$I,('15W40'!$E:$E='Metas Lubrificantes'!$A3)*('15W40'!$F:$F='Metas Lubrificantes'!$B3)),0.5),"-")</f>
        <v>7.5</v>
      </c>
      <c r="U3" s="10" cm="1">
        <f t="array" ref="U3">IFERROR(_xlfn.PERCENTILE.INC(_xlfn._xlws.FILTER('15W40'!$I:$I,('15W40'!$E:$E='Metas Lubrificantes'!$A3)*('15W40'!$F:$F='Metas Lubrificantes'!$B3)),0.75),"-")</f>
        <v>13.75</v>
      </c>
      <c r="V3" s="10" cm="1">
        <f t="array" ref="V3">IFERROR(_xlfn.PERCENTILE.INC(_xlfn._xlws.FILTER('15W40'!$I:$I,('15W40'!$E:$E='Metas Lubrificantes'!$A3)*('15W40'!$F:$F='Metas Lubrificantes'!$B3)),0.9),"-")</f>
        <v>20.500000000000004</v>
      </c>
      <c r="W3" s="10">
        <f>IFERROR(_xlfn.MAXIFS('15W40'!$I:$I,'15W40'!$E:$E,'Metas Lubrificantes'!$A3,'15W40'!$F:$F,'Metas Lubrificantes'!$B3),"-")</f>
        <v>25</v>
      </c>
      <c r="X3" s="13">
        <f>IFERROR(COUNTIFS('15W40'!$E:$E,'Metas Lubrificantes'!$A3,'15W40'!$F:$F,'Metas Lubrificantes'!$B3),"-")</f>
        <v>4</v>
      </c>
      <c r="Y3" s="4" t="str">
        <f t="shared" ref="Y3:Y7" si="7">IFERROR(IF(S3&lt;T3,"BAIXO",IF(AND(S3&gt;=T3,S3&lt;U3),"MEDIO",IF(AND(S3&gt;=U3,S3&lt;W3),"ALTO","-"))),"-")</f>
        <v>MEDIO</v>
      </c>
      <c r="Z3" s="10">
        <f t="shared" ref="Z3:Z7" si="8">IFERROR(AVERAGE((T3/S3),(U3/S3)),"-")</f>
        <v>1.0119047619047619</v>
      </c>
      <c r="AA3" s="10">
        <f t="shared" ref="AA3:AA7" si="9">IFERROR(AVERAGE((T3/S3),(U3/S3),(V3/S3)),"-")</f>
        <v>1.3253968253968254</v>
      </c>
      <c r="AB3" s="10">
        <f t="shared" ref="AB3:AB7" si="10">IFERROR(1/Z3,"-")</f>
        <v>0.9882352941176471</v>
      </c>
      <c r="AC3" s="10">
        <f t="shared" ref="AC3:AC7" si="11">IFERROR(1/AA3,"-")</f>
        <v>0.75449101796407192</v>
      </c>
      <c r="AD3" s="10">
        <f t="shared" ref="AD3:AD7" si="12">IFERROR(S3*AA3,"-")</f>
        <v>13.916666666666666</v>
      </c>
      <c r="AE3" s="10">
        <f t="shared" ref="AE3:AE7" si="13">IFERROR(S3*AB3,"-")</f>
        <v>10.376470588235295</v>
      </c>
      <c r="AF3" s="10">
        <f>IFERROR(_xlfn.MINIFS('15W40'!$I:$I,'15W40'!$E:$E,'Metas Lubrificantes'!$A3,'15W40'!$F:$F,'Metas Lubrificantes'!$B3),"-")</f>
        <v>2</v>
      </c>
      <c r="AG3" s="3" t="s">
        <v>48</v>
      </c>
      <c r="AH3" s="10">
        <f>IFERROR(AVERAGEIFS('Hidráulico 68'!$I:$I,'Hidráulico 68'!$E:$E,'Metas Lubrificantes'!$A3,'Hidráulico 68'!$F:$F,'Metas Lubrificantes'!$B3),"-")</f>
        <v>11.75</v>
      </c>
      <c r="AI3" s="10" cm="1">
        <f t="array" ref="AI3">IFERROR(_xlfn.PERCENTILE.INC(_xlfn._xlws.FILTER('Hidráulico 68'!$I:$I,('Hidráulico 68'!$E:$E='Metas Lubrificantes'!$A3)*('Hidráulico 68'!$F:$F='Metas Lubrificantes'!$B3)),0.5),"-")</f>
        <v>13.5</v>
      </c>
      <c r="AJ3" s="10" cm="1">
        <f t="array" ref="AJ3">IFERROR(_xlfn.PERCENTILE.INC(_xlfn._xlws.FILTER('Hidráulico 68'!$I:$I,('Hidráulico 68'!$E:$E='Metas Lubrificantes'!$A3)*('Hidráulico 68'!$F:$F='Metas Lubrificantes'!$B3)),0.75),"-")</f>
        <v>17.25</v>
      </c>
      <c r="AK3" s="10" cm="1">
        <f t="array" ref="AK3">IFERROR(_xlfn.PERCENTILE.INC(_xlfn._xlws.FILTER('Hidráulico 68'!$I:$I,('Hidráulico 68'!$E:$E='Metas Lubrificantes'!$A3)*('Hidráulico 68'!$F:$F='Metas Lubrificantes'!$B3)),0.9),"-")</f>
        <v>17.7</v>
      </c>
      <c r="AL3" s="10">
        <f>IFERROR(_xlfn.MAXIFS('Hidráulico 68'!$I:$I,'Hidráulico 68'!$E:$E,'Metas Lubrificantes'!$A3,'Hidráulico 68'!$F:$F,'Metas Lubrificantes'!$B3),"-")</f>
        <v>18</v>
      </c>
      <c r="AM3" s="13">
        <f>IFERROR(COUNTIFS('Hidráulico 68'!$E:$E,'Metas Lubrificantes'!$A3,'Hidráulico 68'!$F:$F,'Metas Lubrificantes'!$B3),"-")</f>
        <v>4</v>
      </c>
      <c r="AN3" s="4" t="str">
        <f t="shared" ref="AN3:AN7" si="14">IFERROR(IF(AH3&lt;AI3,"BAIXO",IF(AND(AH3&gt;=AI3,AH3&lt;AJ3),"MEDIO",IF(AND(AH3&gt;=AJ3,AH3&lt;AL3),"ALTO","-"))),"-")</f>
        <v>BAIXO</v>
      </c>
      <c r="AO3" s="10">
        <f t="shared" ref="AO3:AO7" si="15">IFERROR(AVERAGE((AI3/AH3),(AJ3/AH3)),"-")</f>
        <v>1.3085106382978724</v>
      </c>
      <c r="AP3" s="10">
        <f t="shared" ref="AP3:AP7" si="16">IFERROR(AVERAGE((AI3/AH3),(AJ3/AH3),(AK3/AH3)),"-")</f>
        <v>1.3744680851063829</v>
      </c>
      <c r="AQ3" s="10">
        <f t="shared" ref="AQ3:AQ7" si="17">IFERROR(1/AO3,"-")</f>
        <v>0.7642276422764227</v>
      </c>
      <c r="AR3" s="10">
        <f t="shared" ref="AR3:AR7" si="18">IFERROR(1/AP3,"-")</f>
        <v>0.72755417956656354</v>
      </c>
      <c r="AS3" s="10">
        <f t="shared" ref="AS3:AS7" si="19">IFERROR(AH3*AP3,"-")</f>
        <v>16.149999999999999</v>
      </c>
      <c r="AT3" s="10">
        <f t="shared" ref="AT3:AT7" si="20">IFERROR(AH3*AQ3,"-")</f>
        <v>8.9796747967479664</v>
      </c>
      <c r="AU3" s="10">
        <f>IFERROR(_xlfn.MINIFS('Hidráulico 68'!$I:$I,'Hidráulico 68'!$E:$E,'Metas Lubrificantes'!$A3,'Hidráulico 68'!$F:$F,'Metas Lubrificantes'!$B3),"-")</f>
        <v>2</v>
      </c>
    </row>
    <row r="4" spans="1:47" x14ac:dyDescent="0.3">
      <c r="A4" s="3" t="s">
        <v>55</v>
      </c>
      <c r="B4" s="4" t="str">
        <f>IFERROR(VLOOKUP(A4,Cadastros!B:D,3,FALSE),"-")</f>
        <v>ARRASTE</v>
      </c>
      <c r="C4" s="3" t="s">
        <v>46</v>
      </c>
      <c r="D4" s="10">
        <f>IFERROR(AVERAGEIFS(Graxa!$I:$I,Graxa!$E:$E,'Metas Lubrificantes'!$A4,Graxa!$F:$F,'Metas Lubrificantes'!$B4),"-")</f>
        <v>1</v>
      </c>
      <c r="E4" s="10" cm="1">
        <f t="array" ref="E4">IFERROR(_xlfn.PERCENTILE.INC(_xlfn._xlws.FILTER(Graxa!$I:$I,(Graxa!$E:$E='Metas Lubrificantes'!$A4)*(Graxa!$F:$F='Metas Lubrificantes'!$B4)),0.5),"-")</f>
        <v>1</v>
      </c>
      <c r="F4" s="10" cm="1">
        <f t="array" ref="F4">IFERROR(_xlfn.PERCENTILE.INC(_xlfn._xlws.FILTER(Graxa!$I:$I,(Graxa!$E:$E='Metas Lubrificantes'!$A4)*(Graxa!$F:$F='Metas Lubrificantes'!$B4)),0.75),"-")</f>
        <v>1.25</v>
      </c>
      <c r="G4" s="10" cm="1">
        <f t="array" ref="G4">IFERROR(_xlfn.PERCENTILE.INC(_xlfn._xlws.FILTER(Graxa!$I:$I,(Graxa!$E:$E='Metas Lubrificantes'!$A4)*(Graxa!$F:$F='Metas Lubrificantes'!$B4)),0.9),"-")</f>
        <v>1.4</v>
      </c>
      <c r="H4" s="10">
        <f>IFERROR(_xlfn.MAXIFS(Graxa!$I:$I,Graxa!$E:$E,'Metas Lubrificantes'!$A4,Graxa!$F:$F,'Metas Lubrificantes'!$B4),"-")</f>
        <v>1.5</v>
      </c>
      <c r="I4" s="13">
        <f>IFERROR(COUNTIFS(Graxa!$E:$E,'Metas Lubrificantes'!$A4,Graxa!$F:$F,'Metas Lubrificantes'!$B4),"-")</f>
        <v>3</v>
      </c>
      <c r="J4" s="4" t="str">
        <f t="shared" si="0"/>
        <v>MEDIO</v>
      </c>
      <c r="K4" s="10">
        <f t="shared" si="1"/>
        <v>1.125</v>
      </c>
      <c r="L4" s="10">
        <f t="shared" si="2"/>
        <v>1.2166666666666666</v>
      </c>
      <c r="M4" s="10">
        <f t="shared" si="3"/>
        <v>0.88888888888888884</v>
      </c>
      <c r="N4" s="10">
        <f t="shared" si="4"/>
        <v>0.82191780821917815</v>
      </c>
      <c r="O4" s="10">
        <f t="shared" si="5"/>
        <v>1.2166666666666666</v>
      </c>
      <c r="P4" s="10">
        <f t="shared" si="6"/>
        <v>0.88888888888888884</v>
      </c>
      <c r="Q4" s="10">
        <f>IFERROR(_xlfn.MINIFS(Graxa!$I:$I,Graxa!$E:$E,'Metas Lubrificantes'!$A4,Graxa!$F:$F,'Metas Lubrificantes'!$B4),"-")</f>
        <v>0.5</v>
      </c>
      <c r="R4" s="3" t="s">
        <v>47</v>
      </c>
      <c r="S4" s="10">
        <f>IFERROR(AVERAGEIFS('15W40'!$I:$I,'15W40'!$E:$E,'Metas Lubrificantes'!$A4,'15W40'!$F:$F,'Metas Lubrificantes'!$B4),"-")</f>
        <v>9</v>
      </c>
      <c r="T4" s="10" cm="1">
        <f t="array" ref="T4">IFERROR(_xlfn.PERCENTILE.INC(_xlfn._xlws.FILTER('15W40'!$I:$I,('15W40'!$E:$E='Metas Lubrificantes'!$A4)*('15W40'!$F:$F='Metas Lubrificantes'!$B4)),0.5),"-")</f>
        <v>7</v>
      </c>
      <c r="U4" s="10" cm="1">
        <f t="array" ref="U4">IFERROR(_xlfn.PERCENTILE.INC(_xlfn._xlws.FILTER('15W40'!$I:$I,('15W40'!$E:$E='Metas Lubrificantes'!$A4)*('15W40'!$F:$F='Metas Lubrificantes'!$B4)),0.75),"-")</f>
        <v>11</v>
      </c>
      <c r="V4" s="10" cm="1">
        <f t="array" ref="V4">IFERROR(_xlfn.PERCENTILE.INC(_xlfn._xlws.FILTER('15W40'!$I:$I,('15W40'!$E:$E='Metas Lubrificantes'!$A4)*('15W40'!$F:$F='Metas Lubrificantes'!$B4)),0.9),"-")</f>
        <v>13.399999999999999</v>
      </c>
      <c r="W4" s="10">
        <f>IFERROR(_xlfn.MAXIFS('15W40'!$I:$I,'15W40'!$E:$E,'Metas Lubrificantes'!$A4,'15W40'!$F:$F,'Metas Lubrificantes'!$B4),"-")</f>
        <v>15</v>
      </c>
      <c r="X4" s="13">
        <f>IFERROR(COUNTIFS('15W40'!$E:$E,'Metas Lubrificantes'!$A4,'15W40'!$F:$F,'Metas Lubrificantes'!$B4),"-")</f>
        <v>3</v>
      </c>
      <c r="Y4" s="4" t="str">
        <f t="shared" si="7"/>
        <v>MEDIO</v>
      </c>
      <c r="Z4" s="10">
        <f t="shared" si="8"/>
        <v>1</v>
      </c>
      <c r="AA4" s="10">
        <f t="shared" si="9"/>
        <v>1.162962962962963</v>
      </c>
      <c r="AB4" s="10">
        <f t="shared" si="10"/>
        <v>1</v>
      </c>
      <c r="AC4" s="10">
        <f t="shared" si="11"/>
        <v>0.85987261146496818</v>
      </c>
      <c r="AD4" s="10">
        <f t="shared" si="12"/>
        <v>10.466666666666667</v>
      </c>
      <c r="AE4" s="10">
        <f t="shared" si="13"/>
        <v>9</v>
      </c>
      <c r="AF4" s="10">
        <f>IFERROR(_xlfn.MINIFS('15W40'!$I:$I,'15W40'!$E:$E,'Metas Lubrificantes'!$A4,'15W40'!$F:$F,'Metas Lubrificantes'!$B4),"-")</f>
        <v>5</v>
      </c>
      <c r="AG4" s="3" t="s">
        <v>48</v>
      </c>
      <c r="AH4" s="10">
        <f>IFERROR(AVERAGEIFS('Hidráulico 68'!$I:$I,'Hidráulico 68'!$E:$E,'Metas Lubrificantes'!$A4,'Hidráulico 68'!$F:$F,'Metas Lubrificantes'!$B4),"-")</f>
        <v>17</v>
      </c>
      <c r="AI4" s="10" cm="1">
        <f t="array" ref="AI4">IFERROR(_xlfn.PERCENTILE.INC(_xlfn._xlws.FILTER('Hidráulico 68'!$I:$I,('Hidráulico 68'!$E:$E='Metas Lubrificantes'!$A4)*('Hidráulico 68'!$F:$F='Metas Lubrificantes'!$B4)),0.5),"-")</f>
        <v>20</v>
      </c>
      <c r="AJ4" s="10" cm="1">
        <f t="array" ref="AJ4">IFERROR(_xlfn.PERCENTILE.INC(_xlfn._xlws.FILTER('Hidráulico 68'!$I:$I,('Hidráulico 68'!$E:$E='Metas Lubrificantes'!$A4)*('Hidráulico 68'!$F:$F='Metas Lubrificantes'!$B4)),0.75),"-")</f>
        <v>21.5</v>
      </c>
      <c r="AK4" s="10" cm="1">
        <f t="array" ref="AK4">IFERROR(_xlfn.PERCENTILE.INC(_xlfn._xlws.FILTER('Hidráulico 68'!$I:$I,('Hidráulico 68'!$E:$E='Metas Lubrificantes'!$A4)*('Hidráulico 68'!$F:$F='Metas Lubrificantes'!$B4)),0.9),"-")</f>
        <v>22.4</v>
      </c>
      <c r="AL4" s="10">
        <f>IFERROR(_xlfn.MAXIFS('Hidráulico 68'!$I:$I,'Hidráulico 68'!$E:$E,'Metas Lubrificantes'!$A4,'Hidráulico 68'!$F:$F,'Metas Lubrificantes'!$B4),"-")</f>
        <v>23</v>
      </c>
      <c r="AM4" s="13">
        <f>IFERROR(COUNTIFS('Hidráulico 68'!$E:$E,'Metas Lubrificantes'!$A4,'Hidráulico 68'!$F:$F,'Metas Lubrificantes'!$B4),"-")</f>
        <v>3</v>
      </c>
      <c r="AN4" s="4" t="str">
        <f t="shared" si="14"/>
        <v>BAIXO</v>
      </c>
      <c r="AO4" s="10">
        <f t="shared" si="15"/>
        <v>1.2205882352941178</v>
      </c>
      <c r="AP4" s="10">
        <f t="shared" si="16"/>
        <v>1.2529411764705882</v>
      </c>
      <c r="AQ4" s="10">
        <f t="shared" si="17"/>
        <v>0.81927710843373491</v>
      </c>
      <c r="AR4" s="10">
        <f t="shared" si="18"/>
        <v>0.7981220657276995</v>
      </c>
      <c r="AS4" s="10">
        <f t="shared" si="19"/>
        <v>21.3</v>
      </c>
      <c r="AT4" s="10">
        <f t="shared" si="20"/>
        <v>13.927710843373493</v>
      </c>
      <c r="AU4" s="10">
        <f>IFERROR(_xlfn.MINIFS('Hidráulico 68'!$I:$I,'Hidráulico 68'!$E:$E,'Metas Lubrificantes'!$A4,'Hidráulico 68'!$F:$F,'Metas Lubrificantes'!$B4),"-")</f>
        <v>8</v>
      </c>
    </row>
    <row r="5" spans="1:47" x14ac:dyDescent="0.3">
      <c r="A5" s="3" t="s">
        <v>57</v>
      </c>
      <c r="B5" s="4" t="str">
        <f>IFERROR(VLOOKUP(A5,Cadastros!B:D,3,FALSE),"-")</f>
        <v>ARRASTE</v>
      </c>
      <c r="C5" s="3" t="s">
        <v>46</v>
      </c>
      <c r="D5" s="10">
        <f>IFERROR(AVERAGEIFS(Graxa!$I:$I,Graxa!$E:$E,'Metas Lubrificantes'!$A5,Graxa!$F:$F,'Metas Lubrificantes'!$B5),"-")</f>
        <v>1.125</v>
      </c>
      <c r="E5" s="10" cm="1">
        <f t="array" ref="E5">IFERROR(_xlfn.PERCENTILE.INC(_xlfn._xlws.FILTER(Graxa!$I:$I,(Graxa!$E:$E='Metas Lubrificantes'!$A5)*(Graxa!$F:$F='Metas Lubrificantes'!$B5)),0.5),"-")</f>
        <v>1</v>
      </c>
      <c r="F5" s="10" cm="1">
        <f t="array" ref="F5">IFERROR(_xlfn.PERCENTILE.INC(_xlfn._xlws.FILTER(Graxa!$I:$I,(Graxa!$E:$E='Metas Lubrificantes'!$A5)*(Graxa!$F:$F='Metas Lubrificantes'!$B5)),0.75),"-")</f>
        <v>1.25</v>
      </c>
      <c r="G5" s="10" cm="1">
        <f t="array" ref="G5">IFERROR(_xlfn.PERCENTILE.INC(_xlfn._xlws.FILTER(Graxa!$I:$I,(Graxa!$E:$E='Metas Lubrificantes'!$A5)*(Graxa!$F:$F='Metas Lubrificantes'!$B5)),0.9),"-")</f>
        <v>1.7000000000000002</v>
      </c>
      <c r="H5" s="10">
        <f>IFERROR(_xlfn.MAXIFS(Graxa!$I:$I,Graxa!$E:$E,'Metas Lubrificantes'!$A5,Graxa!$F:$F,'Metas Lubrificantes'!$B5),"-")</f>
        <v>2</v>
      </c>
      <c r="I5" s="13">
        <f>IFERROR(COUNTIFS(Graxa!$E:$E,'Metas Lubrificantes'!$A5,Graxa!$F:$F,'Metas Lubrificantes'!$B5),"-")</f>
        <v>4</v>
      </c>
      <c r="J5" s="4" t="str">
        <f t="shared" si="0"/>
        <v>MEDIO</v>
      </c>
      <c r="K5" s="10">
        <f t="shared" si="1"/>
        <v>1</v>
      </c>
      <c r="L5" s="10">
        <f t="shared" si="2"/>
        <v>1.1703703703703703</v>
      </c>
      <c r="M5" s="10">
        <f t="shared" si="3"/>
        <v>1</v>
      </c>
      <c r="N5" s="10">
        <f t="shared" si="4"/>
        <v>0.85443037974683556</v>
      </c>
      <c r="O5" s="10">
        <f t="shared" si="5"/>
        <v>1.3166666666666667</v>
      </c>
      <c r="P5" s="10">
        <f t="shared" si="6"/>
        <v>1.125</v>
      </c>
      <c r="Q5" s="10">
        <f>IFERROR(_xlfn.MINIFS(Graxa!$I:$I,Graxa!$E:$E,'Metas Lubrificantes'!$A5,Graxa!$F:$F,'Metas Lubrificantes'!$B5),"-")</f>
        <v>0.5</v>
      </c>
      <c r="R5" s="3" t="s">
        <v>47</v>
      </c>
      <c r="S5" s="10">
        <f>IFERROR(AVERAGEIFS('15W40'!$I:$I,'15W40'!$E:$E,'Metas Lubrificantes'!$A5,'15W40'!$F:$F,'Metas Lubrificantes'!$B5),"-")</f>
        <v>20.25</v>
      </c>
      <c r="T5" s="10" cm="1">
        <f t="array" ref="T5">IFERROR(_xlfn.PERCENTILE.INC(_xlfn._xlws.FILTER('15W40'!$I:$I,('15W40'!$E:$E='Metas Lubrificantes'!$A5)*('15W40'!$F:$F='Metas Lubrificantes'!$B5)),0.5),"-")</f>
        <v>19</v>
      </c>
      <c r="U5" s="10" cm="1">
        <f t="array" ref="U5">IFERROR(_xlfn.PERCENTILE.INC(_xlfn._xlws.FILTER('15W40'!$I:$I,('15W40'!$E:$E='Metas Lubrificantes'!$A5)*('15W40'!$F:$F='Metas Lubrificantes'!$B5)),0.75),"-")</f>
        <v>28.5</v>
      </c>
      <c r="V5" s="10" cm="1">
        <f t="array" ref="V5">IFERROR(_xlfn.PERCENTILE.INC(_xlfn._xlws.FILTER('15W40'!$I:$I,('15W40'!$E:$E='Metas Lubrificantes'!$A5)*('15W40'!$F:$F='Metas Lubrificantes'!$B5)),0.9),"-")</f>
        <v>33</v>
      </c>
      <c r="W5" s="10">
        <f>IFERROR(_xlfn.MAXIFS('15W40'!$I:$I,'15W40'!$E:$E,'Metas Lubrificantes'!$A5,'15W40'!$F:$F,'Metas Lubrificantes'!$B5),"-")</f>
        <v>36</v>
      </c>
      <c r="X5" s="13">
        <f>IFERROR(COUNTIFS('15W40'!$E:$E,'Metas Lubrificantes'!$A5,'15W40'!$F:$F,'Metas Lubrificantes'!$B5),"-")</f>
        <v>4</v>
      </c>
      <c r="Y5" s="4" t="str">
        <f t="shared" si="7"/>
        <v>MEDIO</v>
      </c>
      <c r="Z5" s="10">
        <f t="shared" si="8"/>
        <v>1.1728395061728394</v>
      </c>
      <c r="AA5" s="10">
        <f t="shared" si="9"/>
        <v>1.3251028806584362</v>
      </c>
      <c r="AB5" s="10">
        <f t="shared" si="10"/>
        <v>0.85263157894736852</v>
      </c>
      <c r="AC5" s="10">
        <f t="shared" si="11"/>
        <v>0.75465838509316774</v>
      </c>
      <c r="AD5" s="10">
        <f t="shared" si="12"/>
        <v>26.833333333333332</v>
      </c>
      <c r="AE5" s="10">
        <f t="shared" si="13"/>
        <v>17.265789473684212</v>
      </c>
      <c r="AF5" s="10">
        <f>IFERROR(_xlfn.MINIFS('15W40'!$I:$I,'15W40'!$E:$E,'Metas Lubrificantes'!$A5,'15W40'!$F:$F,'Metas Lubrificantes'!$B5),"-")</f>
        <v>7</v>
      </c>
      <c r="AG5" s="3" t="s">
        <v>48</v>
      </c>
      <c r="AH5" s="10">
        <f>IFERROR(AVERAGEIFS('Hidráulico 68'!$I:$I,'Hidráulico 68'!$E:$E,'Metas Lubrificantes'!$A5,'Hidráulico 68'!$F:$F,'Metas Lubrificantes'!$B5),"-")</f>
        <v>25</v>
      </c>
      <c r="AI5" s="10" cm="1">
        <f t="array" ref="AI5">IFERROR(_xlfn.PERCENTILE.INC(_xlfn._xlws.FILTER('Hidráulico 68'!$I:$I,('Hidráulico 68'!$E:$E='Metas Lubrificantes'!$A5)*('Hidráulico 68'!$F:$F='Metas Lubrificantes'!$B5)),0.5),"-")</f>
        <v>26</v>
      </c>
      <c r="AJ5" s="10" cm="1">
        <f t="array" ref="AJ5">IFERROR(_xlfn.PERCENTILE.INC(_xlfn._xlws.FILTER('Hidráulico 68'!$I:$I,('Hidráulico 68'!$E:$E='Metas Lubrificantes'!$A5)*('Hidráulico 68'!$F:$F='Metas Lubrificantes'!$B5)),0.75),"-")</f>
        <v>26.75</v>
      </c>
      <c r="AK5" s="10" cm="1">
        <f t="array" ref="AK5">IFERROR(_xlfn.PERCENTILE.INC(_xlfn._xlws.FILTER('Hidráulico 68'!$I:$I,('Hidráulico 68'!$E:$E='Metas Lubrificantes'!$A5)*('Hidráulico 68'!$F:$F='Metas Lubrificantes'!$B5)),0.9),"-")</f>
        <v>28.1</v>
      </c>
      <c r="AL5" s="10">
        <f>IFERROR(_xlfn.MAXIFS('Hidráulico 68'!$I:$I,'Hidráulico 68'!$E:$E,'Metas Lubrificantes'!$A5,'Hidráulico 68'!$F:$F,'Metas Lubrificantes'!$B5),"-")</f>
        <v>29</v>
      </c>
      <c r="AM5" s="13">
        <f>IFERROR(COUNTIFS('Hidráulico 68'!$E:$E,'Metas Lubrificantes'!$A5,'Hidráulico 68'!$F:$F,'Metas Lubrificantes'!$B5),"-")</f>
        <v>4</v>
      </c>
      <c r="AN5" s="4" t="str">
        <f t="shared" si="14"/>
        <v>BAIXO</v>
      </c>
      <c r="AO5" s="10">
        <f t="shared" si="15"/>
        <v>1.0550000000000002</v>
      </c>
      <c r="AP5" s="10">
        <f t="shared" si="16"/>
        <v>1.0780000000000001</v>
      </c>
      <c r="AQ5" s="10">
        <f t="shared" si="17"/>
        <v>0.94786729857819896</v>
      </c>
      <c r="AR5" s="10">
        <f t="shared" si="18"/>
        <v>0.92764378478664189</v>
      </c>
      <c r="AS5" s="10">
        <f t="shared" si="19"/>
        <v>26.950000000000003</v>
      </c>
      <c r="AT5" s="10">
        <f t="shared" si="20"/>
        <v>23.696682464454973</v>
      </c>
      <c r="AU5" s="10">
        <f>IFERROR(_xlfn.MINIFS('Hidráulico 68'!$I:$I,'Hidráulico 68'!$E:$E,'Metas Lubrificantes'!$A5,'Hidráulico 68'!$F:$F,'Metas Lubrificantes'!$B5),"-")</f>
        <v>19</v>
      </c>
    </row>
    <row r="6" spans="1:47" x14ac:dyDescent="0.3">
      <c r="A6" s="3" t="s">
        <v>59</v>
      </c>
      <c r="B6" s="4" t="str">
        <f>IFERROR(VLOOKUP(A6,Cadastros!B:D,3,FALSE),"-")</f>
        <v>TRAÇAMENTO</v>
      </c>
      <c r="C6" s="3" t="s">
        <v>46</v>
      </c>
      <c r="D6" s="10">
        <f>IFERROR(AVERAGEIFS(Graxa!$I:$I,Graxa!$E:$E,'Metas Lubrificantes'!$A6,Graxa!$F:$F,'Metas Lubrificantes'!$B6),"-")</f>
        <v>1</v>
      </c>
      <c r="E6" s="10" cm="1">
        <f t="array" ref="E6">IFERROR(_xlfn.PERCENTILE.INC(_xlfn._xlws.FILTER(Graxa!$I:$I,(Graxa!$E:$E='Metas Lubrificantes'!$A6)*(Graxa!$F:$F='Metas Lubrificantes'!$B6)),0.5),"-")</f>
        <v>1</v>
      </c>
      <c r="F6" s="10" cm="1">
        <f t="array" ref="F6">IFERROR(_xlfn.PERCENTILE.INC(_xlfn._xlws.FILTER(Graxa!$I:$I,(Graxa!$E:$E='Metas Lubrificantes'!$A6)*(Graxa!$F:$F='Metas Lubrificantes'!$B6)),0.75),"-")</f>
        <v>1</v>
      </c>
      <c r="G6" s="10" cm="1">
        <f t="array" ref="G6">IFERROR(_xlfn.PERCENTILE.INC(_xlfn._xlws.FILTER(Graxa!$I:$I,(Graxa!$E:$E='Metas Lubrificantes'!$A6)*(Graxa!$F:$F='Metas Lubrificantes'!$B6)),0.9),"-")</f>
        <v>1</v>
      </c>
      <c r="H6" s="10">
        <f>IFERROR(_xlfn.MAXIFS(Graxa!$I:$I,Graxa!$E:$E,'Metas Lubrificantes'!$A6,Graxa!$F:$F,'Metas Lubrificantes'!$B6),"-")</f>
        <v>1</v>
      </c>
      <c r="I6" s="13">
        <f>IFERROR(COUNTIFS(Graxa!$E:$E,'Metas Lubrificantes'!$A6,Graxa!$F:$F,'Metas Lubrificantes'!$B6),"-")</f>
        <v>1</v>
      </c>
      <c r="J6" s="4" t="str">
        <f t="shared" si="0"/>
        <v>-</v>
      </c>
      <c r="K6" s="10">
        <f t="shared" si="1"/>
        <v>1</v>
      </c>
      <c r="L6" s="10">
        <f t="shared" si="2"/>
        <v>1</v>
      </c>
      <c r="M6" s="10">
        <f t="shared" si="3"/>
        <v>1</v>
      </c>
      <c r="N6" s="10">
        <f t="shared" si="4"/>
        <v>1</v>
      </c>
      <c r="O6" s="10">
        <f t="shared" si="5"/>
        <v>1</v>
      </c>
      <c r="P6" s="10">
        <f t="shared" si="6"/>
        <v>1</v>
      </c>
      <c r="Q6" s="10">
        <f>IFERROR(_xlfn.MINIFS(Graxa!$I:$I,Graxa!$E:$E,'Metas Lubrificantes'!$A6,Graxa!$F:$F,'Metas Lubrificantes'!$B6),"-")</f>
        <v>1</v>
      </c>
      <c r="R6" s="3" t="s">
        <v>47</v>
      </c>
      <c r="S6" s="10">
        <f>IFERROR(AVERAGEIFS('15W40'!$I:$I,'15W40'!$E:$E,'Metas Lubrificantes'!$A6,'15W40'!$F:$F,'Metas Lubrificantes'!$B6),"-")</f>
        <v>3</v>
      </c>
      <c r="T6" s="10" cm="1">
        <f t="array" ref="T6">IFERROR(_xlfn.PERCENTILE.INC(_xlfn._xlws.FILTER('15W40'!$I:$I,('15W40'!$E:$E='Metas Lubrificantes'!$A6)*('15W40'!$F:$F='Metas Lubrificantes'!$B6)),0.5),"-")</f>
        <v>3</v>
      </c>
      <c r="U6" s="10" cm="1">
        <f t="array" ref="U6">IFERROR(_xlfn.PERCENTILE.INC(_xlfn._xlws.FILTER('15W40'!$I:$I,('15W40'!$E:$E='Metas Lubrificantes'!$A6)*('15W40'!$F:$F='Metas Lubrificantes'!$B6)),0.75),"-")</f>
        <v>3</v>
      </c>
      <c r="V6" s="10" cm="1">
        <f t="array" ref="V6">IFERROR(_xlfn.PERCENTILE.INC(_xlfn._xlws.FILTER('15W40'!$I:$I,('15W40'!$E:$E='Metas Lubrificantes'!$A6)*('15W40'!$F:$F='Metas Lubrificantes'!$B6)),0.9),"-")</f>
        <v>3</v>
      </c>
      <c r="W6" s="10">
        <f>IFERROR(_xlfn.MAXIFS('15W40'!$I:$I,'15W40'!$E:$E,'Metas Lubrificantes'!$A6,'15W40'!$F:$F,'Metas Lubrificantes'!$B6),"-")</f>
        <v>3</v>
      </c>
      <c r="X6" s="13">
        <f>IFERROR(COUNTIFS('15W40'!$E:$E,'Metas Lubrificantes'!$A6,'15W40'!$F:$F,'Metas Lubrificantes'!$B6),"-")</f>
        <v>1</v>
      </c>
      <c r="Y6" s="4" t="str">
        <f t="shared" si="7"/>
        <v>-</v>
      </c>
      <c r="Z6" s="10">
        <f t="shared" si="8"/>
        <v>1</v>
      </c>
      <c r="AA6" s="10">
        <f t="shared" si="9"/>
        <v>1</v>
      </c>
      <c r="AB6" s="10">
        <f t="shared" si="10"/>
        <v>1</v>
      </c>
      <c r="AC6" s="10">
        <f t="shared" si="11"/>
        <v>1</v>
      </c>
      <c r="AD6" s="10">
        <f t="shared" si="12"/>
        <v>3</v>
      </c>
      <c r="AE6" s="10">
        <f t="shared" si="13"/>
        <v>3</v>
      </c>
      <c r="AF6" s="10">
        <f>IFERROR(_xlfn.MINIFS('15W40'!$I:$I,'15W40'!$E:$E,'Metas Lubrificantes'!$A6,'15W40'!$F:$F,'Metas Lubrificantes'!$B6),"-")</f>
        <v>3</v>
      </c>
      <c r="AG6" s="3" t="s">
        <v>48</v>
      </c>
      <c r="AH6" s="10">
        <f>IFERROR(AVERAGEIFS('Hidráulico 68'!$I:$I,'Hidráulico 68'!$E:$E,'Metas Lubrificantes'!$A6,'Hidráulico 68'!$F:$F,'Metas Lubrificantes'!$B6),"-")</f>
        <v>8</v>
      </c>
      <c r="AI6" s="10" cm="1">
        <f t="array" ref="AI6">IFERROR(_xlfn.PERCENTILE.INC(_xlfn._xlws.FILTER('Hidráulico 68'!$I:$I,('Hidráulico 68'!$E:$E='Metas Lubrificantes'!$A6)*('Hidráulico 68'!$F:$F='Metas Lubrificantes'!$B6)),0.5),"-")</f>
        <v>8</v>
      </c>
      <c r="AJ6" s="10" cm="1">
        <f t="array" ref="AJ6">IFERROR(_xlfn.PERCENTILE.INC(_xlfn._xlws.FILTER('Hidráulico 68'!$I:$I,('Hidráulico 68'!$E:$E='Metas Lubrificantes'!$A6)*('Hidráulico 68'!$F:$F='Metas Lubrificantes'!$B6)),0.75),"-")</f>
        <v>8</v>
      </c>
      <c r="AK6" s="10" cm="1">
        <f t="array" ref="AK6">IFERROR(_xlfn.PERCENTILE.INC(_xlfn._xlws.FILTER('Hidráulico 68'!$I:$I,('Hidráulico 68'!$E:$E='Metas Lubrificantes'!$A6)*('Hidráulico 68'!$F:$F='Metas Lubrificantes'!$B6)),0.9),"-")</f>
        <v>8</v>
      </c>
      <c r="AL6" s="10">
        <f>IFERROR(_xlfn.MAXIFS('Hidráulico 68'!$I:$I,'Hidráulico 68'!$E:$E,'Metas Lubrificantes'!$A6,'Hidráulico 68'!$F:$F,'Metas Lubrificantes'!$B6),"-")</f>
        <v>8</v>
      </c>
      <c r="AM6" s="13">
        <f>IFERROR(COUNTIFS('Hidráulico 68'!$E:$E,'Metas Lubrificantes'!$A6,'Hidráulico 68'!$F:$F,'Metas Lubrificantes'!$B6),"-")</f>
        <v>1</v>
      </c>
      <c r="AN6" s="4" t="str">
        <f t="shared" si="14"/>
        <v>-</v>
      </c>
      <c r="AO6" s="10">
        <f t="shared" si="15"/>
        <v>1</v>
      </c>
      <c r="AP6" s="10">
        <f t="shared" si="16"/>
        <v>1</v>
      </c>
      <c r="AQ6" s="10">
        <f t="shared" si="17"/>
        <v>1</v>
      </c>
      <c r="AR6" s="10">
        <f t="shared" si="18"/>
        <v>1</v>
      </c>
      <c r="AS6" s="10">
        <f t="shared" si="19"/>
        <v>8</v>
      </c>
      <c r="AT6" s="10">
        <f t="shared" si="20"/>
        <v>8</v>
      </c>
      <c r="AU6" s="10">
        <f>IFERROR(_xlfn.MINIFS('Hidráulico 68'!$I:$I,'Hidráulico 68'!$E:$E,'Metas Lubrificantes'!$A6,'Hidráulico 68'!$F:$F,'Metas Lubrificantes'!$B6),"-")</f>
        <v>8</v>
      </c>
    </row>
    <row r="7" spans="1:47" x14ac:dyDescent="0.3">
      <c r="A7" s="3" t="s">
        <v>61</v>
      </c>
      <c r="B7" s="4" t="str">
        <f>IFERROR(VLOOKUP(A7,Cadastros!B:D,3,FALSE),"-")</f>
        <v>TRAÇAMENTO</v>
      </c>
      <c r="C7" s="3" t="s">
        <v>46</v>
      </c>
      <c r="D7" s="10">
        <f>IFERROR(AVERAGEIFS(Graxa!$I:$I,Graxa!$E:$E,'Metas Lubrificantes'!$A7,Graxa!$F:$F,'Metas Lubrificantes'!$B7),"-")</f>
        <v>1</v>
      </c>
      <c r="E7" s="10" cm="1">
        <f t="array" ref="E7">IFERROR(_xlfn.PERCENTILE.INC(_xlfn._xlws.FILTER(Graxa!$I:$I,(Graxa!$E:$E='Metas Lubrificantes'!$A7)*(Graxa!$F:$F='Metas Lubrificantes'!$B7)),0.5),"-")</f>
        <v>1</v>
      </c>
      <c r="F7" s="10" cm="1">
        <f t="array" ref="F7">IFERROR(_xlfn.PERCENTILE.INC(_xlfn._xlws.FILTER(Graxa!$I:$I,(Graxa!$E:$E='Metas Lubrificantes'!$A7)*(Graxa!$F:$F='Metas Lubrificantes'!$B7)),0.75),"-")</f>
        <v>1</v>
      </c>
      <c r="G7" s="10" cm="1">
        <f t="array" ref="G7">IFERROR(_xlfn.PERCENTILE.INC(_xlfn._xlws.FILTER(Graxa!$I:$I,(Graxa!$E:$E='Metas Lubrificantes'!$A7)*(Graxa!$F:$F='Metas Lubrificantes'!$B7)),0.9),"-")</f>
        <v>1</v>
      </c>
      <c r="H7" s="10">
        <f>IFERROR(_xlfn.MAXIFS(Graxa!$I:$I,Graxa!$E:$E,'Metas Lubrificantes'!$A7,Graxa!$F:$F,'Metas Lubrificantes'!$B7),"-")</f>
        <v>1</v>
      </c>
      <c r="I7" s="13">
        <f>IFERROR(COUNTIFS(Graxa!$E:$E,'Metas Lubrificantes'!$A7,Graxa!$F:$F,'Metas Lubrificantes'!$B7),"-")</f>
        <v>2</v>
      </c>
      <c r="J7" s="4" t="str">
        <f t="shared" si="0"/>
        <v>-</v>
      </c>
      <c r="K7" s="10">
        <f t="shared" si="1"/>
        <v>1</v>
      </c>
      <c r="L7" s="10">
        <f t="shared" si="2"/>
        <v>1</v>
      </c>
      <c r="M7" s="10">
        <f t="shared" si="3"/>
        <v>1</v>
      </c>
      <c r="N7" s="10">
        <f t="shared" si="4"/>
        <v>1</v>
      </c>
      <c r="O7" s="10">
        <f t="shared" si="5"/>
        <v>1</v>
      </c>
      <c r="P7" s="10">
        <f t="shared" si="6"/>
        <v>1</v>
      </c>
      <c r="Q7" s="10">
        <f>IFERROR(_xlfn.MINIFS(Graxa!$I:$I,Graxa!$E:$E,'Metas Lubrificantes'!$A7,Graxa!$F:$F,'Metas Lubrificantes'!$B7),"-")</f>
        <v>1</v>
      </c>
      <c r="R7" s="3" t="s">
        <v>47</v>
      </c>
      <c r="S7" s="10">
        <f>IFERROR(AVERAGEIFS('15W40'!$I:$I,'15W40'!$E:$E,'Metas Lubrificantes'!$A7,'15W40'!$F:$F,'Metas Lubrificantes'!$B7),"-")</f>
        <v>7</v>
      </c>
      <c r="T7" s="10" cm="1">
        <f t="array" ref="T7">IFERROR(_xlfn.PERCENTILE.INC(_xlfn._xlws.FILTER('15W40'!$I:$I,('15W40'!$E:$E='Metas Lubrificantes'!$A7)*('15W40'!$F:$F='Metas Lubrificantes'!$B7)),0.5),"-")</f>
        <v>7</v>
      </c>
      <c r="U7" s="10" cm="1">
        <f t="array" ref="U7">IFERROR(_xlfn.PERCENTILE.INC(_xlfn._xlws.FILTER('15W40'!$I:$I,('15W40'!$E:$E='Metas Lubrificantes'!$A7)*('15W40'!$F:$F='Metas Lubrificantes'!$B7)),0.75),"-")</f>
        <v>8.5</v>
      </c>
      <c r="V7" s="10" cm="1">
        <f t="array" ref="V7">IFERROR(_xlfn.PERCENTILE.INC(_xlfn._xlws.FILTER('15W40'!$I:$I,('15W40'!$E:$E='Metas Lubrificantes'!$A7)*('15W40'!$F:$F='Metas Lubrificantes'!$B7)),0.9),"-")</f>
        <v>9.3999999999999986</v>
      </c>
      <c r="W7" s="10">
        <f>IFERROR(_xlfn.MAXIFS('15W40'!$I:$I,'15W40'!$E:$E,'Metas Lubrificantes'!$A7,'15W40'!$F:$F,'Metas Lubrificantes'!$B7),"-")</f>
        <v>10</v>
      </c>
      <c r="X7" s="13">
        <f>IFERROR(COUNTIFS('15W40'!$E:$E,'Metas Lubrificantes'!$A7,'15W40'!$F:$F,'Metas Lubrificantes'!$B7),"-")</f>
        <v>2</v>
      </c>
      <c r="Y7" s="4" t="str">
        <f t="shared" si="7"/>
        <v>MEDIO</v>
      </c>
      <c r="Z7" s="10">
        <f t="shared" si="8"/>
        <v>1.1071428571428572</v>
      </c>
      <c r="AA7" s="10">
        <f t="shared" si="9"/>
        <v>1.1857142857142857</v>
      </c>
      <c r="AB7" s="10">
        <f t="shared" si="10"/>
        <v>0.90322580645161288</v>
      </c>
      <c r="AC7" s="10">
        <f t="shared" si="11"/>
        <v>0.84337349397590367</v>
      </c>
      <c r="AD7" s="10">
        <f t="shared" si="12"/>
        <v>8.3000000000000007</v>
      </c>
      <c r="AE7" s="10">
        <f t="shared" si="13"/>
        <v>6.32258064516129</v>
      </c>
      <c r="AF7" s="10">
        <f>IFERROR(_xlfn.MINIFS('15W40'!$I:$I,'15W40'!$E:$E,'Metas Lubrificantes'!$A7,'15W40'!$F:$F,'Metas Lubrificantes'!$B7),"-")</f>
        <v>4</v>
      </c>
      <c r="AG7" s="3" t="s">
        <v>48</v>
      </c>
      <c r="AH7" s="10">
        <f>IFERROR(AVERAGEIFS('Hidráulico 68'!$I:$I,'Hidráulico 68'!$E:$E,'Metas Lubrificantes'!$A7,'Hidráulico 68'!$F:$F,'Metas Lubrificantes'!$B7),"-")</f>
        <v>24</v>
      </c>
      <c r="AI7" s="10" cm="1">
        <f t="array" ref="AI7">IFERROR(_xlfn.PERCENTILE.INC(_xlfn._xlws.FILTER('Hidráulico 68'!$I:$I,('Hidráulico 68'!$E:$E='Metas Lubrificantes'!$A7)*('Hidráulico 68'!$F:$F='Metas Lubrificantes'!$B7)),0.5),"-")</f>
        <v>24</v>
      </c>
      <c r="AJ7" s="10" cm="1">
        <f t="array" ref="AJ7">IFERROR(_xlfn.PERCENTILE.INC(_xlfn._xlws.FILTER('Hidráulico 68'!$I:$I,('Hidráulico 68'!$E:$E='Metas Lubrificantes'!$A7)*('Hidráulico 68'!$F:$F='Metas Lubrificantes'!$B7)),0.75),"-")</f>
        <v>26.5</v>
      </c>
      <c r="AK7" s="10" cm="1">
        <f t="array" ref="AK7">IFERROR(_xlfn.PERCENTILE.INC(_xlfn._xlws.FILTER('Hidráulico 68'!$I:$I,('Hidráulico 68'!$E:$E='Metas Lubrificantes'!$A7)*('Hidráulico 68'!$F:$F='Metas Lubrificantes'!$B7)),0.9),"-")</f>
        <v>28</v>
      </c>
      <c r="AL7" s="10">
        <f>IFERROR(_xlfn.MAXIFS('Hidráulico 68'!$I:$I,'Hidráulico 68'!$E:$E,'Metas Lubrificantes'!$A7,'Hidráulico 68'!$F:$F,'Metas Lubrificantes'!$B7),"-")</f>
        <v>29</v>
      </c>
      <c r="AM7" s="13">
        <f>IFERROR(COUNTIFS('Hidráulico 68'!$E:$E,'Metas Lubrificantes'!$A7,'Hidráulico 68'!$F:$F,'Metas Lubrificantes'!$B7),"-")</f>
        <v>2</v>
      </c>
      <c r="AN7" s="4" t="str">
        <f t="shared" si="14"/>
        <v>MEDIO</v>
      </c>
      <c r="AO7" s="10">
        <f t="shared" si="15"/>
        <v>1.0520833333333335</v>
      </c>
      <c r="AP7" s="10">
        <f t="shared" si="16"/>
        <v>1.0902777777777779</v>
      </c>
      <c r="AQ7" s="10">
        <f t="shared" si="17"/>
        <v>0.95049504950495034</v>
      </c>
      <c r="AR7" s="10">
        <f t="shared" si="18"/>
        <v>0.91719745222929927</v>
      </c>
      <c r="AS7" s="10">
        <f t="shared" si="19"/>
        <v>26.166666666666671</v>
      </c>
      <c r="AT7" s="10">
        <f t="shared" si="20"/>
        <v>22.811881188118807</v>
      </c>
      <c r="AU7" s="10">
        <f>IFERROR(_xlfn.MINIFS('Hidráulico 68'!$I:$I,'Hidráulico 68'!$E:$E,'Metas Lubrificantes'!$A7,'Hidráulico 68'!$F:$F,'Metas Lubrificantes'!$B7),"-")</f>
        <v>19</v>
      </c>
    </row>
  </sheetData>
  <phoneticPr fontId="4" type="noConversion"/>
  <conditionalFormatting sqref="A1">
    <cfRule type="duplicateValues" dxfId="3" priority="79"/>
  </conditionalFormatting>
  <conditionalFormatting sqref="J1:J1048576 Y1:Y1048576 AN1:AN1048576">
    <cfRule type="cellIs" dxfId="2" priority="19" operator="equal">
      <formula>"BAIXO"</formula>
    </cfRule>
    <cfRule type="cellIs" dxfId="1" priority="20" operator="equal">
      <formula>"MEDIO"</formula>
    </cfRule>
    <cfRule type="cellIs" dxfId="0" priority="21" operator="equal">
      <formula>"ALTO"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6AFD-7F05-40F2-AB65-FCDD2DAD90DA}">
  <sheetPr>
    <tabColor rgb="FFFF0000"/>
  </sheetPr>
  <dimension ref="A1:D8"/>
  <sheetViews>
    <sheetView workbookViewId="0">
      <selection activeCell="A2" sqref="A2:A7"/>
    </sheetView>
  </sheetViews>
  <sheetFormatPr defaultColWidth="9.109375" defaultRowHeight="14.4" x14ac:dyDescent="0.3"/>
  <cols>
    <col min="1" max="1" width="14.88671875" style="2" customWidth="1"/>
    <col min="2" max="2" width="20" style="2" customWidth="1"/>
    <col min="3" max="3" width="14.88671875" style="2" customWidth="1"/>
    <col min="4" max="4" width="22.6640625" style="2" bestFit="1" customWidth="1"/>
    <col min="5" max="16384" width="9.109375" style="3"/>
  </cols>
  <sheetData>
    <row r="1" spans="1:4" s="1" customFormat="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20" customFormat="1" x14ac:dyDescent="0.3">
      <c r="A2" s="22" t="s">
        <v>50</v>
      </c>
      <c r="B2" s="22" t="s">
        <v>51</v>
      </c>
      <c r="C2" s="22" t="s">
        <v>4</v>
      </c>
      <c r="D2" s="22" t="s">
        <v>5</v>
      </c>
    </row>
    <row r="3" spans="1:4" s="20" customFormat="1" ht="15" thickBot="1" x14ac:dyDescent="0.35">
      <c r="A3" s="23" t="s">
        <v>52</v>
      </c>
      <c r="B3" s="23" t="s">
        <v>53</v>
      </c>
      <c r="C3" s="23" t="s">
        <v>4</v>
      </c>
      <c r="D3" s="23" t="s">
        <v>5</v>
      </c>
    </row>
    <row r="4" spans="1:4" s="20" customFormat="1" ht="15" thickTop="1" x14ac:dyDescent="0.3">
      <c r="A4" s="24" t="s">
        <v>54</v>
      </c>
      <c r="B4" s="24" t="s">
        <v>55</v>
      </c>
      <c r="C4" s="24" t="s">
        <v>4</v>
      </c>
      <c r="D4" s="24" t="s">
        <v>6</v>
      </c>
    </row>
    <row r="5" spans="1:4" s="20" customFormat="1" ht="15" thickBot="1" x14ac:dyDescent="0.35">
      <c r="A5" s="23" t="s">
        <v>56</v>
      </c>
      <c r="B5" s="23" t="s">
        <v>57</v>
      </c>
      <c r="C5" s="23" t="s">
        <v>4</v>
      </c>
      <c r="D5" s="23" t="s">
        <v>6</v>
      </c>
    </row>
    <row r="6" spans="1:4" s="20" customFormat="1" ht="15" thickTop="1" x14ac:dyDescent="0.3">
      <c r="A6" s="24" t="s">
        <v>58</v>
      </c>
      <c r="B6" s="24" t="s">
        <v>59</v>
      </c>
      <c r="C6" s="24" t="s">
        <v>4</v>
      </c>
      <c r="D6" s="24" t="s">
        <v>7</v>
      </c>
    </row>
    <row r="7" spans="1:4" s="20" customFormat="1" ht="15" thickBot="1" x14ac:dyDescent="0.35">
      <c r="A7" s="23" t="s">
        <v>60</v>
      </c>
      <c r="B7" s="23" t="s">
        <v>61</v>
      </c>
      <c r="C7" s="23" t="s">
        <v>4</v>
      </c>
      <c r="D7" s="23" t="s">
        <v>7</v>
      </c>
    </row>
    <row r="8" spans="1:4" ht="15" thickTop="1" x14ac:dyDescent="0.3">
      <c r="A8" s="24"/>
      <c r="B8" s="24"/>
      <c r="C8" s="24"/>
      <c r="D8" s="24"/>
    </row>
  </sheetData>
  <autoFilter ref="A1:D1" xr:uid="{47946AFD-7F05-40F2-AB65-FCDD2DAD90D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Diesel</vt:lpstr>
      <vt:lpstr>Graxa</vt:lpstr>
      <vt:lpstr>15W40</vt:lpstr>
      <vt:lpstr>Hidráulico 68</vt:lpstr>
      <vt:lpstr>Metas Diesel</vt:lpstr>
      <vt:lpstr>Metas Lubrificantes</vt:lpstr>
      <vt:lpstr>Cadastros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Aprendiz-Lavras1</dc:creator>
  <cp:lastModifiedBy>Aprendiz Lavras1</cp:lastModifiedBy>
  <dcterms:created xsi:type="dcterms:W3CDTF">2015-06-05T18:19:34Z</dcterms:created>
  <dcterms:modified xsi:type="dcterms:W3CDTF">2026-02-02T12:39:54Z</dcterms:modified>
</cp:coreProperties>
</file>