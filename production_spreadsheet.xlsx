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ortfolio\Programação - Portfólio\Projetos ABR\Planilhas (ABR Indicadores) - LinkedIN\"/>
    </mc:Choice>
  </mc:AlternateContent>
  <xr:revisionPtr revIDLastSave="0" documentId="13_ncr:1_{D301F030-638D-4A0F-90AF-288E022DAAC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DT's" sheetId="1" r:id="rId1"/>
    <sheet name="Estoque" sheetId="6" r:id="rId2"/>
    <sheet name="Controle Estoque" sheetId="7" r:id="rId3"/>
    <sheet name="Cadastro Talhão" sheetId="8" r:id="rId4"/>
    <sheet name="Volume X Ritmo" sheetId="5" r:id="rId5"/>
    <sheet name="VMI" sheetId="9" r:id="rId6"/>
    <sheet name="Metas Produção" sheetId="3" r:id="rId7"/>
    <sheet name="Cadastros" sheetId="4" r:id="rId8"/>
  </sheets>
  <definedNames>
    <definedName name="_xlnm._FilterDatabase" localSheetId="0" hidden="1">'BDT''s'!$A$1:$AJ$25</definedName>
    <definedName name="_xlnm._FilterDatabase" localSheetId="3" hidden="1">'Cadastro Talhão'!$A$1:$Y$7</definedName>
    <definedName name="_xlnm._FilterDatabase" localSheetId="7" hidden="1">Cadastros!$A$1:$D$7</definedName>
    <definedName name="_xlnm._FilterDatabase" localSheetId="2" hidden="1">'Controle Estoque'!$A$1:$P$7</definedName>
    <definedName name="_xlnm._FilterDatabase" localSheetId="1" hidden="1">Estoque!$A$1:$V$7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" i="6" l="1" a="1"/>
  <c r="S2" i="6" s="1"/>
  <c r="N2" i="6" a="1"/>
  <c r="N2" i="6" s="1"/>
  <c r="I2" i="6" a="1"/>
  <c r="I2" i="6" s="1"/>
  <c r="G2" i="6" a="1"/>
  <c r="G2" i="6" s="1"/>
  <c r="D2" i="6" a="1"/>
  <c r="D2" i="6" s="1"/>
  <c r="D3" i="6" l="1" a="1"/>
  <c r="D3" i="6" s="1"/>
  <c r="D4" i="6" a="1"/>
  <c r="D4" i="6" s="1"/>
  <c r="D5" i="6" a="1"/>
  <c r="D5" i="6" s="1"/>
  <c r="D6" i="6" a="1"/>
  <c r="D6" i="6" s="1"/>
  <c r="D7" i="6" a="1"/>
  <c r="D7" i="6" s="1"/>
  <c r="N7" i="8" l="1"/>
  <c r="M7" i="8"/>
  <c r="L7" i="8"/>
  <c r="K7" i="8"/>
  <c r="J7" i="8"/>
  <c r="I7" i="8"/>
  <c r="E7" i="8"/>
  <c r="S4" i="6" l="1" a="1"/>
  <c r="S4" i="6" s="1"/>
  <c r="N4" i="6" a="1"/>
  <c r="N4" i="6" s="1"/>
  <c r="I4" i="6" a="1"/>
  <c r="I4" i="6" s="1"/>
  <c r="G4" i="6" a="1"/>
  <c r="G4" i="6" s="1"/>
  <c r="C4" i="6"/>
  <c r="A4" i="6" s="1"/>
  <c r="S6" i="6" a="1"/>
  <c r="S6" i="6" s="1"/>
  <c r="N6" i="6" a="1"/>
  <c r="N6" i="6" s="1"/>
  <c r="I6" i="6" a="1"/>
  <c r="I6" i="6" s="1"/>
  <c r="G6" i="6" a="1"/>
  <c r="G6" i="6" s="1"/>
  <c r="S5" i="6" a="1"/>
  <c r="S5" i="6" s="1"/>
  <c r="N5" i="6" a="1"/>
  <c r="N5" i="6" s="1"/>
  <c r="I5" i="6" a="1"/>
  <c r="I5" i="6" s="1"/>
  <c r="G5" i="6" a="1"/>
  <c r="G5" i="6" s="1"/>
  <c r="C5" i="6"/>
  <c r="A5" i="6" s="1"/>
  <c r="U5" i="6" l="1"/>
  <c r="P5" i="6"/>
  <c r="T5" i="6"/>
  <c r="Z5" i="6" s="1"/>
  <c r="O5" i="6"/>
  <c r="Y5" i="6" s="1"/>
  <c r="T4" i="6" l="1"/>
  <c r="Z4" i="6" s="1"/>
  <c r="U4" i="6"/>
  <c r="O4" i="6"/>
  <c r="Y4" i="6" s="1"/>
  <c r="P4" i="6"/>
  <c r="J5" i="6" l="1"/>
  <c r="X5" i="6" s="1"/>
  <c r="J4" i="6"/>
  <c r="X4" i="6" s="1"/>
  <c r="S3" i="6" l="1" a="1"/>
  <c r="S3" i="6" s="1"/>
  <c r="N3" i="6" a="1"/>
  <c r="N3" i="6" s="1"/>
  <c r="I3" i="6" a="1"/>
  <c r="I3" i="6" s="1"/>
  <c r="G3" i="6" a="1"/>
  <c r="G3" i="6" s="1"/>
  <c r="C6" i="6" l="1"/>
  <c r="A6" i="6" s="1"/>
  <c r="O6" i="6" l="1"/>
  <c r="Y6" i="6" s="1"/>
  <c r="U6" i="6"/>
  <c r="T6" i="6"/>
  <c r="Z6" i="6" s="1"/>
  <c r="P6" i="6"/>
  <c r="J6" i="6" l="1"/>
  <c r="X6" i="6" s="1"/>
  <c r="S7" i="6" l="1" a="1"/>
  <c r="S7" i="6" s="1"/>
  <c r="N7" i="6" a="1"/>
  <c r="N7" i="6" s="1"/>
  <c r="I7" i="6" a="1"/>
  <c r="I7" i="6" s="1"/>
  <c r="G7" i="6" a="1"/>
  <c r="G7" i="6" s="1"/>
  <c r="X18" i="1" l="1" a="1"/>
  <c r="X18" i="1" s="1"/>
  <c r="E18" i="1" a="1"/>
  <c r="E18" i="1" s="1"/>
  <c r="D18" i="1" a="1"/>
  <c r="D18" i="1" s="1"/>
  <c r="C18" i="1" a="1"/>
  <c r="C18" i="1" s="1"/>
  <c r="B18" i="1"/>
  <c r="A18" i="1"/>
  <c r="T18" i="1" l="1" a="1"/>
  <c r="T18" i="1" s="1"/>
  <c r="F18" i="1"/>
  <c r="X15" i="1" a="1"/>
  <c r="X15" i="1" s="1"/>
  <c r="E15" i="1" a="1"/>
  <c r="E15" i="1" s="1"/>
  <c r="D15" i="1" a="1"/>
  <c r="D15" i="1" s="1"/>
  <c r="C15" i="1" a="1"/>
  <c r="C15" i="1" s="1"/>
  <c r="B15" i="1"/>
  <c r="A15" i="1"/>
  <c r="X12" i="1" a="1"/>
  <c r="X12" i="1" s="1"/>
  <c r="E12" i="1" a="1"/>
  <c r="E12" i="1" s="1"/>
  <c r="D12" i="1" a="1"/>
  <c r="D12" i="1" s="1"/>
  <c r="C12" i="1" a="1"/>
  <c r="C12" i="1" s="1"/>
  <c r="T12" i="1" s="1" a="1"/>
  <c r="T12" i="1" s="1"/>
  <c r="B12" i="1"/>
  <c r="A12" i="1"/>
  <c r="X25" i="1" a="1"/>
  <c r="X25" i="1" s="1"/>
  <c r="E25" i="1" a="1"/>
  <c r="E25" i="1" s="1"/>
  <c r="D25" i="1" a="1"/>
  <c r="D25" i="1" s="1"/>
  <c r="C25" i="1" a="1"/>
  <c r="C25" i="1" s="1"/>
  <c r="B25" i="1"/>
  <c r="A25" i="1"/>
  <c r="X24" i="1" a="1"/>
  <c r="X24" i="1" s="1"/>
  <c r="E24" i="1" a="1"/>
  <c r="E24" i="1" s="1"/>
  <c r="F24" i="1" s="1"/>
  <c r="D24" i="1" a="1"/>
  <c r="D24" i="1" s="1"/>
  <c r="C24" i="1" a="1"/>
  <c r="C24" i="1" s="1"/>
  <c r="B24" i="1"/>
  <c r="A24" i="1"/>
  <c r="X23" i="1" a="1"/>
  <c r="X23" i="1" s="1"/>
  <c r="E23" i="1" a="1"/>
  <c r="E23" i="1" s="1"/>
  <c r="D23" i="1" a="1"/>
  <c r="D23" i="1" s="1"/>
  <c r="C23" i="1" a="1"/>
  <c r="C23" i="1" s="1"/>
  <c r="P23" i="1" s="1"/>
  <c r="B23" i="1"/>
  <c r="A23" i="1"/>
  <c r="X22" i="1" a="1"/>
  <c r="X22" i="1" s="1"/>
  <c r="E22" i="1" a="1"/>
  <c r="E22" i="1" s="1"/>
  <c r="D22" i="1" a="1"/>
  <c r="D22" i="1" s="1"/>
  <c r="C22" i="1" a="1"/>
  <c r="C22" i="1" s="1"/>
  <c r="B22" i="1"/>
  <c r="A22" i="1"/>
  <c r="X21" i="1" a="1"/>
  <c r="X21" i="1" s="1"/>
  <c r="E21" i="1" a="1"/>
  <c r="E21" i="1" s="1"/>
  <c r="F21" i="1" s="1"/>
  <c r="D21" i="1" a="1"/>
  <c r="D21" i="1" s="1"/>
  <c r="C21" i="1" a="1"/>
  <c r="C21" i="1" s="1"/>
  <c r="B21" i="1"/>
  <c r="A21" i="1"/>
  <c r="X20" i="1" a="1"/>
  <c r="X20" i="1" s="1"/>
  <c r="E20" i="1" a="1"/>
  <c r="E20" i="1" s="1"/>
  <c r="F20" i="1" s="1"/>
  <c r="D20" i="1" a="1"/>
  <c r="D20" i="1" s="1"/>
  <c r="C20" i="1" a="1"/>
  <c r="C20" i="1" s="1"/>
  <c r="B20" i="1"/>
  <c r="A20" i="1"/>
  <c r="X19" i="1" a="1"/>
  <c r="X19" i="1" s="1"/>
  <c r="E19" i="1" a="1"/>
  <c r="E19" i="1" s="1"/>
  <c r="F19" i="1" s="1"/>
  <c r="D19" i="1" a="1"/>
  <c r="D19" i="1" s="1"/>
  <c r="C19" i="1" a="1"/>
  <c r="C19" i="1" s="1"/>
  <c r="P19" i="1" s="1"/>
  <c r="B19" i="1"/>
  <c r="A19" i="1"/>
  <c r="X17" i="1" a="1"/>
  <c r="X17" i="1" s="1"/>
  <c r="E17" i="1" a="1"/>
  <c r="E17" i="1" s="1"/>
  <c r="D17" i="1" a="1"/>
  <c r="D17" i="1" s="1"/>
  <c r="C17" i="1" a="1"/>
  <c r="C17" i="1" s="1"/>
  <c r="T17" i="1" s="1" a="1"/>
  <c r="T17" i="1" s="1"/>
  <c r="B17" i="1"/>
  <c r="A17" i="1"/>
  <c r="X16" i="1" a="1"/>
  <c r="X16" i="1" s="1"/>
  <c r="E16" i="1" a="1"/>
  <c r="E16" i="1" s="1"/>
  <c r="D16" i="1" a="1"/>
  <c r="D16" i="1" s="1"/>
  <c r="C16" i="1" a="1"/>
  <c r="C16" i="1" s="1"/>
  <c r="B16" i="1"/>
  <c r="A16" i="1"/>
  <c r="X14" i="1" a="1"/>
  <c r="X14" i="1" s="1"/>
  <c r="E14" i="1" a="1"/>
  <c r="E14" i="1" s="1"/>
  <c r="D14" i="1" a="1"/>
  <c r="D14" i="1" s="1"/>
  <c r="C14" i="1" a="1"/>
  <c r="C14" i="1" s="1"/>
  <c r="B14" i="1"/>
  <c r="A14" i="1"/>
  <c r="X13" i="1" a="1"/>
  <c r="X13" i="1" s="1"/>
  <c r="E13" i="1" a="1"/>
  <c r="E13" i="1" s="1"/>
  <c r="F13" i="1" s="1"/>
  <c r="D13" i="1" a="1"/>
  <c r="D13" i="1" s="1"/>
  <c r="C13" i="1" a="1"/>
  <c r="C13" i="1" s="1"/>
  <c r="T13" i="1" s="1" a="1"/>
  <c r="T13" i="1" s="1"/>
  <c r="B13" i="1"/>
  <c r="A13" i="1"/>
  <c r="X11" i="1" a="1"/>
  <c r="X11" i="1" s="1"/>
  <c r="E11" i="1" a="1"/>
  <c r="E11" i="1" s="1"/>
  <c r="F11" i="1" s="1"/>
  <c r="D11" i="1" a="1"/>
  <c r="D11" i="1" s="1"/>
  <c r="C11" i="1" a="1"/>
  <c r="C11" i="1" s="1"/>
  <c r="B11" i="1"/>
  <c r="A11" i="1"/>
  <c r="X10" i="1" a="1"/>
  <c r="X10" i="1" s="1"/>
  <c r="E10" i="1" a="1"/>
  <c r="E10" i="1" s="1"/>
  <c r="D10" i="1" a="1"/>
  <c r="D10" i="1" s="1"/>
  <c r="C10" i="1" a="1"/>
  <c r="C10" i="1" s="1"/>
  <c r="B10" i="1"/>
  <c r="A10" i="1"/>
  <c r="X9" i="1" a="1"/>
  <c r="X9" i="1" s="1"/>
  <c r="E9" i="1" a="1"/>
  <c r="E9" i="1" s="1"/>
  <c r="D9" i="1" a="1"/>
  <c r="D9" i="1" s="1"/>
  <c r="C9" i="1" a="1"/>
  <c r="C9" i="1" s="1"/>
  <c r="T9" i="1" s="1" a="1"/>
  <c r="T9" i="1" s="1"/>
  <c r="B9" i="1"/>
  <c r="A9" i="1"/>
  <c r="X8" i="1" a="1"/>
  <c r="X8" i="1" s="1"/>
  <c r="E8" i="1" a="1"/>
  <c r="E8" i="1" s="1"/>
  <c r="F8" i="1" s="1"/>
  <c r="D8" i="1" a="1"/>
  <c r="D8" i="1" s="1"/>
  <c r="C8" i="1" a="1"/>
  <c r="C8" i="1" s="1"/>
  <c r="B8" i="1"/>
  <c r="A8" i="1"/>
  <c r="X7" i="1" a="1"/>
  <c r="X7" i="1" s="1"/>
  <c r="E7" i="1" a="1"/>
  <c r="E7" i="1" s="1"/>
  <c r="D7" i="1" a="1"/>
  <c r="D7" i="1" s="1"/>
  <c r="C7" i="1" a="1"/>
  <c r="C7" i="1" s="1"/>
  <c r="B7" i="1"/>
  <c r="A7" i="1"/>
  <c r="X6" i="1" a="1"/>
  <c r="X6" i="1" s="1"/>
  <c r="E6" i="1" a="1"/>
  <c r="E6" i="1" s="1"/>
  <c r="F6" i="1" s="1"/>
  <c r="D6" i="1" a="1"/>
  <c r="D6" i="1" s="1"/>
  <c r="C6" i="1" a="1"/>
  <c r="C6" i="1" s="1"/>
  <c r="T6" i="1" s="1" a="1"/>
  <c r="T6" i="1" s="1"/>
  <c r="B6" i="1"/>
  <c r="A6" i="1"/>
  <c r="X5" i="1" a="1"/>
  <c r="X5" i="1" s="1"/>
  <c r="E5" i="1" a="1"/>
  <c r="E5" i="1" s="1"/>
  <c r="D5" i="1" a="1"/>
  <c r="D5" i="1" s="1"/>
  <c r="C5" i="1" a="1"/>
  <c r="C5" i="1" s="1"/>
  <c r="B5" i="1"/>
  <c r="A5" i="1"/>
  <c r="X4" i="1" a="1"/>
  <c r="X4" i="1" s="1"/>
  <c r="E4" i="1" a="1"/>
  <c r="E4" i="1" s="1"/>
  <c r="D4" i="1" a="1"/>
  <c r="D4" i="1" s="1"/>
  <c r="C4" i="1" a="1"/>
  <c r="C4" i="1" s="1"/>
  <c r="B4" i="1"/>
  <c r="C3" i="6" s="1"/>
  <c r="A3" i="6" s="1"/>
  <c r="A4" i="1"/>
  <c r="X3" i="1" a="1"/>
  <c r="X3" i="1" s="1"/>
  <c r="E3" i="1" a="1"/>
  <c r="E3" i="1" s="1"/>
  <c r="D3" i="1" a="1"/>
  <c r="D3" i="1" s="1"/>
  <c r="C3" i="1" a="1"/>
  <c r="C3" i="1" s="1"/>
  <c r="B3" i="1"/>
  <c r="A3" i="1"/>
  <c r="X2" i="1" a="1"/>
  <c r="X2" i="1" s="1"/>
  <c r="E2" i="1" a="1"/>
  <c r="E2" i="1" s="1"/>
  <c r="F2" i="1" s="1"/>
  <c r="D2" i="1" a="1"/>
  <c r="D2" i="1" s="1"/>
  <c r="C2" i="1" a="1"/>
  <c r="C2" i="1" s="1"/>
  <c r="B2" i="1"/>
  <c r="A2" i="1"/>
  <c r="C2" i="6" l="1"/>
  <c r="A2" i="6" s="1"/>
  <c r="P18" i="1"/>
  <c r="P15" i="1"/>
  <c r="F12" i="1"/>
  <c r="F15" i="1"/>
  <c r="T15" i="1" a="1"/>
  <c r="T15" i="1" s="1"/>
  <c r="P12" i="1"/>
  <c r="P14" i="1"/>
  <c r="T14" i="1" a="1"/>
  <c r="T14" i="1" s="1"/>
  <c r="T4" i="1" a="1"/>
  <c r="T4" i="1" s="1"/>
  <c r="P4" i="1"/>
  <c r="T23" i="1" a="1"/>
  <c r="T23" i="1" s="1"/>
  <c r="T10" i="1" a="1"/>
  <c r="T10" i="1" s="1"/>
  <c r="P10" i="1"/>
  <c r="T19" i="1" a="1"/>
  <c r="T19" i="1" s="1"/>
  <c r="F10" i="1"/>
  <c r="T7" i="1" a="1"/>
  <c r="T7" i="1" s="1"/>
  <c r="P7" i="1"/>
  <c r="T8" i="1" a="1"/>
  <c r="T8" i="1" s="1"/>
  <c r="P8" i="1"/>
  <c r="P3" i="1"/>
  <c r="T3" i="1" a="1"/>
  <c r="T3" i="1" s="1"/>
  <c r="F5" i="1"/>
  <c r="F3" i="1"/>
  <c r="F7" i="1"/>
  <c r="F4" i="1"/>
  <c r="P2" i="1"/>
  <c r="T2" i="1" a="1"/>
  <c r="T2" i="1" s="1"/>
  <c r="T5" i="1" a="1"/>
  <c r="T5" i="1" s="1"/>
  <c r="P5" i="1"/>
  <c r="T11" i="1" a="1"/>
  <c r="T11" i="1" s="1"/>
  <c r="P11" i="1"/>
  <c r="F16" i="1"/>
  <c r="P9" i="1"/>
  <c r="P13" i="1"/>
  <c r="T22" i="1" a="1"/>
  <c r="T22" i="1" s="1"/>
  <c r="P22" i="1"/>
  <c r="T24" i="1" a="1"/>
  <c r="T24" i="1" s="1"/>
  <c r="P24" i="1"/>
  <c r="P6" i="1"/>
  <c r="F14" i="1"/>
  <c r="F17" i="1"/>
  <c r="T21" i="1" a="1"/>
  <c r="T21" i="1" s="1"/>
  <c r="P21" i="1"/>
  <c r="F22" i="1"/>
  <c r="F9" i="1"/>
  <c r="P17" i="1"/>
  <c r="P25" i="1"/>
  <c r="T25" i="1" a="1"/>
  <c r="T25" i="1" s="1"/>
  <c r="P16" i="1"/>
  <c r="T16" i="1" a="1"/>
  <c r="T16" i="1" s="1"/>
  <c r="T20" i="1" a="1"/>
  <c r="T20" i="1" s="1"/>
  <c r="P20" i="1"/>
  <c r="F23" i="1"/>
  <c r="F25" i="1"/>
  <c r="A1" i="5" l="1" a="1"/>
  <c r="AA4" i="5" l="1"/>
  <c r="AF3" i="5"/>
  <c r="AG3" i="5"/>
  <c r="AF4" i="5"/>
  <c r="AB4" i="5"/>
  <c r="AA3" i="5"/>
  <c r="AG4" i="5"/>
  <c r="AB3" i="5"/>
  <c r="V3" i="5"/>
  <c r="V4" i="5"/>
  <c r="W3" i="5"/>
  <c r="W4" i="5"/>
  <c r="L3" i="5"/>
  <c r="L4" i="5"/>
  <c r="M3" i="5"/>
  <c r="M4" i="5"/>
  <c r="Q3" i="5"/>
  <c r="Q4" i="5"/>
  <c r="R4" i="5"/>
  <c r="R3" i="5"/>
  <c r="E4" i="5"/>
  <c r="I3" i="5"/>
  <c r="A1" i="5"/>
  <c r="I4" i="5"/>
  <c r="B2" i="5"/>
  <c r="C2" i="5" s="1"/>
  <c r="E3" i="5"/>
  <c r="B4" i="5"/>
  <c r="C4" i="5" s="1"/>
  <c r="F2" i="5"/>
  <c r="E2" i="5"/>
  <c r="B3" i="5"/>
  <c r="C3" i="5" s="1"/>
  <c r="F4" i="5"/>
  <c r="F3" i="5"/>
  <c r="H3" i="5"/>
  <c r="B1" i="7" a="1"/>
  <c r="B1" i="7" s="1"/>
  <c r="A1" i="7" a="1"/>
  <c r="G3" i="7" l="1" a="1"/>
  <c r="G3" i="7" s="1"/>
  <c r="F6" i="7" a="1"/>
  <c r="F6" i="7" s="1"/>
  <c r="G4" i="7" a="1"/>
  <c r="G4" i="7" s="1"/>
  <c r="G5" i="7" a="1"/>
  <c r="G5" i="7" s="1"/>
  <c r="G2" i="7" a="1"/>
  <c r="G2" i="7" s="1"/>
  <c r="F7" i="7" a="1"/>
  <c r="F7" i="7" s="1"/>
  <c r="G6" i="7" a="1"/>
  <c r="G6" i="7" s="1"/>
  <c r="F3" i="7" a="1"/>
  <c r="F3" i="7" s="1"/>
  <c r="G7" i="7" a="1"/>
  <c r="G7" i="7" s="1"/>
  <c r="F4" i="7" a="1"/>
  <c r="F4" i="7" s="1"/>
  <c r="F5" i="7" a="1"/>
  <c r="F5" i="7" s="1"/>
  <c r="C7" i="7" a="1"/>
  <c r="C7" i="7" s="1"/>
  <c r="D7" i="7" s="1"/>
  <c r="E7" i="7" s="1"/>
  <c r="C3" i="7" a="1"/>
  <c r="C3" i="7" s="1"/>
  <c r="D3" i="7" s="1"/>
  <c r="E3" i="7" s="1"/>
  <c r="C4" i="7" a="1"/>
  <c r="C4" i="7" s="1"/>
  <c r="D4" i="7" s="1"/>
  <c r="E4" i="7" s="1"/>
  <c r="C5" i="7" a="1"/>
  <c r="C5" i="7" s="1"/>
  <c r="D5" i="7" s="1"/>
  <c r="E5" i="7" s="1"/>
  <c r="F2" i="7" a="1"/>
  <c r="F2" i="7" s="1"/>
  <c r="C6" i="7" a="1"/>
  <c r="C6" i="7" s="1"/>
  <c r="D6" i="7" s="1"/>
  <c r="E6" i="7" s="1"/>
  <c r="C2" i="7" a="1"/>
  <c r="C2" i="7" s="1"/>
  <c r="D2" i="7" s="1"/>
  <c r="E2" i="7" s="1"/>
  <c r="J4" i="5"/>
  <c r="AC4" i="5"/>
  <c r="AJ3" i="5"/>
  <c r="AK3" i="5" s="1"/>
  <c r="AJ4" i="5"/>
  <c r="AC3" i="5"/>
  <c r="J3" i="5"/>
  <c r="AD3" i="5"/>
  <c r="AD4" i="5"/>
  <c r="D2" i="5"/>
  <c r="D3" i="5"/>
  <c r="T4" i="5"/>
  <c r="D4" i="5"/>
  <c r="N3" i="5"/>
  <c r="O3" i="5" s="1"/>
  <c r="S4" i="5"/>
  <c r="S3" i="5"/>
  <c r="K3" i="5"/>
  <c r="T3" i="5"/>
  <c r="A1" i="7"/>
  <c r="I6" i="7"/>
  <c r="J6" i="7" s="1"/>
  <c r="O4" i="7"/>
  <c r="P4" i="7" s="1"/>
  <c r="L4" i="7"/>
  <c r="M4" i="7" s="1"/>
  <c r="I4" i="7"/>
  <c r="J4" i="7" s="1"/>
  <c r="O5" i="7"/>
  <c r="P5" i="7" s="1"/>
  <c r="L5" i="7"/>
  <c r="M5" i="7" s="1"/>
  <c r="I5" i="7"/>
  <c r="J5" i="7" s="1"/>
  <c r="L6" i="7"/>
  <c r="M6" i="7" s="1"/>
  <c r="O6" i="7"/>
  <c r="P6" i="7" s="1"/>
  <c r="AK4" i="5" l="1"/>
  <c r="N4" i="8"/>
  <c r="N5" i="8"/>
  <c r="N6" i="8"/>
  <c r="L4" i="8"/>
  <c r="L5" i="8"/>
  <c r="L6" i="8"/>
  <c r="J4" i="8"/>
  <c r="J5" i="8"/>
  <c r="J6" i="8"/>
  <c r="M4" i="8"/>
  <c r="M5" i="8"/>
  <c r="M6" i="8"/>
  <c r="K4" i="8"/>
  <c r="K5" i="8"/>
  <c r="K6" i="8"/>
  <c r="I4" i="8"/>
  <c r="I5" i="8"/>
  <c r="I6" i="8"/>
  <c r="E5" i="8"/>
  <c r="E6" i="8"/>
  <c r="E2" i="8" l="1"/>
  <c r="E4" i="8"/>
  <c r="E3" i="8"/>
  <c r="B2" i="3" l="1"/>
  <c r="B3" i="3"/>
  <c r="B4" i="3"/>
  <c r="B5" i="3"/>
  <c r="B6" i="3"/>
  <c r="B7" i="3"/>
  <c r="K18" i="1" l="1"/>
  <c r="L18" i="1" s="1"/>
  <c r="AJ18" i="1" s="1" a="1"/>
  <c r="AJ18" i="1" s="1"/>
  <c r="K12" i="1"/>
  <c r="L12" i="1" s="1"/>
  <c r="AJ12" i="1" s="1" a="1"/>
  <c r="AJ12" i="1" s="1"/>
  <c r="AI12" i="1" s="1" a="1"/>
  <c r="AI12" i="1" s="1"/>
  <c r="K25" i="1"/>
  <c r="L25" i="1" s="1"/>
  <c r="AJ25" i="1" s="1" a="1"/>
  <c r="AJ25" i="1" s="1"/>
  <c r="AI25" i="1" s="1" a="1"/>
  <c r="AI25" i="1" s="1"/>
  <c r="K16" i="1"/>
  <c r="L16" i="1" s="1"/>
  <c r="K6" i="1"/>
  <c r="L6" i="1" s="1"/>
  <c r="AJ6" i="1" s="1" a="1"/>
  <c r="AJ6" i="1" s="1"/>
  <c r="K17" i="1"/>
  <c r="L17" i="1" s="1"/>
  <c r="K7" i="1"/>
  <c r="L7" i="1" s="1"/>
  <c r="AJ7" i="1" s="1" a="1"/>
  <c r="AJ7" i="1" s="1"/>
  <c r="K8" i="1"/>
  <c r="L8" i="1" s="1"/>
  <c r="AJ8" i="1" s="1" a="1"/>
  <c r="AJ8" i="1" s="1"/>
  <c r="AI8" i="1" s="1" a="1"/>
  <c r="AI8" i="1" s="1"/>
  <c r="K9" i="1"/>
  <c r="L9" i="1" s="1"/>
  <c r="AJ9" i="1" s="1" a="1"/>
  <c r="AJ9" i="1" s="1"/>
  <c r="AI9" i="1" s="1" a="1"/>
  <c r="AI9" i="1" s="1"/>
  <c r="K19" i="1"/>
  <c r="L19" i="1" s="1"/>
  <c r="AJ19" i="1" s="1" a="1"/>
  <c r="AJ19" i="1" s="1"/>
  <c r="AI19" i="1" s="1" a="1"/>
  <c r="AI19" i="1" s="1"/>
  <c r="K20" i="1"/>
  <c r="L20" i="1" s="1"/>
  <c r="AJ20" i="1" s="1" a="1"/>
  <c r="AJ20" i="1" s="1"/>
  <c r="AI20" i="1" s="1" a="1"/>
  <c r="AI20" i="1" s="1"/>
  <c r="K15" i="1"/>
  <c r="L15" i="1" s="1"/>
  <c r="AJ15" i="1" s="1" a="1"/>
  <c r="AJ15" i="1" s="1"/>
  <c r="AI15" i="1" s="1" a="1"/>
  <c r="AI15" i="1" s="1"/>
  <c r="K21" i="1"/>
  <c r="L21" i="1" s="1"/>
  <c r="AJ21" i="1" s="1" a="1"/>
  <c r="AJ21" i="1" s="1"/>
  <c r="AI21" i="1" s="1" a="1"/>
  <c r="AI21" i="1" s="1"/>
  <c r="K10" i="1"/>
  <c r="L10" i="1" s="1"/>
  <c r="AJ10" i="1" s="1" a="1"/>
  <c r="AJ10" i="1" s="1"/>
  <c r="AI10" i="1" s="1" a="1"/>
  <c r="AI10" i="1" s="1"/>
  <c r="K2" i="1"/>
  <c r="L2" i="1" s="1"/>
  <c r="K22" i="1"/>
  <c r="L22" i="1" s="1"/>
  <c r="AJ22" i="1" s="1" a="1"/>
  <c r="AJ22" i="1" s="1"/>
  <c r="AI22" i="1" s="1" a="1"/>
  <c r="AI22" i="1" s="1"/>
  <c r="K11" i="1"/>
  <c r="L11" i="1" s="1"/>
  <c r="AJ11" i="1" s="1" a="1"/>
  <c r="AJ11" i="1" s="1"/>
  <c r="AI11" i="1" s="1" a="1"/>
  <c r="AI11" i="1" s="1"/>
  <c r="K3" i="1"/>
  <c r="L3" i="1" s="1"/>
  <c r="AJ3" i="1" s="1" a="1"/>
  <c r="AJ3" i="1" s="1"/>
  <c r="K23" i="1"/>
  <c r="L23" i="1" s="1"/>
  <c r="AJ23" i="1" s="1" a="1"/>
  <c r="AJ23" i="1" s="1"/>
  <c r="AI23" i="1" s="1" a="1"/>
  <c r="AI23" i="1" s="1"/>
  <c r="K13" i="1"/>
  <c r="L13" i="1" s="1"/>
  <c r="K4" i="1"/>
  <c r="L4" i="1" s="1"/>
  <c r="K24" i="1"/>
  <c r="L24" i="1" s="1"/>
  <c r="AJ24" i="1" s="1" a="1"/>
  <c r="AJ24" i="1" s="1"/>
  <c r="AI24" i="1" s="1" a="1"/>
  <c r="AI24" i="1" s="1"/>
  <c r="K14" i="1"/>
  <c r="L14" i="1" s="1"/>
  <c r="K5" i="1"/>
  <c r="L5" i="1" s="1"/>
  <c r="AJ5" i="1" s="1" a="1"/>
  <c r="AJ5" i="1" s="1"/>
  <c r="C7" i="6"/>
  <c r="A7" i="6" s="1"/>
  <c r="AJ2" i="1" l="1" a="1"/>
  <c r="AJ2" i="1" s="1"/>
  <c r="AI2" i="1" s="1" a="1"/>
  <c r="AI2" i="1" s="1"/>
  <c r="W2" i="5"/>
  <c r="V2" i="5"/>
  <c r="AF2" i="5"/>
  <c r="M2" i="5"/>
  <c r="AG2" i="5"/>
  <c r="L2" i="5"/>
  <c r="L2" i="8"/>
  <c r="I2" i="8"/>
  <c r="N2" i="8"/>
  <c r="J2" i="8"/>
  <c r="M2" i="8"/>
  <c r="K2" i="8"/>
  <c r="AJ4" i="1" a="1"/>
  <c r="AJ4" i="1" s="1"/>
  <c r="AI4" i="1" s="1" a="1"/>
  <c r="AI4" i="1" s="1"/>
  <c r="AJ14" i="1" a="1"/>
  <c r="AJ14" i="1" s="1"/>
  <c r="AG14" i="1"/>
  <c r="AI6" i="1" a="1"/>
  <c r="AI6" i="1" s="1"/>
  <c r="V6" i="1"/>
  <c r="AJ16" i="1" a="1"/>
  <c r="AJ16" i="1" s="1"/>
  <c r="AG16" i="1"/>
  <c r="AI18" i="1" a="1"/>
  <c r="AI18" i="1" s="1"/>
  <c r="V18" i="1"/>
  <c r="V5" i="1"/>
  <c r="AI5" i="1" a="1"/>
  <c r="AI5" i="1" s="1"/>
  <c r="AG13" i="1"/>
  <c r="AJ13" i="1" a="1"/>
  <c r="AJ13" i="1" s="1"/>
  <c r="AI7" i="1" a="1"/>
  <c r="AI7" i="1" s="1"/>
  <c r="V7" i="1"/>
  <c r="AJ17" i="1" a="1"/>
  <c r="AJ17" i="1" s="1"/>
  <c r="AG17" i="1"/>
  <c r="AI3" i="1" a="1"/>
  <c r="AI3" i="1" s="1"/>
  <c r="Q18" i="1"/>
  <c r="S18" i="1" s="1"/>
  <c r="W18" i="1" s="1"/>
  <c r="S10" i="1"/>
  <c r="W10" i="1" s="1"/>
  <c r="S8" i="1"/>
  <c r="W8" i="1" s="1"/>
  <c r="Q17" i="1"/>
  <c r="S17" i="1" s="1"/>
  <c r="W17" i="1" s="1"/>
  <c r="S4" i="1"/>
  <c r="W4" i="1" s="1"/>
  <c r="Q21" i="1"/>
  <c r="S21" i="1" s="1"/>
  <c r="W21" i="1" s="1"/>
  <c r="Q20" i="1"/>
  <c r="S20" i="1" s="1"/>
  <c r="W20" i="1" s="1"/>
  <c r="Q19" i="1"/>
  <c r="S19" i="1" s="1"/>
  <c r="W19" i="1" s="1"/>
  <c r="Q14" i="1"/>
  <c r="S14" i="1" s="1"/>
  <c r="W14" i="1" s="1"/>
  <c r="Q13" i="1"/>
  <c r="S13" i="1" s="1"/>
  <c r="S6" i="1"/>
  <c r="W6" i="1" s="1"/>
  <c r="Q24" i="1"/>
  <c r="S24" i="1" s="1"/>
  <c r="W24" i="1" s="1"/>
  <c r="Q23" i="1"/>
  <c r="S23" i="1" s="1"/>
  <c r="W23" i="1" s="1"/>
  <c r="Q3" i="1"/>
  <c r="S3" i="1" s="1"/>
  <c r="W3" i="1" s="1"/>
  <c r="Q11" i="1"/>
  <c r="S11" i="1" s="1"/>
  <c r="W11" i="1" s="1"/>
  <c r="Q9" i="1"/>
  <c r="S9" i="1" s="1"/>
  <c r="W9" i="1" s="1"/>
  <c r="Q22" i="1"/>
  <c r="S22" i="1" s="1"/>
  <c r="W22" i="1" s="1"/>
  <c r="S2" i="1"/>
  <c r="W2" i="1" s="1"/>
  <c r="Q16" i="1"/>
  <c r="S16" i="1" s="1"/>
  <c r="W16" i="1" s="1"/>
  <c r="S12" i="1"/>
  <c r="W12" i="1" s="1"/>
  <c r="Q15" i="1"/>
  <c r="S15" i="1" s="1"/>
  <c r="W15" i="1" s="1"/>
  <c r="Q7" i="1"/>
  <c r="S7" i="1" s="1"/>
  <c r="W7" i="1" s="1"/>
  <c r="Q25" i="1"/>
  <c r="S25" i="1" s="1"/>
  <c r="W25" i="1" s="1"/>
  <c r="Q5" i="1"/>
  <c r="S5" i="1" s="1"/>
  <c r="W5" i="1" s="1"/>
  <c r="V4" i="1" l="1"/>
  <c r="Q2" i="5"/>
  <c r="U3" i="6"/>
  <c r="K2" i="6"/>
  <c r="K3" i="6"/>
  <c r="U2" i="6"/>
  <c r="H2" i="5"/>
  <c r="N2" i="5" s="1"/>
  <c r="O2" i="5" s="1"/>
  <c r="AA2" i="5"/>
  <c r="Y5" i="1" a="1"/>
  <c r="Y5" i="1" s="1"/>
  <c r="AH5" i="1" a="1"/>
  <c r="AH5" i="1" s="1"/>
  <c r="Y7" i="1" a="1"/>
  <c r="Y7" i="1" s="1"/>
  <c r="AH7" i="1" a="1"/>
  <c r="AH7" i="1" s="1"/>
  <c r="V16" i="1"/>
  <c r="AI16" i="1" a="1"/>
  <c r="AI16" i="1" s="1"/>
  <c r="Y6" i="1" a="1"/>
  <c r="Y6" i="1" s="1"/>
  <c r="AH6" i="1" a="1"/>
  <c r="AH6" i="1" s="1"/>
  <c r="Y4" i="1" a="1"/>
  <c r="Y4" i="1" s="1"/>
  <c r="AH4" i="1" a="1"/>
  <c r="AH4" i="1" s="1"/>
  <c r="V17" i="1"/>
  <c r="AI17" i="1" a="1"/>
  <c r="AI17" i="1" s="1"/>
  <c r="Y18" i="1" a="1"/>
  <c r="Y18" i="1" s="1"/>
  <c r="AH18" i="1" a="1"/>
  <c r="AH18" i="1" s="1"/>
  <c r="AI14" i="1" a="1"/>
  <c r="AI14" i="1" s="1"/>
  <c r="V14" i="1"/>
  <c r="AI13" i="1" a="1"/>
  <c r="AI13" i="1" s="1"/>
  <c r="V13" i="1"/>
  <c r="P2" i="6"/>
  <c r="H4" i="5"/>
  <c r="K4" i="6"/>
  <c r="K5" i="6"/>
  <c r="K6" i="6"/>
  <c r="P3" i="6"/>
  <c r="U7" i="6"/>
  <c r="J7" i="6"/>
  <c r="T7" i="6"/>
  <c r="K7" i="6"/>
  <c r="AG18" i="1"/>
  <c r="AG24" i="1"/>
  <c r="AG23" i="1"/>
  <c r="AG25" i="1"/>
  <c r="AG21" i="1"/>
  <c r="AG22" i="1"/>
  <c r="AG15" i="1"/>
  <c r="AG20" i="1"/>
  <c r="AG19" i="1"/>
  <c r="AG12" i="1"/>
  <c r="W13" i="1"/>
  <c r="Y7" i="3" s="1"/>
  <c r="AG11" i="1"/>
  <c r="AG10" i="1"/>
  <c r="AG8" i="1"/>
  <c r="AG9" i="1"/>
  <c r="AG5" i="1"/>
  <c r="AG4" i="1"/>
  <c r="AG6" i="1"/>
  <c r="AG7" i="1"/>
  <c r="AG3" i="1"/>
  <c r="AG2" i="1"/>
  <c r="V3" i="1" s="1"/>
  <c r="AO2" i="3"/>
  <c r="AK2" i="3"/>
  <c r="BA2" i="3"/>
  <c r="U2" i="3"/>
  <c r="AS2" i="3"/>
  <c r="U4" i="3"/>
  <c r="AC4" i="3"/>
  <c r="AW7" i="3"/>
  <c r="I3" i="8"/>
  <c r="K3" i="8"/>
  <c r="N3" i="8"/>
  <c r="L3" i="8"/>
  <c r="J3" i="8"/>
  <c r="M3" i="8"/>
  <c r="M3" i="3"/>
  <c r="AW4" i="3"/>
  <c r="AO4" i="3"/>
  <c r="AW3" i="3"/>
  <c r="Q2" i="3"/>
  <c r="M2" i="3"/>
  <c r="AW2" i="3"/>
  <c r="AC2" i="3"/>
  <c r="AG2" i="3"/>
  <c r="G2" i="3"/>
  <c r="AB2" i="9"/>
  <c r="AA94" i="9"/>
  <c r="BA3" i="3"/>
  <c r="AO3" i="3"/>
  <c r="AA3" i="9"/>
  <c r="X33" i="9"/>
  <c r="AC33" i="9" s="1"/>
  <c r="X60" i="9"/>
  <c r="AC60" i="9" s="1"/>
  <c r="BA4" i="3"/>
  <c r="Y2" i="9" a="1"/>
  <c r="Y2" i="9" s="1"/>
  <c r="AB66" i="9"/>
  <c r="AB21" i="9"/>
  <c r="AB65" i="9"/>
  <c r="X37" i="9"/>
  <c r="AC37" i="9" s="1"/>
  <c r="AB56" i="9"/>
  <c r="AA70" i="9"/>
  <c r="X21" i="9"/>
  <c r="AC21" i="9" s="1"/>
  <c r="AB10" i="9"/>
  <c r="AA59" i="9"/>
  <c r="AA81" i="9"/>
  <c r="M4" i="3"/>
  <c r="AB70" i="9"/>
  <c r="AB53" i="9"/>
  <c r="AG5" i="3"/>
  <c r="X48" i="9"/>
  <c r="AC48" i="9" s="1"/>
  <c r="AB16" i="9"/>
  <c r="AA100" i="9"/>
  <c r="AB82" i="9"/>
  <c r="AB33" i="9"/>
  <c r="AB69" i="9"/>
  <c r="AA28" i="9"/>
  <c r="AB3" i="9"/>
  <c r="AA61" i="9"/>
  <c r="AB62" i="9"/>
  <c r="X2" i="9"/>
  <c r="AC2" i="9" s="1"/>
  <c r="X89" i="9"/>
  <c r="AC89" i="9" s="1"/>
  <c r="Q4" i="3"/>
  <c r="Y83" i="9" a="1"/>
  <c r="Y83" i="9" s="1"/>
  <c r="X79" i="9"/>
  <c r="AC79" i="9" s="1"/>
  <c r="AA99" i="9"/>
  <c r="AB84" i="9"/>
  <c r="AB17" i="9"/>
  <c r="X12" i="9"/>
  <c r="X72" i="9"/>
  <c r="AC72" i="9" s="1"/>
  <c r="AB25" i="9"/>
  <c r="AA13" i="9"/>
  <c r="X10" i="9"/>
  <c r="AA11" i="9"/>
  <c r="AB58" i="9"/>
  <c r="AB49" i="9"/>
  <c r="X65" i="9"/>
  <c r="AC65" i="9" s="1"/>
  <c r="AA35" i="9"/>
  <c r="X85" i="9"/>
  <c r="AC85" i="9" s="1"/>
  <c r="AB81" i="9"/>
  <c r="X76" i="9"/>
  <c r="AC76" i="9" s="1"/>
  <c r="AA63" i="9"/>
  <c r="AB75" i="9"/>
  <c r="X43" i="9"/>
  <c r="AC43" i="9" s="1"/>
  <c r="X74" i="9"/>
  <c r="AC74" i="9" s="1"/>
  <c r="AB15" i="9"/>
  <c r="AA37" i="9"/>
  <c r="AA64" i="9"/>
  <c r="BA7" i="3"/>
  <c r="AB64" i="9"/>
  <c r="AB39" i="9"/>
  <c r="AA34" i="9"/>
  <c r="X35" i="9"/>
  <c r="AC35" i="9" s="1"/>
  <c r="AA4" i="9"/>
  <c r="AA98" i="9"/>
  <c r="AA95" i="9"/>
  <c r="X53" i="9"/>
  <c r="AC53" i="9" s="1"/>
  <c r="AA79" i="9"/>
  <c r="AA46" i="9"/>
  <c r="AA7" i="9"/>
  <c r="AB34" i="9"/>
  <c r="AA40" i="9"/>
  <c r="AA27" i="9"/>
  <c r="AB37" i="9"/>
  <c r="AB41" i="9"/>
  <c r="AB8" i="9"/>
  <c r="X90" i="9"/>
  <c r="AC90" i="9" s="1"/>
  <c r="G7" i="3"/>
  <c r="AC7" i="3"/>
  <c r="AS7" i="3"/>
  <c r="AG7" i="3"/>
  <c r="M7" i="3"/>
  <c r="U7" i="3"/>
  <c r="AO7" i="3"/>
  <c r="AB14" i="9"/>
  <c r="X8" i="9"/>
  <c r="AA30" i="9"/>
  <c r="X93" i="9"/>
  <c r="AC93" i="9" s="1"/>
  <c r="X71" i="9"/>
  <c r="AC71" i="9" s="1"/>
  <c r="X49" i="9"/>
  <c r="AC49" i="9" s="1"/>
  <c r="AB86" i="9"/>
  <c r="X69" i="9"/>
  <c r="AC69" i="9" s="1"/>
  <c r="AB67" i="9"/>
  <c r="AA85" i="9"/>
  <c r="AB63" i="9"/>
  <c r="X87" i="9"/>
  <c r="AC87" i="9" s="1"/>
  <c r="X62" i="9"/>
  <c r="AC62" i="9" s="1"/>
  <c r="AA25" i="9"/>
  <c r="AB27" i="9"/>
  <c r="X7" i="9"/>
  <c r="AB92" i="9"/>
  <c r="E5" i="9" a="1"/>
  <c r="E5" i="9" s="1"/>
  <c r="AK5" i="3"/>
  <c r="G5" i="3"/>
  <c r="AC5" i="3"/>
  <c r="AS5" i="3"/>
  <c r="AA21" i="9"/>
  <c r="AA14" i="9"/>
  <c r="Y43" i="9" a="1"/>
  <c r="Y43" i="9" s="1"/>
  <c r="Q5" i="3"/>
  <c r="AO5" i="3"/>
  <c r="AW5" i="3"/>
  <c r="AA18" i="9"/>
  <c r="X100" i="9"/>
  <c r="AC100" i="9" s="1"/>
  <c r="AB91" i="9"/>
  <c r="AB79" i="9"/>
  <c r="AB36" i="9"/>
  <c r="AA66" i="9"/>
  <c r="Y5" i="3"/>
  <c r="G6" i="3"/>
  <c r="U6" i="3"/>
  <c r="AO6" i="3"/>
  <c r="Y6" i="3"/>
  <c r="AC6" i="3"/>
  <c r="AS6" i="3"/>
  <c r="BA6" i="3"/>
  <c r="AW6" i="3"/>
  <c r="AK6" i="3"/>
  <c r="M6" i="3"/>
  <c r="AG6" i="3"/>
  <c r="Y67" i="9" a="1"/>
  <c r="Y67" i="9" s="1"/>
  <c r="AA92" i="9"/>
  <c r="AB18" i="9"/>
  <c r="AB97" i="9"/>
  <c r="AA65" i="9"/>
  <c r="AA74" i="9"/>
  <c r="AA52" i="9"/>
  <c r="X39" i="9"/>
  <c r="AC39" i="9" s="1"/>
  <c r="AK7" i="3"/>
  <c r="M5" i="3"/>
  <c r="X73" i="9"/>
  <c r="AC73" i="9" s="1"/>
  <c r="AB45" i="9"/>
  <c r="AB80" i="9"/>
  <c r="AB42" i="9"/>
  <c r="AA33" i="9"/>
  <c r="X95" i="9"/>
  <c r="AC95" i="9" s="1"/>
  <c r="AB51" i="9"/>
  <c r="X13" i="9"/>
  <c r="AB32" i="9"/>
  <c r="X24" i="9"/>
  <c r="AC24" i="9" s="1"/>
  <c r="AB6" i="9"/>
  <c r="AB30" i="9"/>
  <c r="AB85" i="9"/>
  <c r="AB4" i="9"/>
  <c r="AA91" i="9"/>
  <c r="AA16" i="9"/>
  <c r="AB88" i="9"/>
  <c r="X91" i="9"/>
  <c r="AC91" i="9" s="1"/>
  <c r="X11" i="9"/>
  <c r="AB55" i="9"/>
  <c r="AA50" i="9"/>
  <c r="AB68" i="9"/>
  <c r="X54" i="9"/>
  <c r="AC54" i="9" s="1"/>
  <c r="X32" i="9"/>
  <c r="AC32" i="9" s="1"/>
  <c r="AA62" i="9"/>
  <c r="AB96" i="9"/>
  <c r="X36" i="9"/>
  <c r="AC36" i="9" s="1"/>
  <c r="X78" i="9"/>
  <c r="AC78" i="9" s="1"/>
  <c r="BA5" i="3"/>
  <c r="E73" i="9" a="1"/>
  <c r="E73" i="9" s="1"/>
  <c r="X81" i="9"/>
  <c r="AC81" i="9" s="1"/>
  <c r="AB95" i="9"/>
  <c r="AB57" i="9"/>
  <c r="AA8" i="9"/>
  <c r="AB13" i="9"/>
  <c r="AA90" i="9"/>
  <c r="X80" i="9"/>
  <c r="AC80" i="9" s="1"/>
  <c r="AA55" i="9"/>
  <c r="AA2" i="9"/>
  <c r="Y11" i="9" a="1"/>
  <c r="Y11" i="9" s="1"/>
  <c r="Z46" i="9" a="1"/>
  <c r="Z46" i="9" s="1"/>
  <c r="Y90" i="9" a="1"/>
  <c r="Y90" i="9" s="1"/>
  <c r="Y26" i="9" a="1"/>
  <c r="Y26" i="9" s="1"/>
  <c r="Z61" i="9" a="1"/>
  <c r="Z61" i="9" s="1"/>
  <c r="Y33" i="9" a="1"/>
  <c r="Y33" i="9" s="1"/>
  <c r="Z68" i="9" a="1"/>
  <c r="Z68" i="9" s="1"/>
  <c r="Z4" i="9" a="1"/>
  <c r="Z4" i="9" s="1"/>
  <c r="Y40" i="9" a="1"/>
  <c r="Y40" i="9" s="1"/>
  <c r="Z75" i="9" a="1"/>
  <c r="Z75" i="9" s="1"/>
  <c r="Z11" i="9" a="1"/>
  <c r="Z11" i="9" s="1"/>
  <c r="Y55" i="9" a="1"/>
  <c r="Y55" i="9" s="1"/>
  <c r="Z90" i="9" a="1"/>
  <c r="Z90" i="9" s="1"/>
  <c r="Z26" i="9" a="1"/>
  <c r="Z26" i="9" s="1"/>
  <c r="Y86" i="9" a="1"/>
  <c r="Y86" i="9" s="1"/>
  <c r="Y22" i="9" a="1"/>
  <c r="Y22" i="9" s="1"/>
  <c r="Z57" i="9" a="1"/>
  <c r="Z57" i="9" s="1"/>
  <c r="Y93" i="9" a="1"/>
  <c r="Y93" i="9" s="1"/>
  <c r="Y29" i="9" a="1"/>
  <c r="Y29" i="9" s="1"/>
  <c r="Z64" i="9" a="1"/>
  <c r="Z64" i="9" s="1"/>
  <c r="Y84" i="9" a="1"/>
  <c r="Y84" i="9" s="1"/>
  <c r="Y20" i="9" a="1"/>
  <c r="Y20" i="9" s="1"/>
  <c r="Z55" i="9" a="1"/>
  <c r="Z55" i="9" s="1"/>
  <c r="E95" i="9" a="1"/>
  <c r="E95" i="9" s="1"/>
  <c r="D57" i="9"/>
  <c r="I57" i="9" s="1"/>
  <c r="D80" i="9"/>
  <c r="I80" i="9" s="1"/>
  <c r="P48" i="9" a="1"/>
  <c r="P48" i="9" s="1"/>
  <c r="O15" i="9" a="1"/>
  <c r="O15" i="9" s="1"/>
  <c r="O76" i="9" a="1"/>
  <c r="O76" i="9" s="1"/>
  <c r="G35" i="9"/>
  <c r="G99" i="9"/>
  <c r="F87" i="9" a="1"/>
  <c r="F87" i="9" s="1"/>
  <c r="E52" i="9" a="1"/>
  <c r="E52" i="9" s="1"/>
  <c r="X5" i="9"/>
  <c r="AC5" i="9" s="1"/>
  <c r="AA12" i="9"/>
  <c r="AB73" i="9"/>
  <c r="AA24" i="9"/>
  <c r="AB29" i="9"/>
  <c r="X4" i="9"/>
  <c r="AC4" i="9" s="1"/>
  <c r="X55" i="9"/>
  <c r="AC55" i="9" s="1"/>
  <c r="AA23" i="9"/>
  <c r="AA69" i="9"/>
  <c r="Y99" i="9" a="1"/>
  <c r="Y99" i="9" s="1"/>
  <c r="Y3" i="9" a="1"/>
  <c r="Y3" i="9" s="1"/>
  <c r="Z38" i="9" a="1"/>
  <c r="Z38" i="9" s="1"/>
  <c r="Y82" i="9" a="1"/>
  <c r="Y82" i="9" s="1"/>
  <c r="Y18" i="9" a="1"/>
  <c r="Y18" i="9" s="1"/>
  <c r="Z53" i="9" a="1"/>
  <c r="Z53" i="9" s="1"/>
  <c r="Y89" i="9" a="1"/>
  <c r="Y89" i="9" s="1"/>
  <c r="Y25" i="9" a="1"/>
  <c r="Y25" i="9" s="1"/>
  <c r="Z60" i="9" a="1"/>
  <c r="Z60" i="9" s="1"/>
  <c r="Y32" i="9" a="1"/>
  <c r="Y32" i="9" s="1"/>
  <c r="Z67" i="9" a="1"/>
  <c r="Z67" i="9" s="1"/>
  <c r="Z3" i="9" a="1"/>
  <c r="Z3" i="9" s="1"/>
  <c r="Y47" i="9" a="1"/>
  <c r="Y47" i="9" s="1"/>
  <c r="Z82" i="9" a="1"/>
  <c r="Z82" i="9" s="1"/>
  <c r="Z18" i="9" a="1"/>
  <c r="Z18" i="9" s="1"/>
  <c r="Y78" i="9" a="1"/>
  <c r="Y78" i="9" s="1"/>
  <c r="Y14" i="9" a="1"/>
  <c r="Y14" i="9" s="1"/>
  <c r="Z49" i="9" a="1"/>
  <c r="Z49" i="9" s="1"/>
  <c r="Y85" i="9" a="1"/>
  <c r="Y85" i="9" s="1"/>
  <c r="Y21" i="9" a="1"/>
  <c r="Y21" i="9" s="1"/>
  <c r="Z56" i="9" a="1"/>
  <c r="Z56" i="9" s="1"/>
  <c r="Y76" i="9" a="1"/>
  <c r="Y76" i="9" s="1"/>
  <c r="Y12" i="9" a="1"/>
  <c r="Y12" i="9" s="1"/>
  <c r="Z47" i="9" a="1"/>
  <c r="Z47" i="9" s="1"/>
  <c r="E81" i="9" a="1"/>
  <c r="E81" i="9" s="1"/>
  <c r="D49" i="9"/>
  <c r="I49" i="9" s="1"/>
  <c r="D72" i="9"/>
  <c r="I72" i="9" s="1"/>
  <c r="H15" i="9"/>
  <c r="P56" i="9" a="1"/>
  <c r="P56" i="9" s="1"/>
  <c r="O23" i="9" a="1"/>
  <c r="O23" i="9" s="1"/>
  <c r="O83" i="9" a="1"/>
  <c r="O83" i="9" s="1"/>
  <c r="G43" i="9"/>
  <c r="F31" i="9" a="1"/>
  <c r="F31" i="9" s="1"/>
  <c r="AA75" i="9"/>
  <c r="AA60" i="9"/>
  <c r="AA22" i="9"/>
  <c r="AA72" i="9"/>
  <c r="AB61" i="9"/>
  <c r="X20" i="9"/>
  <c r="X3" i="9"/>
  <c r="AC3" i="9" s="1"/>
  <c r="AB90" i="9"/>
  <c r="AA53" i="9"/>
  <c r="Y91" i="9" a="1"/>
  <c r="Y91" i="9" s="1"/>
  <c r="Z94" i="9" a="1"/>
  <c r="Z94" i="9" s="1"/>
  <c r="Z30" i="9" a="1"/>
  <c r="Z30" i="9" s="1"/>
  <c r="Y74" i="9" a="1"/>
  <c r="Y74" i="9" s="1"/>
  <c r="Y10" i="9" a="1"/>
  <c r="Y10" i="9" s="1"/>
  <c r="Y81" i="9" a="1"/>
  <c r="Y81" i="9" s="1"/>
  <c r="Z52" i="9" a="1"/>
  <c r="Z52" i="9" s="1"/>
  <c r="Y88" i="9" a="1"/>
  <c r="Y88" i="9" s="1"/>
  <c r="Y24" i="9" a="1"/>
  <c r="Y24" i="9" s="1"/>
  <c r="Z59" i="9" a="1"/>
  <c r="Z59" i="9" s="1"/>
  <c r="Y39" i="9" a="1"/>
  <c r="Y39" i="9" s="1"/>
  <c r="Z74" i="9" a="1"/>
  <c r="Z74" i="9" s="1"/>
  <c r="Z10" i="9" a="1"/>
  <c r="Z10" i="9" s="1"/>
  <c r="Y70" i="9" a="1"/>
  <c r="Y70" i="9" s="1"/>
  <c r="Y6" i="9" a="1"/>
  <c r="Y6" i="9" s="1"/>
  <c r="Z41" i="9" a="1"/>
  <c r="Z41" i="9" s="1"/>
  <c r="Y77" i="9" a="1"/>
  <c r="Y77" i="9" s="1"/>
  <c r="Y13" i="9" a="1"/>
  <c r="Y13" i="9" s="1"/>
  <c r="Z48" i="9" a="1"/>
  <c r="Z48" i="9" s="1"/>
  <c r="Y68" i="9" a="1"/>
  <c r="Y68" i="9" s="1"/>
  <c r="Y4" i="9" a="1"/>
  <c r="Y4" i="9" s="1"/>
  <c r="Z39" i="9" a="1"/>
  <c r="Z39" i="9" s="1"/>
  <c r="E98" i="9" a="1"/>
  <c r="E98" i="9" s="1"/>
  <c r="E93" i="9" a="1"/>
  <c r="E93" i="9" s="1"/>
  <c r="D41" i="9"/>
  <c r="I41" i="9" s="1"/>
  <c r="D64" i="9"/>
  <c r="I64" i="9" s="1"/>
  <c r="H79" i="9"/>
  <c r="P64" i="9" a="1"/>
  <c r="P64" i="9" s="1"/>
  <c r="AB78" i="9"/>
  <c r="AA76" i="9"/>
  <c r="AA38" i="9"/>
  <c r="AA88" i="9"/>
  <c r="AB77" i="9"/>
  <c r="X52" i="9"/>
  <c r="AC52" i="9" s="1"/>
  <c r="AA73" i="9"/>
  <c r="AB74" i="9"/>
  <c r="AA5" i="9"/>
  <c r="Y75" i="9" a="1"/>
  <c r="Y75" i="9" s="1"/>
  <c r="Z86" i="9" a="1"/>
  <c r="Z86" i="9" s="1"/>
  <c r="Z22" i="9" a="1"/>
  <c r="Z22" i="9" s="1"/>
  <c r="Y66" i="9" a="1"/>
  <c r="Y66" i="9" s="1"/>
  <c r="Z2" i="9" a="1"/>
  <c r="Z2" i="9" s="1"/>
  <c r="Z37" i="9" a="1"/>
  <c r="Z37" i="9" s="1"/>
  <c r="Y73" i="9" a="1"/>
  <c r="Y73" i="9" s="1"/>
  <c r="Z44" i="9" a="1"/>
  <c r="Z44" i="9" s="1"/>
  <c r="Y80" i="9" a="1"/>
  <c r="Y80" i="9" s="1"/>
  <c r="Y16" i="9" a="1"/>
  <c r="Y16" i="9" s="1"/>
  <c r="Z51" i="9" a="1"/>
  <c r="Z51" i="9" s="1"/>
  <c r="Y95" i="9" a="1"/>
  <c r="Y95" i="9" s="1"/>
  <c r="Y31" i="9" a="1"/>
  <c r="Y31" i="9" s="1"/>
  <c r="Z66" i="9" a="1"/>
  <c r="Z66" i="9" s="1"/>
  <c r="Y62" i="9" a="1"/>
  <c r="Y62" i="9" s="1"/>
  <c r="Z97" i="9" a="1"/>
  <c r="Z97" i="9" s="1"/>
  <c r="Z33" i="9" a="1"/>
  <c r="Z33" i="9" s="1"/>
  <c r="Y69" i="9" a="1"/>
  <c r="Y69" i="9" s="1"/>
  <c r="Y5" i="9" a="1"/>
  <c r="Y5" i="9" s="1"/>
  <c r="Z40" i="9" a="1"/>
  <c r="Z40" i="9" s="1"/>
  <c r="Y60" i="9" a="1"/>
  <c r="Y60" i="9" s="1"/>
  <c r="Z95" i="9" a="1"/>
  <c r="Z95" i="9" s="1"/>
  <c r="Z31" i="9" a="1"/>
  <c r="Z31" i="9" s="1"/>
  <c r="E87" i="9" a="1"/>
  <c r="E87" i="9" s="1"/>
  <c r="D97" i="9"/>
  <c r="I97" i="9" s="1"/>
  <c r="D33" i="9"/>
  <c r="I33" i="9" s="1"/>
  <c r="D56" i="9"/>
  <c r="I56" i="9" s="1"/>
  <c r="P72" i="9" a="1"/>
  <c r="P72" i="9" s="1"/>
  <c r="O39" i="9" a="1"/>
  <c r="O39" i="9" s="1"/>
  <c r="O97" i="9" a="1"/>
  <c r="O97" i="9" s="1"/>
  <c r="AB46" i="9"/>
  <c r="X22" i="9"/>
  <c r="AC22" i="9" s="1"/>
  <c r="AA86" i="9"/>
  <c r="X34" i="9"/>
  <c r="AC34" i="9" s="1"/>
  <c r="AB93" i="9"/>
  <c r="X68" i="9"/>
  <c r="AC68" i="9" s="1"/>
  <c r="AA41" i="9"/>
  <c r="AB26" i="9"/>
  <c r="AB72" i="9"/>
  <c r="Y59" i="9" a="1"/>
  <c r="Y59" i="9" s="1"/>
  <c r="Z78" i="9" a="1"/>
  <c r="Z78" i="9" s="1"/>
  <c r="Z14" i="9" a="1"/>
  <c r="Z14" i="9" s="1"/>
  <c r="Y58" i="9" a="1"/>
  <c r="Y58" i="9" s="1"/>
  <c r="Z93" i="9" a="1"/>
  <c r="Z93" i="9" s="1"/>
  <c r="Z29" i="9" a="1"/>
  <c r="Z29" i="9" s="1"/>
  <c r="Y65" i="9" a="1"/>
  <c r="Y65" i="9" s="1"/>
  <c r="Z100" i="9" a="1"/>
  <c r="Z100" i="9" s="1"/>
  <c r="Z36" i="9" a="1"/>
  <c r="Z36" i="9" s="1"/>
  <c r="Y72" i="9" a="1"/>
  <c r="Y72" i="9" s="1"/>
  <c r="Y8" i="9" a="1"/>
  <c r="Y8" i="9" s="1"/>
  <c r="Z43" i="9" a="1"/>
  <c r="Z43" i="9" s="1"/>
  <c r="Y87" i="9" a="1"/>
  <c r="Y87" i="9" s="1"/>
  <c r="Y23" i="9" a="1"/>
  <c r="Y23" i="9" s="1"/>
  <c r="Z58" i="9" a="1"/>
  <c r="Z58" i="9" s="1"/>
  <c r="Y96" i="9" a="1"/>
  <c r="Y96" i="9" s="1"/>
  <c r="Y54" i="9" a="1"/>
  <c r="Y54" i="9" s="1"/>
  <c r="Z89" i="9" a="1"/>
  <c r="Z89" i="9" s="1"/>
  <c r="Z25" i="9" a="1"/>
  <c r="Z25" i="9" s="1"/>
  <c r="Y61" i="9" a="1"/>
  <c r="Y61" i="9" s="1"/>
  <c r="Z96" i="9" a="1"/>
  <c r="Z96" i="9" s="1"/>
  <c r="Z32" i="9" a="1"/>
  <c r="Z32" i="9" s="1"/>
  <c r="Y52" i="9" a="1"/>
  <c r="Y52" i="9" s="1"/>
  <c r="Z87" i="9" a="1"/>
  <c r="Z87" i="9" s="1"/>
  <c r="Z23" i="9" a="1"/>
  <c r="Z23" i="9" s="1"/>
  <c r="E97" i="9" a="1"/>
  <c r="E97" i="9" s="1"/>
  <c r="D89" i="9"/>
  <c r="I89" i="9" s="1"/>
  <c r="D25" i="9"/>
  <c r="I25" i="9" s="1"/>
  <c r="D48" i="9"/>
  <c r="I48" i="9" s="1"/>
  <c r="P80" i="9" a="1"/>
  <c r="P80" i="9" s="1"/>
  <c r="O47" i="9" a="1"/>
  <c r="O47" i="9" s="1"/>
  <c r="G3" i="9"/>
  <c r="G67" i="9"/>
  <c r="F55" i="9" a="1"/>
  <c r="F55" i="9" s="1"/>
  <c r="E20" i="9" a="1"/>
  <c r="E20" i="9" s="1"/>
  <c r="X38" i="9"/>
  <c r="AC38" i="9" s="1"/>
  <c r="Y97" i="9" a="1"/>
  <c r="Y97" i="9" s="1"/>
  <c r="X50" i="9"/>
  <c r="AC50" i="9" s="1"/>
  <c r="AA26" i="9"/>
  <c r="X84" i="9"/>
  <c r="AC84" i="9" s="1"/>
  <c r="AB76" i="9"/>
  <c r="X77" i="9"/>
  <c r="AC77" i="9" s="1"/>
  <c r="AB40" i="9"/>
  <c r="Y51" i="9" a="1"/>
  <c r="Y51" i="9" s="1"/>
  <c r="Z70" i="9" a="1"/>
  <c r="Z70" i="9" s="1"/>
  <c r="Z6" i="9" a="1"/>
  <c r="Z6" i="9" s="1"/>
  <c r="Y50" i="9" a="1"/>
  <c r="Y50" i="9" s="1"/>
  <c r="Z85" i="9" a="1"/>
  <c r="Z85" i="9" s="1"/>
  <c r="Z21" i="9" a="1"/>
  <c r="Z21" i="9" s="1"/>
  <c r="Y57" i="9" a="1"/>
  <c r="Y57" i="9" s="1"/>
  <c r="Z92" i="9" a="1"/>
  <c r="Z92" i="9" s="1"/>
  <c r="Z28" i="9" a="1"/>
  <c r="Z28" i="9" s="1"/>
  <c r="Y64" i="9" a="1"/>
  <c r="Y64" i="9" s="1"/>
  <c r="Z99" i="9" a="1"/>
  <c r="Z99" i="9" s="1"/>
  <c r="Z35" i="9" a="1"/>
  <c r="Z35" i="9" s="1"/>
  <c r="Y79" i="9" a="1"/>
  <c r="Y79" i="9" s="1"/>
  <c r="Y15" i="9" a="1"/>
  <c r="Y15" i="9" s="1"/>
  <c r="Z50" i="9" a="1"/>
  <c r="Z50" i="9" s="1"/>
  <c r="Y46" i="9" a="1"/>
  <c r="Y46" i="9" s="1"/>
  <c r="Z81" i="9" a="1"/>
  <c r="Z81" i="9" s="1"/>
  <c r="Y53" i="9" a="1"/>
  <c r="Y53" i="9" s="1"/>
  <c r="AD53" i="9" s="1"/>
  <c r="AE53" i="9" s="1"/>
  <c r="AF53" i="9" s="1"/>
  <c r="Z88" i="9" a="1"/>
  <c r="Z88" i="9" s="1"/>
  <c r="Z24" i="9" a="1"/>
  <c r="Z24" i="9" s="1"/>
  <c r="Y44" i="9" a="1"/>
  <c r="Y44" i="9" s="1"/>
  <c r="Z79" i="9" a="1"/>
  <c r="Z79" i="9" s="1"/>
  <c r="Z15" i="9" a="1"/>
  <c r="Z15" i="9" s="1"/>
  <c r="D8" i="9"/>
  <c r="E85" i="9" a="1"/>
  <c r="E85" i="9" s="1"/>
  <c r="D81" i="9"/>
  <c r="I81" i="9" s="1"/>
  <c r="D40" i="9"/>
  <c r="I40" i="9" s="1"/>
  <c r="P24" i="9" a="1"/>
  <c r="P24" i="9" s="1"/>
  <c r="P90" i="9" a="1"/>
  <c r="P90" i="9" s="1"/>
  <c r="AB31" i="9"/>
  <c r="X86" i="9"/>
  <c r="AC86" i="9" s="1"/>
  <c r="AB43" i="9"/>
  <c r="X66" i="9"/>
  <c r="AC66" i="9" s="1"/>
  <c r="AA42" i="9"/>
  <c r="AB44" i="9"/>
  <c r="X64" i="9"/>
  <c r="AC64" i="9" s="1"/>
  <c r="AB24" i="9"/>
  <c r="Y35" i="9" a="1"/>
  <c r="Y35" i="9" s="1"/>
  <c r="Z62" i="9" a="1"/>
  <c r="Z62" i="9" s="1"/>
  <c r="Y42" i="9" a="1"/>
  <c r="Y42" i="9" s="1"/>
  <c r="Z77" i="9" a="1"/>
  <c r="Z77" i="9" s="1"/>
  <c r="Z13" i="9" a="1"/>
  <c r="Z13" i="9" s="1"/>
  <c r="Y49" i="9" a="1"/>
  <c r="Y49" i="9" s="1"/>
  <c r="AD49" i="9" s="1"/>
  <c r="AE49" i="9" s="1"/>
  <c r="AF49" i="9" s="1"/>
  <c r="Z84" i="9" a="1"/>
  <c r="Z84" i="9" s="1"/>
  <c r="Z20" i="9" a="1"/>
  <c r="Z20" i="9" s="1"/>
  <c r="Y56" i="9" a="1"/>
  <c r="Y56" i="9" s="1"/>
  <c r="Z91" i="9" a="1"/>
  <c r="Z91" i="9" s="1"/>
  <c r="Z27" i="9" a="1"/>
  <c r="Z27" i="9" s="1"/>
  <c r="Y71" i="9" a="1"/>
  <c r="Y71" i="9" s="1"/>
  <c r="Y7" i="9" a="1"/>
  <c r="Y7" i="9" s="1"/>
  <c r="Z42" i="9" a="1"/>
  <c r="Z42" i="9" s="1"/>
  <c r="Y38" i="9" a="1"/>
  <c r="Y38" i="9" s="1"/>
  <c r="Z73" i="9" a="1"/>
  <c r="Z73" i="9" s="1"/>
  <c r="Z80" i="9" a="1"/>
  <c r="Z80" i="9" s="1"/>
  <c r="Z16" i="9" a="1"/>
  <c r="Z16" i="9" s="1"/>
  <c r="Y36" i="9" a="1"/>
  <c r="Y36" i="9" s="1"/>
  <c r="Z71" i="9" a="1"/>
  <c r="Z71" i="9" s="1"/>
  <c r="Z7" i="9" a="1"/>
  <c r="Z7" i="9" s="1"/>
  <c r="D9" i="9"/>
  <c r="I9" i="9" s="1"/>
  <c r="E96" i="9" a="1"/>
  <c r="E96" i="9" s="1"/>
  <c r="D73" i="9"/>
  <c r="I73" i="9" s="1"/>
  <c r="D96" i="9"/>
  <c r="I96" i="9" s="1"/>
  <c r="D32" i="9"/>
  <c r="I32" i="9" s="1"/>
  <c r="P32" i="9" a="1"/>
  <c r="P32" i="9" s="1"/>
  <c r="P98" i="9" a="1"/>
  <c r="P98" i="9" s="1"/>
  <c r="O63" i="9" a="1"/>
  <c r="O63" i="9" s="1"/>
  <c r="G19" i="9"/>
  <c r="G83" i="9"/>
  <c r="F71" i="9" a="1"/>
  <c r="F71" i="9" s="1"/>
  <c r="E36" i="9" a="1"/>
  <c r="E36" i="9" s="1"/>
  <c r="H23" i="9"/>
  <c r="AB47" i="9"/>
  <c r="AB9" i="9"/>
  <c r="AB59" i="9"/>
  <c r="X98" i="9"/>
  <c r="AC98" i="9" s="1"/>
  <c r="AA58" i="9"/>
  <c r="AB12" i="9"/>
  <c r="X25" i="9"/>
  <c r="AC25" i="9" s="1"/>
  <c r="Y27" i="9" a="1"/>
  <c r="Y27" i="9" s="1"/>
  <c r="Z54" i="9" a="1"/>
  <c r="Z54" i="9" s="1"/>
  <c r="Y98" i="9" a="1"/>
  <c r="Y98" i="9" s="1"/>
  <c r="Y34" i="9" a="1"/>
  <c r="Y34" i="9" s="1"/>
  <c r="Z69" i="9" a="1"/>
  <c r="Z69" i="9" s="1"/>
  <c r="Z5" i="9" a="1"/>
  <c r="Z5" i="9" s="1"/>
  <c r="Y41" i="9" a="1"/>
  <c r="Y41" i="9" s="1"/>
  <c r="Z76" i="9" a="1"/>
  <c r="Z76" i="9" s="1"/>
  <c r="Z12" i="9" a="1"/>
  <c r="Z12" i="9" s="1"/>
  <c r="Y48" i="9" a="1"/>
  <c r="Y48" i="9" s="1"/>
  <c r="AD48" i="9" s="1"/>
  <c r="AE48" i="9" s="1"/>
  <c r="AF48" i="9" s="1"/>
  <c r="Z83" i="9" a="1"/>
  <c r="Z83" i="9" s="1"/>
  <c r="Y63" i="9" a="1"/>
  <c r="Y63" i="9" s="1"/>
  <c r="Z98" i="9" a="1"/>
  <c r="Z98" i="9" s="1"/>
  <c r="Z34" i="9" a="1"/>
  <c r="Z34" i="9" s="1"/>
  <c r="Y94" i="9" a="1"/>
  <c r="Y94" i="9" s="1"/>
  <c r="Y30" i="9" a="1"/>
  <c r="Y30" i="9" s="1"/>
  <c r="Z65" i="9" a="1"/>
  <c r="Z65" i="9" s="1"/>
  <c r="Y37" i="9" a="1"/>
  <c r="Y37" i="9" s="1"/>
  <c r="AD37" i="9" s="1"/>
  <c r="AE37" i="9" s="1"/>
  <c r="AF37" i="9" s="1"/>
  <c r="Z72" i="9" a="1"/>
  <c r="Z72" i="9" s="1"/>
  <c r="Z8" i="9" a="1"/>
  <c r="Z8" i="9" s="1"/>
  <c r="Y92" i="9" a="1"/>
  <c r="Y92" i="9" s="1"/>
  <c r="Y28" i="9" a="1"/>
  <c r="Y28" i="9" s="1"/>
  <c r="Z63" i="9" a="1"/>
  <c r="Z63" i="9" s="1"/>
  <c r="E83" i="9" a="1"/>
  <c r="E83" i="9" s="1"/>
  <c r="D65" i="9"/>
  <c r="I65" i="9" s="1"/>
  <c r="D88" i="9"/>
  <c r="I88" i="9" s="1"/>
  <c r="D24" i="9"/>
  <c r="I24" i="9" s="1"/>
  <c r="P40" i="9" a="1"/>
  <c r="P40" i="9" s="1"/>
  <c r="O7" i="9" a="1"/>
  <c r="O7" i="9" s="1"/>
  <c r="O71" i="9" a="1"/>
  <c r="O71" i="9" s="1"/>
  <c r="G51" i="9"/>
  <c r="F95" i="9" a="1"/>
  <c r="F95" i="9" s="1"/>
  <c r="E84" i="9" a="1"/>
  <c r="E84" i="9" s="1"/>
  <c r="P49" i="9" a="1"/>
  <c r="P49" i="9" s="1"/>
  <c r="O77" i="9" a="1"/>
  <c r="O77" i="9" s="1"/>
  <c r="G44" i="9"/>
  <c r="F6" i="9" a="1"/>
  <c r="F6" i="9" s="1"/>
  <c r="F56" i="9" a="1"/>
  <c r="F56" i="9" s="1"/>
  <c r="E29" i="9" a="1"/>
  <c r="E29" i="9" s="1"/>
  <c r="H95" i="9"/>
  <c r="P66" i="9" a="1"/>
  <c r="P66" i="9" s="1"/>
  <c r="O33" i="9" a="1"/>
  <c r="O33" i="9" s="1"/>
  <c r="O99" i="9" a="1"/>
  <c r="O99" i="9" s="1"/>
  <c r="G61" i="9"/>
  <c r="F41" i="9" a="1"/>
  <c r="F41" i="9" s="1"/>
  <c r="E6" i="9" a="1"/>
  <c r="E6" i="9" s="1"/>
  <c r="E70" i="9" a="1"/>
  <c r="E70" i="9" s="1"/>
  <c r="P35" i="9" a="1"/>
  <c r="P35" i="9" s="1"/>
  <c r="P2" i="9" a="1"/>
  <c r="P2" i="9" s="1"/>
  <c r="O66" i="9" a="1"/>
  <c r="O66" i="9" s="1"/>
  <c r="G30" i="9"/>
  <c r="G94" i="9"/>
  <c r="F42" i="9" a="1"/>
  <c r="F42" i="9" s="1"/>
  <c r="E7" i="9" a="1"/>
  <c r="E7" i="9" s="1"/>
  <c r="E71" i="9" a="1"/>
  <c r="E71" i="9" s="1"/>
  <c r="P44" i="9" a="1"/>
  <c r="P44" i="9" s="1"/>
  <c r="O11" i="9" a="1"/>
  <c r="O11" i="9" s="1"/>
  <c r="O74" i="9" a="1"/>
  <c r="O74" i="9" s="1"/>
  <c r="G39" i="9"/>
  <c r="F21" i="9" a="1"/>
  <c r="F21" i="9" s="1"/>
  <c r="F83" i="9" a="1"/>
  <c r="F83" i="9" s="1"/>
  <c r="E48" i="9" a="1"/>
  <c r="E48" i="9" s="1"/>
  <c r="P13" i="9" a="1"/>
  <c r="P13" i="9" s="1"/>
  <c r="P77" i="9" a="1"/>
  <c r="P77" i="9" s="1"/>
  <c r="O44" i="9" a="1"/>
  <c r="O44" i="9" s="1"/>
  <c r="G80" i="9"/>
  <c r="F28" i="9" a="1"/>
  <c r="F28" i="9" s="1"/>
  <c r="F92" i="9" a="1"/>
  <c r="F92" i="9" s="1"/>
  <c r="E57" i="9" a="1"/>
  <c r="E57" i="9" s="1"/>
  <c r="P46" i="9" a="1"/>
  <c r="P46" i="9" s="1"/>
  <c r="O13" i="9" a="1"/>
  <c r="O13" i="9" s="1"/>
  <c r="O75" i="9" a="1"/>
  <c r="O75" i="9" s="1"/>
  <c r="G41" i="9"/>
  <c r="F85" i="9" a="1"/>
  <c r="F85" i="9" s="1"/>
  <c r="E50" i="9" a="1"/>
  <c r="E50" i="9" s="1"/>
  <c r="P15" i="9" a="1"/>
  <c r="P15" i="9" s="1"/>
  <c r="P79" i="9" a="1"/>
  <c r="P79" i="9" s="1"/>
  <c r="O46" i="9" a="1"/>
  <c r="O46" i="9" s="1"/>
  <c r="G18" i="9"/>
  <c r="G82" i="9"/>
  <c r="F30" i="9" a="1"/>
  <c r="F30" i="9" s="1"/>
  <c r="G59" i="9"/>
  <c r="E4" i="9" a="1"/>
  <c r="E4" i="9" s="1"/>
  <c r="E92" i="9" a="1"/>
  <c r="E92" i="9" s="1"/>
  <c r="P57" i="9" a="1"/>
  <c r="P57" i="9" s="1"/>
  <c r="O24" i="9" a="1"/>
  <c r="O24" i="9" s="1"/>
  <c r="O91" i="9" a="1"/>
  <c r="O91" i="9" s="1"/>
  <c r="G52" i="9"/>
  <c r="F10" i="9" a="1"/>
  <c r="F10" i="9" s="1"/>
  <c r="F64" i="9" a="1"/>
  <c r="F64" i="9" s="1"/>
  <c r="E37" i="9" a="1"/>
  <c r="E37" i="9" s="1"/>
  <c r="P74" i="9" a="1"/>
  <c r="P74" i="9" s="1"/>
  <c r="O41" i="9" a="1"/>
  <c r="O41" i="9" s="1"/>
  <c r="G5" i="9"/>
  <c r="G69" i="9"/>
  <c r="F49" i="9" a="1"/>
  <c r="F49" i="9" s="1"/>
  <c r="E78" i="9" a="1"/>
  <c r="E78" i="9" s="1"/>
  <c r="P43" i="9" a="1"/>
  <c r="P43" i="9" s="1"/>
  <c r="O79" i="9" a="1"/>
  <c r="O79" i="9" s="1"/>
  <c r="G38" i="9"/>
  <c r="F3" i="9" a="1"/>
  <c r="F3" i="9" s="1"/>
  <c r="F50" i="9" a="1"/>
  <c r="F50" i="9" s="1"/>
  <c r="E15" i="9" a="1"/>
  <c r="E15" i="9" s="1"/>
  <c r="E79" i="9" a="1"/>
  <c r="E79" i="9" s="1"/>
  <c r="P52" i="9" a="1"/>
  <c r="P52" i="9" s="1"/>
  <c r="O19" i="9" a="1"/>
  <c r="O19" i="9" s="1"/>
  <c r="O86" i="9" a="1"/>
  <c r="O86" i="9" s="1"/>
  <c r="G47" i="9"/>
  <c r="F27" i="9" a="1"/>
  <c r="F27" i="9" s="1"/>
  <c r="F91" i="9" a="1"/>
  <c r="F91" i="9" s="1"/>
  <c r="E56" i="9" a="1"/>
  <c r="E56" i="9" s="1"/>
  <c r="P21" i="9" a="1"/>
  <c r="P21" i="9" s="1"/>
  <c r="P87" i="9" a="1"/>
  <c r="P87" i="9" s="1"/>
  <c r="O52" i="9" a="1"/>
  <c r="O52" i="9" s="1"/>
  <c r="G24" i="9"/>
  <c r="G88" i="9"/>
  <c r="F36" i="9" a="1"/>
  <c r="F36" i="9" s="1"/>
  <c r="F100" i="9" a="1"/>
  <c r="F100" i="9" s="1"/>
  <c r="E65" i="9" a="1"/>
  <c r="E65" i="9" s="1"/>
  <c r="P54" i="9" a="1"/>
  <c r="P54" i="9" s="1"/>
  <c r="O21" i="9" a="1"/>
  <c r="O21" i="9" s="1"/>
  <c r="O81" i="9" a="1"/>
  <c r="O81" i="9" s="1"/>
  <c r="G49" i="9"/>
  <c r="F29" i="9" a="1"/>
  <c r="F29" i="9" s="1"/>
  <c r="F93" i="9" a="1"/>
  <c r="F93" i="9" s="1"/>
  <c r="E58" i="9" a="1"/>
  <c r="E58" i="9" s="1"/>
  <c r="P23" i="9" a="1"/>
  <c r="P23" i="9" s="1"/>
  <c r="P89" i="9" a="1"/>
  <c r="P89" i="9" s="1"/>
  <c r="O54" i="9" a="1"/>
  <c r="O54" i="9" s="1"/>
  <c r="G75" i="9"/>
  <c r="E12" i="9" a="1"/>
  <c r="E12" i="9" s="1"/>
  <c r="H87" i="9"/>
  <c r="P65" i="9" a="1"/>
  <c r="P65" i="9" s="1"/>
  <c r="O32" i="9" a="1"/>
  <c r="O32" i="9" s="1"/>
  <c r="O98" i="9" a="1"/>
  <c r="O98" i="9" s="1"/>
  <c r="G60" i="9"/>
  <c r="F72" i="9" a="1"/>
  <c r="F72" i="9" s="1"/>
  <c r="E45" i="9" a="1"/>
  <c r="E45" i="9" s="1"/>
  <c r="P18" i="9" a="1"/>
  <c r="P18" i="9" s="1"/>
  <c r="P82" i="9" a="1"/>
  <c r="P82" i="9" s="1"/>
  <c r="O49" i="9" a="1"/>
  <c r="O49" i="9" s="1"/>
  <c r="G13" i="9"/>
  <c r="G77" i="9"/>
  <c r="F57" i="9" a="1"/>
  <c r="F57" i="9" s="1"/>
  <c r="E22" i="9" a="1"/>
  <c r="E22" i="9" s="1"/>
  <c r="E86" i="9" a="1"/>
  <c r="E86" i="9" s="1"/>
  <c r="P51" i="9" a="1"/>
  <c r="P51" i="9" s="1"/>
  <c r="O18" i="9" a="1"/>
  <c r="O18" i="9" s="1"/>
  <c r="O85" i="9" a="1"/>
  <c r="O85" i="9" s="1"/>
  <c r="G46" i="9"/>
  <c r="F7" i="9" a="1"/>
  <c r="F7" i="9" s="1"/>
  <c r="F58" i="9" a="1"/>
  <c r="F58" i="9" s="1"/>
  <c r="E23" i="9" a="1"/>
  <c r="E23" i="9" s="1"/>
  <c r="H47" i="9"/>
  <c r="P60" i="9" a="1"/>
  <c r="P60" i="9" s="1"/>
  <c r="O27" i="9" a="1"/>
  <c r="O27" i="9" s="1"/>
  <c r="O93" i="9" a="1"/>
  <c r="O93" i="9" s="1"/>
  <c r="G55" i="9"/>
  <c r="F35" i="9" a="1"/>
  <c r="F35" i="9" s="1"/>
  <c r="F99" i="9" a="1"/>
  <c r="F99" i="9" s="1"/>
  <c r="E64" i="9" a="1"/>
  <c r="E64" i="9" s="1"/>
  <c r="P29" i="9" a="1"/>
  <c r="P29" i="9" s="1"/>
  <c r="P95" i="9" a="1"/>
  <c r="P95" i="9" s="1"/>
  <c r="O60" i="9" a="1"/>
  <c r="O60" i="9" s="1"/>
  <c r="G32" i="9"/>
  <c r="G96" i="9"/>
  <c r="F44" i="9" a="1"/>
  <c r="F44" i="9" s="1"/>
  <c r="E9" i="9" a="1"/>
  <c r="E9" i="9" s="1"/>
  <c r="H63" i="9"/>
  <c r="P62" i="9" a="1"/>
  <c r="P62" i="9" s="1"/>
  <c r="O29" i="9" a="1"/>
  <c r="O29" i="9" s="1"/>
  <c r="O88" i="9" a="1"/>
  <c r="O88" i="9" s="1"/>
  <c r="G57" i="9"/>
  <c r="F37" i="9" a="1"/>
  <c r="F37" i="9" s="1"/>
  <c r="F2" i="9" a="1"/>
  <c r="F2" i="9" s="1"/>
  <c r="E66" i="9" a="1"/>
  <c r="E66" i="9" s="1"/>
  <c r="P31" i="9" a="1"/>
  <c r="P31" i="9" s="1"/>
  <c r="P97" i="9" a="1"/>
  <c r="P97" i="9" s="1"/>
  <c r="O62" i="9" a="1"/>
  <c r="O62" i="9" s="1"/>
  <c r="G34" i="9"/>
  <c r="G98" i="9"/>
  <c r="F46" i="9" a="1"/>
  <c r="F46" i="9" s="1"/>
  <c r="E11" i="9" a="1"/>
  <c r="E11" i="9" s="1"/>
  <c r="O31" i="9" a="1"/>
  <c r="O31" i="9" s="1"/>
  <c r="G91" i="9"/>
  <c r="E28" i="9" a="1"/>
  <c r="E28" i="9" s="1"/>
  <c r="P73" i="9" a="1"/>
  <c r="P73" i="9" s="1"/>
  <c r="O40" i="9" a="1"/>
  <c r="O40" i="9" s="1"/>
  <c r="G4" i="9"/>
  <c r="G68" i="9"/>
  <c r="F19" i="9" a="1"/>
  <c r="F19" i="9" s="1"/>
  <c r="F80" i="9" a="1"/>
  <c r="F80" i="9" s="1"/>
  <c r="E53" i="9" a="1"/>
  <c r="E53" i="9" s="1"/>
  <c r="P26" i="9" a="1"/>
  <c r="P26" i="9" s="1"/>
  <c r="P92" i="9" a="1"/>
  <c r="P92" i="9" s="1"/>
  <c r="O57" i="9" a="1"/>
  <c r="O57" i="9" s="1"/>
  <c r="G21" i="9"/>
  <c r="G85" i="9"/>
  <c r="F65" i="9" a="1"/>
  <c r="F65" i="9" s="1"/>
  <c r="E30" i="9" a="1"/>
  <c r="E30" i="9" s="1"/>
  <c r="E94" i="9" a="1"/>
  <c r="E94" i="9" s="1"/>
  <c r="P59" i="9" a="1"/>
  <c r="P59" i="9" s="1"/>
  <c r="O26" i="9" a="1"/>
  <c r="O26" i="9" s="1"/>
  <c r="O92" i="9" a="1"/>
  <c r="O92" i="9" s="1"/>
  <c r="G54" i="9"/>
  <c r="F11" i="9" a="1"/>
  <c r="F11" i="9" s="1"/>
  <c r="F66" i="9" a="1"/>
  <c r="F66" i="9" s="1"/>
  <c r="E31" i="9" a="1"/>
  <c r="E31" i="9" s="1"/>
  <c r="P3" i="9" a="1"/>
  <c r="P3" i="9" s="1"/>
  <c r="P68" i="9" a="1"/>
  <c r="P68" i="9" s="1"/>
  <c r="O35" i="9" a="1"/>
  <c r="O35" i="9" s="1"/>
  <c r="O2" i="9" a="1"/>
  <c r="O2" i="9" s="1"/>
  <c r="G63" i="9"/>
  <c r="F43" i="9" a="1"/>
  <c r="F43" i="9" s="1"/>
  <c r="E8" i="9" a="1"/>
  <c r="E8" i="9" s="1"/>
  <c r="E72" i="9" a="1"/>
  <c r="E72" i="9" s="1"/>
  <c r="P37" i="9" a="1"/>
  <c r="P37" i="9" s="1"/>
  <c r="O4" i="9" a="1"/>
  <c r="O4" i="9" s="1"/>
  <c r="O68" i="9" a="1"/>
  <c r="O68" i="9" s="1"/>
  <c r="G40" i="9"/>
  <c r="F4" i="9" a="1"/>
  <c r="F4" i="9" s="1"/>
  <c r="F52" i="9" a="1"/>
  <c r="F52" i="9" s="1"/>
  <c r="P6" i="9" a="1"/>
  <c r="P6" i="9" s="1"/>
  <c r="P70" i="9" a="1"/>
  <c r="P70" i="9" s="1"/>
  <c r="O37" i="9" a="1"/>
  <c r="O37" i="9" s="1"/>
  <c r="O95" i="9" a="1"/>
  <c r="O95" i="9" s="1"/>
  <c r="G65" i="9"/>
  <c r="F45" i="9" a="1"/>
  <c r="F45" i="9" s="1"/>
  <c r="E10" i="9" a="1"/>
  <c r="E10" i="9" s="1"/>
  <c r="E74" i="9" a="1"/>
  <c r="E74" i="9" s="1"/>
  <c r="P39" i="9" a="1"/>
  <c r="P39" i="9" s="1"/>
  <c r="O55" i="9" a="1"/>
  <c r="O55" i="9" s="1"/>
  <c r="F39" i="9" a="1"/>
  <c r="F39" i="9" s="1"/>
  <c r="E44" i="9" a="1"/>
  <c r="E44" i="9" s="1"/>
  <c r="P17" i="9" a="1"/>
  <c r="P17" i="9" s="1"/>
  <c r="P81" i="9" a="1"/>
  <c r="P81" i="9" s="1"/>
  <c r="O48" i="9" a="1"/>
  <c r="O48" i="9" s="1"/>
  <c r="G12" i="9"/>
  <c r="G76" i="9"/>
  <c r="F24" i="9" a="1"/>
  <c r="F24" i="9" s="1"/>
  <c r="F88" i="9" a="1"/>
  <c r="F88" i="9" s="1"/>
  <c r="E61" i="9" a="1"/>
  <c r="E61" i="9" s="1"/>
  <c r="P34" i="9" a="1"/>
  <c r="P34" i="9" s="1"/>
  <c r="P100" i="9" a="1"/>
  <c r="P100" i="9" s="1"/>
  <c r="O65" i="9" a="1"/>
  <c r="O65" i="9" s="1"/>
  <c r="G29" i="9"/>
  <c r="G93" i="9"/>
  <c r="F73" i="9" a="1"/>
  <c r="F73" i="9" s="1"/>
  <c r="E38" i="9" a="1"/>
  <c r="E38" i="9" s="1"/>
  <c r="H39" i="9"/>
  <c r="P67" i="9" a="1"/>
  <c r="P67" i="9" s="1"/>
  <c r="O34" i="9" a="1"/>
  <c r="O34" i="9" s="1"/>
  <c r="O100" i="9" a="1"/>
  <c r="O100" i="9" s="1"/>
  <c r="G62" i="9"/>
  <c r="F15" i="9" a="1"/>
  <c r="F15" i="9" s="1"/>
  <c r="F74" i="9" a="1"/>
  <c r="F74" i="9" s="1"/>
  <c r="E39" i="9" a="1"/>
  <c r="E39" i="9" s="1"/>
  <c r="P76" i="9" a="1"/>
  <c r="P76" i="9" s="1"/>
  <c r="O43" i="9" a="1"/>
  <c r="O43" i="9" s="1"/>
  <c r="G7" i="9"/>
  <c r="G71" i="9"/>
  <c r="F51" i="9" a="1"/>
  <c r="F51" i="9" s="1"/>
  <c r="E80" i="9" a="1"/>
  <c r="E80" i="9" s="1"/>
  <c r="P45" i="9" a="1"/>
  <c r="P45" i="9" s="1"/>
  <c r="O80" i="9" a="1"/>
  <c r="O80" i="9" s="1"/>
  <c r="G48" i="9"/>
  <c r="F8" i="9" a="1"/>
  <c r="F8" i="9" s="1"/>
  <c r="F60" i="9" a="1"/>
  <c r="F60" i="9" s="1"/>
  <c r="E25" i="9" a="1"/>
  <c r="E25" i="9" s="1"/>
  <c r="P14" i="9" a="1"/>
  <c r="P14" i="9" s="1"/>
  <c r="P78" i="9" a="1"/>
  <c r="P78" i="9" s="1"/>
  <c r="O45" i="9" a="1"/>
  <c r="O45" i="9" s="1"/>
  <c r="G9" i="9"/>
  <c r="G73" i="9"/>
  <c r="F53" i="9" a="1"/>
  <c r="F53" i="9" s="1"/>
  <c r="E18" i="9" a="1"/>
  <c r="E18" i="9" s="1"/>
  <c r="E82" i="9" a="1"/>
  <c r="E82" i="9" s="1"/>
  <c r="P47" i="9" a="1"/>
  <c r="P47" i="9" s="1"/>
  <c r="O14" i="9" a="1"/>
  <c r="O14" i="9" s="1"/>
  <c r="O82" i="9" a="1"/>
  <c r="O82" i="9" s="1"/>
  <c r="G50" i="9"/>
  <c r="F9" i="9" a="1"/>
  <c r="F9" i="9" s="1"/>
  <c r="O90" i="9" a="1"/>
  <c r="O90" i="9" s="1"/>
  <c r="F47" i="9" a="1"/>
  <c r="F47" i="9" s="1"/>
  <c r="E60" i="9" a="1"/>
  <c r="E60" i="9" s="1"/>
  <c r="P25" i="9" a="1"/>
  <c r="P25" i="9" s="1"/>
  <c r="P91" i="9" a="1"/>
  <c r="P91" i="9" s="1"/>
  <c r="O56" i="9" a="1"/>
  <c r="O56" i="9" s="1"/>
  <c r="G20" i="9"/>
  <c r="G84" i="9"/>
  <c r="F32" i="9" a="1"/>
  <c r="F32" i="9" s="1"/>
  <c r="F96" i="9" a="1"/>
  <c r="F96" i="9" s="1"/>
  <c r="E69" i="9" a="1"/>
  <c r="E69" i="9" s="1"/>
  <c r="P42" i="9" a="1"/>
  <c r="P42" i="9" s="1"/>
  <c r="O73" i="9" a="1"/>
  <c r="O73" i="9" s="1"/>
  <c r="G37" i="9"/>
  <c r="G2" i="9"/>
  <c r="F81" i="9" a="1"/>
  <c r="F81" i="9" s="1"/>
  <c r="E46" i="9" a="1"/>
  <c r="E46" i="9" s="1"/>
  <c r="P11" i="9" a="1"/>
  <c r="P11" i="9" s="1"/>
  <c r="P75" i="9" a="1"/>
  <c r="P75" i="9" s="1"/>
  <c r="O42" i="9" a="1"/>
  <c r="O42" i="9" s="1"/>
  <c r="G6" i="9"/>
  <c r="G70" i="9"/>
  <c r="F20" i="9" a="1"/>
  <c r="F20" i="9" s="1"/>
  <c r="F82" i="9" a="1"/>
  <c r="F82" i="9" s="1"/>
  <c r="E47" i="9" a="1"/>
  <c r="E47" i="9" s="1"/>
  <c r="P20" i="9" a="1"/>
  <c r="P20" i="9" s="1"/>
  <c r="P85" i="9" a="1"/>
  <c r="P85" i="9" s="1"/>
  <c r="O51" i="9" a="1"/>
  <c r="O51" i="9" s="1"/>
  <c r="G15" i="9"/>
  <c r="G79" i="9"/>
  <c r="F59" i="9" a="1"/>
  <c r="F59" i="9" s="1"/>
  <c r="E24" i="9" a="1"/>
  <c r="E24" i="9" s="1"/>
  <c r="E88" i="9" a="1"/>
  <c r="E88" i="9" s="1"/>
  <c r="P53" i="9" a="1"/>
  <c r="P53" i="9" s="1"/>
  <c r="O20" i="9" a="1"/>
  <c r="O20" i="9" s="1"/>
  <c r="O87" i="9" a="1"/>
  <c r="O87" i="9" s="1"/>
  <c r="G56" i="9"/>
  <c r="F12" i="9" a="1"/>
  <c r="F12" i="9" s="1"/>
  <c r="F68" i="9" a="1"/>
  <c r="F68" i="9" s="1"/>
  <c r="E33" i="9" a="1"/>
  <c r="E33" i="9" s="1"/>
  <c r="P22" i="9" a="1"/>
  <c r="P22" i="9" s="1"/>
  <c r="P88" i="9" a="1"/>
  <c r="P88" i="9" s="1"/>
  <c r="O53" i="9" a="1"/>
  <c r="O53" i="9" s="1"/>
  <c r="G81" i="9"/>
  <c r="F61" i="9" a="1"/>
  <c r="F61" i="9" s="1"/>
  <c r="E26" i="9" a="1"/>
  <c r="E26" i="9" s="1"/>
  <c r="H7" i="9"/>
  <c r="P55" i="9" a="1"/>
  <c r="P55" i="9" s="1"/>
  <c r="O22" i="9" a="1"/>
  <c r="O22" i="9" s="1"/>
  <c r="O89" i="9" a="1"/>
  <c r="O89" i="9" s="1"/>
  <c r="G58" i="9"/>
  <c r="F13" i="9" a="1"/>
  <c r="F13" i="9" s="1"/>
  <c r="F70" i="9" a="1"/>
  <c r="F70" i="9" s="1"/>
  <c r="G11" i="9"/>
  <c r="F63" i="9" a="1"/>
  <c r="F63" i="9" s="1"/>
  <c r="E68" i="9" a="1"/>
  <c r="E68" i="9" s="1"/>
  <c r="P33" i="9" a="1"/>
  <c r="P33" i="9" s="1"/>
  <c r="P99" i="9" a="1"/>
  <c r="P99" i="9" s="1"/>
  <c r="O64" i="9" a="1"/>
  <c r="O64" i="9" s="1"/>
  <c r="G28" i="9"/>
  <c r="G92" i="9"/>
  <c r="F40" i="9" a="1"/>
  <c r="F40" i="9" s="1"/>
  <c r="E13" i="9" a="1"/>
  <c r="E13" i="9" s="1"/>
  <c r="E77" i="9" a="1"/>
  <c r="E77" i="9" s="1"/>
  <c r="P50" i="9" a="1"/>
  <c r="P50" i="9" s="1"/>
  <c r="O17" i="9" a="1"/>
  <c r="O17" i="9" s="1"/>
  <c r="O78" i="9" a="1"/>
  <c r="O78" i="9" s="1"/>
  <c r="G45" i="9"/>
  <c r="F25" i="9" a="1"/>
  <c r="F25" i="9" s="1"/>
  <c r="F89" i="9" a="1"/>
  <c r="F89" i="9" s="1"/>
  <c r="E54" i="9" a="1"/>
  <c r="E54" i="9" s="1"/>
  <c r="P19" i="9" a="1"/>
  <c r="P19" i="9" s="1"/>
  <c r="P83" i="9" a="1"/>
  <c r="P83" i="9" s="1"/>
  <c r="O50" i="9" a="1"/>
  <c r="O50" i="9" s="1"/>
  <c r="G78" i="9"/>
  <c r="F26" i="9" a="1"/>
  <c r="F26" i="9" s="1"/>
  <c r="F90" i="9" a="1"/>
  <c r="F90" i="9" s="1"/>
  <c r="E55" i="9" a="1"/>
  <c r="E55" i="9" s="1"/>
  <c r="P28" i="9" a="1"/>
  <c r="P28" i="9" s="1"/>
  <c r="P94" i="9" a="1"/>
  <c r="P94" i="9" s="1"/>
  <c r="O59" i="9" a="1"/>
  <c r="O59" i="9" s="1"/>
  <c r="G23" i="9"/>
  <c r="G87" i="9"/>
  <c r="F67" i="9" a="1"/>
  <c r="F67" i="9" s="1"/>
  <c r="E32" i="9" a="1"/>
  <c r="E32" i="9" s="1"/>
  <c r="H55" i="9"/>
  <c r="P61" i="9" a="1"/>
  <c r="P61" i="9" s="1"/>
  <c r="O28" i="9" a="1"/>
  <c r="O28" i="9" s="1"/>
  <c r="O94" i="9" a="1"/>
  <c r="O94" i="9" s="1"/>
  <c r="G64" i="9"/>
  <c r="F76" i="9" a="1"/>
  <c r="F76" i="9" s="1"/>
  <c r="E41" i="9" a="1"/>
  <c r="E41" i="9" s="1"/>
  <c r="J41" i="9" s="1"/>
  <c r="K41" i="9" s="1"/>
  <c r="L41" i="9" s="1"/>
  <c r="P30" i="9" a="1"/>
  <c r="P30" i="9" s="1"/>
  <c r="P96" i="9" a="1"/>
  <c r="P96" i="9" s="1"/>
  <c r="O61" i="9" a="1"/>
  <c r="O61" i="9" s="1"/>
  <c r="G25" i="9"/>
  <c r="G89" i="9"/>
  <c r="F69" i="9" a="1"/>
  <c r="F69" i="9" s="1"/>
  <c r="E34" i="9" a="1"/>
  <c r="E34" i="9" s="1"/>
  <c r="H71" i="9"/>
  <c r="P63" i="9" a="1"/>
  <c r="P63" i="9" s="1"/>
  <c r="O30" i="9" a="1"/>
  <c r="O30" i="9" s="1"/>
  <c r="O96" i="9" a="1"/>
  <c r="O96" i="9" s="1"/>
  <c r="G66" i="9"/>
  <c r="F18" i="9" a="1"/>
  <c r="F18" i="9" s="1"/>
  <c r="F78" i="9" a="1"/>
  <c r="F78" i="9" s="1"/>
  <c r="G27" i="9"/>
  <c r="F79" i="9" a="1"/>
  <c r="F79" i="9" s="1"/>
  <c r="E76" i="9" a="1"/>
  <c r="E76" i="9" s="1"/>
  <c r="P41" i="9" a="1"/>
  <c r="P41" i="9" s="1"/>
  <c r="O72" i="9" a="1"/>
  <c r="O72" i="9" s="1"/>
  <c r="G36" i="9"/>
  <c r="G100" i="9"/>
  <c r="F48" i="9" a="1"/>
  <c r="F48" i="9" s="1"/>
  <c r="E21" i="9" a="1"/>
  <c r="E21" i="9" s="1"/>
  <c r="H31" i="9"/>
  <c r="P58" i="9" a="1"/>
  <c r="P58" i="9" s="1"/>
  <c r="O25" i="9" a="1"/>
  <c r="O25" i="9" s="1"/>
  <c r="O84" i="9" a="1"/>
  <c r="O84" i="9" s="1"/>
  <c r="G53" i="9"/>
  <c r="F33" i="9" a="1"/>
  <c r="F33" i="9" s="1"/>
  <c r="F97" i="9" a="1"/>
  <c r="F97" i="9" s="1"/>
  <c r="E62" i="9" a="1"/>
  <c r="E62" i="9" s="1"/>
  <c r="P27" i="9" a="1"/>
  <c r="P27" i="9" s="1"/>
  <c r="P93" i="9" a="1"/>
  <c r="P93" i="9" s="1"/>
  <c r="O58" i="9" a="1"/>
  <c r="O58" i="9" s="1"/>
  <c r="G22" i="9"/>
  <c r="G86" i="9"/>
  <c r="F34" i="9" a="1"/>
  <c r="F34" i="9" s="1"/>
  <c r="F98" i="9" a="1"/>
  <c r="F98" i="9" s="1"/>
  <c r="E63" i="9" a="1"/>
  <c r="E63" i="9" s="1"/>
  <c r="P36" i="9" a="1"/>
  <c r="P36" i="9" s="1"/>
  <c r="O3" i="9" a="1"/>
  <c r="O3" i="9" s="1"/>
  <c r="O67" i="9" a="1"/>
  <c r="O67" i="9" s="1"/>
  <c r="G31" i="9"/>
  <c r="G95" i="9"/>
  <c r="F75" i="9" a="1"/>
  <c r="F75" i="9" s="1"/>
  <c r="E40" i="9" a="1"/>
  <c r="E40" i="9" s="1"/>
  <c r="P5" i="9" a="1"/>
  <c r="P5" i="9" s="1"/>
  <c r="P69" i="9" a="1"/>
  <c r="P69" i="9" s="1"/>
  <c r="O36" i="9" a="1"/>
  <c r="O36" i="9" s="1"/>
  <c r="G8" i="9"/>
  <c r="G72" i="9"/>
  <c r="F22" i="9" a="1"/>
  <c r="F22" i="9" s="1"/>
  <c r="F84" i="9" a="1"/>
  <c r="F84" i="9" s="1"/>
  <c r="E49" i="9" a="1"/>
  <c r="E49" i="9" s="1"/>
  <c r="J49" i="9" s="1"/>
  <c r="K49" i="9" s="1"/>
  <c r="L49" i="9" s="1"/>
  <c r="P38" i="9" a="1"/>
  <c r="P38" i="9" s="1"/>
  <c r="O5" i="9" a="1"/>
  <c r="O5" i="9" s="1"/>
  <c r="O69" i="9" a="1"/>
  <c r="O69" i="9" s="1"/>
  <c r="G33" i="9"/>
  <c r="G97" i="9"/>
  <c r="F77" i="9" a="1"/>
  <c r="F77" i="9" s="1"/>
  <c r="E42" i="9" a="1"/>
  <c r="E42" i="9" s="1"/>
  <c r="P7" i="9" a="1"/>
  <c r="P7" i="9" s="1"/>
  <c r="P71" i="9" a="1"/>
  <c r="P71" i="9" s="1"/>
  <c r="O38" i="9" a="1"/>
  <c r="O38" i="9" s="1"/>
  <c r="G10" i="9"/>
  <c r="G74" i="9"/>
  <c r="F23" i="9" a="1"/>
  <c r="F23" i="9" s="1"/>
  <c r="F86" i="9" a="1"/>
  <c r="F86" i="9" s="1"/>
  <c r="E51" i="9" a="1"/>
  <c r="E51" i="9" s="1"/>
  <c r="D63" i="9"/>
  <c r="I63" i="9" s="1"/>
  <c r="D94" i="9"/>
  <c r="I94" i="9" s="1"/>
  <c r="D30" i="9"/>
  <c r="I30" i="9" s="1"/>
  <c r="Q78" i="9"/>
  <c r="N54" i="9"/>
  <c r="S54" i="9" s="1"/>
  <c r="Q50" i="9"/>
  <c r="N39" i="9"/>
  <c r="S39" i="9" s="1"/>
  <c r="R66" i="9"/>
  <c r="N24" i="9"/>
  <c r="S24" i="9" s="1"/>
  <c r="N88" i="9"/>
  <c r="S88" i="9" s="1"/>
  <c r="Q84" i="9"/>
  <c r="N57" i="9"/>
  <c r="S57" i="9" s="1"/>
  <c r="N34" i="9"/>
  <c r="S34" i="9" s="1"/>
  <c r="N98" i="9"/>
  <c r="S98" i="9" s="1"/>
  <c r="N3" i="9"/>
  <c r="S3" i="9" s="1"/>
  <c r="N67" i="9"/>
  <c r="S67" i="9" s="1"/>
  <c r="Q43" i="9"/>
  <c r="N36" i="9"/>
  <c r="S36" i="9" s="1"/>
  <c r="N100" i="9"/>
  <c r="S100" i="9" s="1"/>
  <c r="N13" i="9"/>
  <c r="N77" i="9"/>
  <c r="S77" i="9" s="1"/>
  <c r="D69" i="9"/>
  <c r="I69" i="9" s="1"/>
  <c r="D5" i="9"/>
  <c r="I5" i="9" s="1"/>
  <c r="D44" i="9"/>
  <c r="I44" i="9" s="1"/>
  <c r="D83" i="9"/>
  <c r="I83" i="9" s="1"/>
  <c r="D19" i="9"/>
  <c r="D58" i="9"/>
  <c r="I58" i="9" s="1"/>
  <c r="F5" i="9" a="1"/>
  <c r="F5" i="9" s="1"/>
  <c r="E35" i="9" a="1"/>
  <c r="E35" i="9" s="1"/>
  <c r="D71" i="9"/>
  <c r="I71" i="9" s="1"/>
  <c r="D86" i="9"/>
  <c r="I86" i="9" s="1"/>
  <c r="N14" i="9"/>
  <c r="N86" i="9"/>
  <c r="S86" i="9" s="1"/>
  <c r="N15" i="9"/>
  <c r="N87" i="9"/>
  <c r="S87" i="9" s="1"/>
  <c r="N96" i="9"/>
  <c r="S96" i="9" s="1"/>
  <c r="N81" i="9"/>
  <c r="S81" i="9" s="1"/>
  <c r="Q86" i="9"/>
  <c r="N74" i="9"/>
  <c r="S74" i="9" s="1"/>
  <c r="Q74" i="9"/>
  <c r="N59" i="9"/>
  <c r="S59" i="9" s="1"/>
  <c r="Q59" i="9"/>
  <c r="N52" i="9"/>
  <c r="S52" i="9" s="1"/>
  <c r="Q44" i="9"/>
  <c r="N45" i="9"/>
  <c r="D93" i="9"/>
  <c r="I93" i="9" s="1"/>
  <c r="D21" i="9"/>
  <c r="I21" i="9" s="1"/>
  <c r="D52" i="9"/>
  <c r="I52" i="9" s="1"/>
  <c r="D75" i="9"/>
  <c r="I75" i="9" s="1"/>
  <c r="D3" i="9"/>
  <c r="I3" i="9" s="1"/>
  <c r="D34" i="9"/>
  <c r="I34" i="9" s="1"/>
  <c r="E99" i="9" a="1"/>
  <c r="E99" i="9" s="1"/>
  <c r="Q89" i="9"/>
  <c r="Q25" i="9"/>
  <c r="H60" i="9"/>
  <c r="R95" i="9"/>
  <c r="R31" i="9"/>
  <c r="Q72" i="9"/>
  <c r="H43" i="9"/>
  <c r="R78" i="9"/>
  <c r="R14" i="9"/>
  <c r="Q55" i="9"/>
  <c r="H90" i="9"/>
  <c r="H26" i="9"/>
  <c r="R61" i="9"/>
  <c r="Q14" i="9"/>
  <c r="H49" i="9"/>
  <c r="R84" i="9"/>
  <c r="R20" i="9"/>
  <c r="Q61" i="9"/>
  <c r="H96" i="9"/>
  <c r="H32" i="9"/>
  <c r="R67" i="9"/>
  <c r="R3" i="9"/>
  <c r="H54" i="9"/>
  <c r="R89" i="9"/>
  <c r="R25" i="9"/>
  <c r="H2" i="9"/>
  <c r="H37" i="9"/>
  <c r="R72" i="9"/>
  <c r="F38" i="9" a="1"/>
  <c r="F38" i="9" s="1"/>
  <c r="E43" i="9" a="1"/>
  <c r="E43" i="9" s="1"/>
  <c r="D55" i="9"/>
  <c r="I55" i="9" s="1"/>
  <c r="D78" i="9"/>
  <c r="I78" i="9" s="1"/>
  <c r="D6" i="9"/>
  <c r="N22" i="9"/>
  <c r="N94" i="9"/>
  <c r="S94" i="9" s="1"/>
  <c r="N23" i="9"/>
  <c r="S23" i="9" s="1"/>
  <c r="N95" i="9"/>
  <c r="S95" i="9" s="1"/>
  <c r="N32" i="9"/>
  <c r="S32" i="9" s="1"/>
  <c r="R10" i="9"/>
  <c r="N17" i="9"/>
  <c r="N89" i="9"/>
  <c r="S89" i="9" s="1"/>
  <c r="N82" i="9"/>
  <c r="S82" i="9" s="1"/>
  <c r="Q90" i="9"/>
  <c r="N75" i="9"/>
  <c r="S75" i="9" s="1"/>
  <c r="Q75" i="9"/>
  <c r="N60" i="9"/>
  <c r="S60" i="9" s="1"/>
  <c r="Q60" i="9"/>
  <c r="N53" i="9"/>
  <c r="S53" i="9" s="1"/>
  <c r="D85" i="9"/>
  <c r="I85" i="9" s="1"/>
  <c r="D13" i="9"/>
  <c r="D36" i="9"/>
  <c r="I36" i="9" s="1"/>
  <c r="D67" i="9"/>
  <c r="I67" i="9" s="1"/>
  <c r="D98" i="9"/>
  <c r="I98" i="9" s="1"/>
  <c r="D26" i="9"/>
  <c r="I26" i="9" s="1"/>
  <c r="E89" i="9" a="1"/>
  <c r="E89" i="9" s="1"/>
  <c r="Q81" i="9"/>
  <c r="Q17" i="9"/>
  <c r="H52" i="9"/>
  <c r="R87" i="9"/>
  <c r="R23" i="9"/>
  <c r="Q64" i="9"/>
  <c r="H99" i="9"/>
  <c r="H35" i="9"/>
  <c r="R70" i="9"/>
  <c r="R6" i="9"/>
  <c r="Q47" i="9"/>
  <c r="H82" i="9"/>
  <c r="H18" i="9"/>
  <c r="R53" i="9"/>
  <c r="Q6" i="9"/>
  <c r="H41" i="9"/>
  <c r="R76" i="9"/>
  <c r="R12" i="9"/>
  <c r="Q53" i="9"/>
  <c r="H88" i="9"/>
  <c r="H24" i="9"/>
  <c r="R59" i="9"/>
  <c r="Q11" i="9"/>
  <c r="H46" i="9"/>
  <c r="R81" i="9"/>
  <c r="R17" i="9"/>
  <c r="H93" i="9"/>
  <c r="H29" i="9"/>
  <c r="R64" i="9"/>
  <c r="F54" i="9" a="1"/>
  <c r="F54" i="9" s="1"/>
  <c r="E59" i="9" a="1"/>
  <c r="E59" i="9" s="1"/>
  <c r="D47" i="9"/>
  <c r="I47" i="9" s="1"/>
  <c r="D70" i="9"/>
  <c r="I70" i="9" s="1"/>
  <c r="R50" i="9"/>
  <c r="N30" i="9"/>
  <c r="S30" i="9" s="1"/>
  <c r="R58" i="9"/>
  <c r="N31" i="9"/>
  <c r="S31" i="9" s="1"/>
  <c r="Q30" i="9"/>
  <c r="N40" i="9"/>
  <c r="S40" i="9" s="1"/>
  <c r="R74" i="9"/>
  <c r="N25" i="9"/>
  <c r="S25" i="9" s="1"/>
  <c r="N97" i="9"/>
  <c r="S97" i="9" s="1"/>
  <c r="N18" i="9"/>
  <c r="N90" i="9"/>
  <c r="S90" i="9" s="1"/>
  <c r="N11" i="9"/>
  <c r="N83" i="9"/>
  <c r="S83" i="9" s="1"/>
  <c r="Q91" i="9"/>
  <c r="N68" i="9"/>
  <c r="S68" i="9" s="1"/>
  <c r="Q76" i="9"/>
  <c r="N61" i="9"/>
  <c r="S61" i="9" s="1"/>
  <c r="D77" i="9"/>
  <c r="I77" i="9" s="1"/>
  <c r="D100" i="9"/>
  <c r="I100" i="9" s="1"/>
  <c r="D28" i="9"/>
  <c r="I28" i="9" s="1"/>
  <c r="D59" i="9"/>
  <c r="I59" i="9" s="1"/>
  <c r="D90" i="9"/>
  <c r="I90" i="9" s="1"/>
  <c r="D18" i="9"/>
  <c r="R8" i="9"/>
  <c r="Q73" i="9"/>
  <c r="H44" i="9"/>
  <c r="R79" i="9"/>
  <c r="R15" i="9"/>
  <c r="Q56" i="9"/>
  <c r="H91" i="9"/>
  <c r="H27" i="9"/>
  <c r="R62" i="9"/>
  <c r="P84" i="9" a="1"/>
  <c r="P84" i="9" s="1"/>
  <c r="Q39" i="9"/>
  <c r="H74" i="9"/>
  <c r="H10" i="9"/>
  <c r="R45" i="9"/>
  <c r="H97" i="9"/>
  <c r="H33" i="9"/>
  <c r="R68" i="9"/>
  <c r="R4" i="9"/>
  <c r="Q45" i="9"/>
  <c r="H80" i="9"/>
  <c r="H16" i="9"/>
  <c r="R51" i="9"/>
  <c r="Q3" i="9"/>
  <c r="H38" i="9"/>
  <c r="R73" i="9"/>
  <c r="R9" i="9"/>
  <c r="H85" i="9"/>
  <c r="H21" i="9"/>
  <c r="R56" i="9"/>
  <c r="O6" i="9" a="1"/>
  <c r="O6" i="9" s="1"/>
  <c r="F62" i="9" a="1"/>
  <c r="F62" i="9" s="1"/>
  <c r="E67" i="9" a="1"/>
  <c r="E67" i="9" s="1"/>
  <c r="D39" i="9"/>
  <c r="I39" i="9" s="1"/>
  <c r="D62" i="9"/>
  <c r="I62" i="9" s="1"/>
  <c r="Q27" i="9"/>
  <c r="N38" i="9"/>
  <c r="S38" i="9" s="1"/>
  <c r="Q28" i="9"/>
  <c r="N47" i="9"/>
  <c r="S47" i="9" s="1"/>
  <c r="Q51" i="9"/>
  <c r="N48" i="9"/>
  <c r="S48" i="9" s="1"/>
  <c r="Q4" i="9"/>
  <c r="N33" i="9"/>
  <c r="S33" i="9" s="1"/>
  <c r="R18" i="9"/>
  <c r="N26" i="9"/>
  <c r="S26" i="9" s="1"/>
  <c r="R26" i="9"/>
  <c r="N19" i="9"/>
  <c r="N91" i="9"/>
  <c r="S91" i="9" s="1"/>
  <c r="N4" i="9"/>
  <c r="S4" i="9" s="1"/>
  <c r="N76" i="9"/>
  <c r="S76" i="9" s="1"/>
  <c r="Q92" i="9"/>
  <c r="N69" i="9"/>
  <c r="S69" i="9" s="1"/>
  <c r="D61" i="9"/>
  <c r="I61" i="9" s="1"/>
  <c r="D92" i="9"/>
  <c r="I92" i="9" s="1"/>
  <c r="D20" i="9"/>
  <c r="I20" i="9" s="1"/>
  <c r="D51" i="9"/>
  <c r="I51" i="9" s="1"/>
  <c r="D82" i="9"/>
  <c r="I82" i="9" s="1"/>
  <c r="D10" i="9"/>
  <c r="Q65" i="9"/>
  <c r="H100" i="9"/>
  <c r="H36" i="9"/>
  <c r="R71" i="9"/>
  <c r="R7" i="9"/>
  <c r="Q48" i="9"/>
  <c r="H83" i="9"/>
  <c r="H19" i="9"/>
  <c r="R54" i="9"/>
  <c r="Q95" i="9"/>
  <c r="Q31" i="9"/>
  <c r="H66" i="9"/>
  <c r="R2" i="9"/>
  <c r="R37" i="9"/>
  <c r="H89" i="9"/>
  <c r="H25" i="9"/>
  <c r="R60" i="9"/>
  <c r="Q2" i="9"/>
  <c r="Q37" i="9"/>
  <c r="H72" i="9"/>
  <c r="H8" i="9"/>
  <c r="R43" i="9"/>
  <c r="H94" i="9"/>
  <c r="H30" i="9"/>
  <c r="R65" i="9"/>
  <c r="Q42" i="9"/>
  <c r="H77" i="9"/>
  <c r="H13" i="9"/>
  <c r="R48" i="9"/>
  <c r="O70" i="9" a="1"/>
  <c r="O70" i="9" s="1"/>
  <c r="F94" i="9" a="1"/>
  <c r="F94" i="9" s="1"/>
  <c r="E75" i="9" a="1"/>
  <c r="E75" i="9" s="1"/>
  <c r="D31" i="9"/>
  <c r="I31" i="9" s="1"/>
  <c r="D54" i="9"/>
  <c r="I54" i="9" s="1"/>
  <c r="Q46" i="9"/>
  <c r="N46" i="9"/>
  <c r="S46" i="9" s="1"/>
  <c r="Q66" i="9"/>
  <c r="N55" i="9"/>
  <c r="S55" i="9" s="1"/>
  <c r="Q67" i="9"/>
  <c r="N56" i="9"/>
  <c r="S56" i="9" s="1"/>
  <c r="Q35" i="9"/>
  <c r="N41" i="9"/>
  <c r="S41" i="9" s="1"/>
  <c r="R82" i="9"/>
  <c r="N42" i="9"/>
  <c r="S42" i="9" s="1"/>
  <c r="R90" i="9"/>
  <c r="N27" i="9"/>
  <c r="S27" i="9" s="1"/>
  <c r="N99" i="9"/>
  <c r="S99" i="9" s="1"/>
  <c r="N84" i="9"/>
  <c r="S84" i="9" s="1"/>
  <c r="N5" i="9"/>
  <c r="S5" i="9" s="1"/>
  <c r="N85" i="9"/>
  <c r="S85" i="9" s="1"/>
  <c r="D53" i="9"/>
  <c r="I53" i="9" s="1"/>
  <c r="D84" i="9"/>
  <c r="I84" i="9" s="1"/>
  <c r="D12" i="9"/>
  <c r="I12" i="9" s="1"/>
  <c r="D43" i="9"/>
  <c r="I43" i="9" s="1"/>
  <c r="D74" i="9"/>
  <c r="I74" i="9" s="1"/>
  <c r="E2" i="9" a="1"/>
  <c r="E2" i="9" s="1"/>
  <c r="Q57" i="9"/>
  <c r="H92" i="9"/>
  <c r="H28" i="9"/>
  <c r="R63" i="9"/>
  <c r="P4" i="9" a="1"/>
  <c r="P4" i="9" s="1"/>
  <c r="Q40" i="9"/>
  <c r="H75" i="9"/>
  <c r="H11" i="9"/>
  <c r="R46" i="9"/>
  <c r="Q87" i="9"/>
  <c r="Q23" i="9"/>
  <c r="H58" i="9"/>
  <c r="R93" i="9"/>
  <c r="R29" i="9"/>
  <c r="H81" i="9"/>
  <c r="H17" i="9"/>
  <c r="R52" i="9"/>
  <c r="Q93" i="9"/>
  <c r="Q29" i="9"/>
  <c r="H64" i="9"/>
  <c r="R99" i="9"/>
  <c r="R35" i="9"/>
  <c r="H86" i="9"/>
  <c r="H22" i="9"/>
  <c r="R57" i="9"/>
  <c r="Q34" i="9"/>
  <c r="H69" i="9"/>
  <c r="H5" i="9"/>
  <c r="R40" i="9"/>
  <c r="G26" i="9"/>
  <c r="E3" i="9" a="1"/>
  <c r="E3" i="9" s="1"/>
  <c r="D95" i="9"/>
  <c r="I95" i="9" s="1"/>
  <c r="D23" i="9"/>
  <c r="I23" i="9" s="1"/>
  <c r="D46" i="9"/>
  <c r="I46" i="9" s="1"/>
  <c r="Q62" i="9"/>
  <c r="N62" i="9"/>
  <c r="S62" i="9" s="1"/>
  <c r="Q82" i="9"/>
  <c r="N63" i="9"/>
  <c r="S63" i="9" s="1"/>
  <c r="Q83" i="9"/>
  <c r="N64" i="9"/>
  <c r="S64" i="9" s="1"/>
  <c r="Q52" i="9"/>
  <c r="N49" i="9"/>
  <c r="S49" i="9" s="1"/>
  <c r="Q36" i="9"/>
  <c r="N50" i="9"/>
  <c r="S50" i="9" s="1"/>
  <c r="Q19" i="9"/>
  <c r="N35" i="9"/>
  <c r="S35" i="9" s="1"/>
  <c r="R34" i="9"/>
  <c r="N20" i="9"/>
  <c r="N92" i="9"/>
  <c r="S92" i="9" s="1"/>
  <c r="N21" i="9"/>
  <c r="S21" i="9" s="1"/>
  <c r="N93" i="9"/>
  <c r="S93" i="9" s="1"/>
  <c r="D45" i="9"/>
  <c r="I45" i="9" s="1"/>
  <c r="D76" i="9"/>
  <c r="I76" i="9" s="1"/>
  <c r="D4" i="9"/>
  <c r="I4" i="9" s="1"/>
  <c r="D35" i="9"/>
  <c r="I35" i="9" s="1"/>
  <c r="D66" i="9"/>
  <c r="I66" i="9" s="1"/>
  <c r="E91" i="9" a="1"/>
  <c r="E91" i="9" s="1"/>
  <c r="Q49" i="9"/>
  <c r="H84" i="9"/>
  <c r="H20" i="9"/>
  <c r="R55" i="9"/>
  <c r="Q96" i="9"/>
  <c r="Q32" i="9"/>
  <c r="H67" i="9"/>
  <c r="H3" i="9"/>
  <c r="R38" i="9"/>
  <c r="Q79" i="9"/>
  <c r="Q15" i="9"/>
  <c r="H50" i="9"/>
  <c r="R85" i="9"/>
  <c r="R21" i="9"/>
  <c r="H73" i="9"/>
  <c r="H9" i="9"/>
  <c r="R44" i="9"/>
  <c r="Q85" i="9"/>
  <c r="Q21" i="9"/>
  <c r="H56" i="9"/>
  <c r="R91" i="9"/>
  <c r="R27" i="9"/>
  <c r="H78" i="9"/>
  <c r="H14" i="9"/>
  <c r="R49" i="9"/>
  <c r="Q26" i="9"/>
  <c r="H61" i="9"/>
  <c r="R96" i="9"/>
  <c r="R32" i="9"/>
  <c r="G42" i="9"/>
  <c r="E19" i="9" a="1"/>
  <c r="E19" i="9" s="1"/>
  <c r="D87" i="9"/>
  <c r="I87" i="9" s="1"/>
  <c r="D15" i="9"/>
  <c r="D38" i="9"/>
  <c r="I38" i="9" s="1"/>
  <c r="Q94" i="9"/>
  <c r="N70" i="9"/>
  <c r="S70" i="9" s="1"/>
  <c r="Q98" i="9"/>
  <c r="N71" i="9"/>
  <c r="S71" i="9" s="1"/>
  <c r="Q99" i="9"/>
  <c r="N72" i="9"/>
  <c r="S72" i="9" s="1"/>
  <c r="Q68" i="9"/>
  <c r="N65" i="9"/>
  <c r="S65" i="9" s="1"/>
  <c r="Q54" i="9"/>
  <c r="N58" i="9"/>
  <c r="S58" i="9" s="1"/>
  <c r="Q38" i="9"/>
  <c r="N43" i="9"/>
  <c r="S43" i="9" s="1"/>
  <c r="R98" i="9"/>
  <c r="N28" i="9"/>
  <c r="S28" i="9" s="1"/>
  <c r="R42" i="9"/>
  <c r="N29" i="9"/>
  <c r="N2" i="9"/>
  <c r="S2" i="9" s="1"/>
  <c r="D37" i="9"/>
  <c r="I37" i="9" s="1"/>
  <c r="D68" i="9"/>
  <c r="I68" i="9" s="1"/>
  <c r="D99" i="9"/>
  <c r="I99" i="9" s="1"/>
  <c r="D27" i="9"/>
  <c r="I27" i="9" s="1"/>
  <c r="D50" i="9"/>
  <c r="I50" i="9" s="1"/>
  <c r="E100" i="9" a="1"/>
  <c r="E100" i="9" s="1"/>
  <c r="P86" i="9" a="1"/>
  <c r="P86" i="9" s="1"/>
  <c r="Q41" i="9"/>
  <c r="H76" i="9"/>
  <c r="H12" i="9"/>
  <c r="R47" i="9"/>
  <c r="Q88" i="9"/>
  <c r="Q24" i="9"/>
  <c r="H59" i="9"/>
  <c r="R94" i="9"/>
  <c r="R30" i="9"/>
  <c r="Q71" i="9"/>
  <c r="Q7" i="9"/>
  <c r="H42" i="9"/>
  <c r="R77" i="9"/>
  <c r="R13" i="9"/>
  <c r="H65" i="9"/>
  <c r="R100" i="9"/>
  <c r="R36" i="9"/>
  <c r="Q77" i="9"/>
  <c r="Q13" i="9"/>
  <c r="H48" i="9"/>
  <c r="R83" i="9"/>
  <c r="R19" i="9"/>
  <c r="H70" i="9"/>
  <c r="H6" i="9"/>
  <c r="R41" i="9"/>
  <c r="Q18" i="9"/>
  <c r="H53" i="9"/>
  <c r="R88" i="9"/>
  <c r="R24" i="9"/>
  <c r="G90" i="9"/>
  <c r="E27" i="9" a="1"/>
  <c r="E27" i="9" s="1"/>
  <c r="D79" i="9"/>
  <c r="I79" i="9" s="1"/>
  <c r="D7" i="9"/>
  <c r="D22" i="9"/>
  <c r="N6" i="9"/>
  <c r="N78" i="9"/>
  <c r="S78" i="9" s="1"/>
  <c r="N7" i="9"/>
  <c r="N79" i="9"/>
  <c r="S79" i="9" s="1"/>
  <c r="N80" i="9"/>
  <c r="S80" i="9" s="1"/>
  <c r="Q100" i="9"/>
  <c r="N73" i="9"/>
  <c r="S73" i="9" s="1"/>
  <c r="Q70" i="9"/>
  <c r="N66" i="9"/>
  <c r="S66" i="9" s="1"/>
  <c r="Q58" i="9"/>
  <c r="N51" i="9"/>
  <c r="S51" i="9" s="1"/>
  <c r="Q20" i="9"/>
  <c r="N44" i="9"/>
  <c r="S44" i="9" s="1"/>
  <c r="Q22" i="9"/>
  <c r="N37" i="9"/>
  <c r="S37" i="9" s="1"/>
  <c r="D2" i="9"/>
  <c r="I2" i="9" s="1"/>
  <c r="D29" i="9"/>
  <c r="I29" i="9" s="1"/>
  <c r="D60" i="9"/>
  <c r="I60" i="9" s="1"/>
  <c r="D91" i="9"/>
  <c r="I91" i="9" s="1"/>
  <c r="D11" i="9"/>
  <c r="D42" i="9"/>
  <c r="I42" i="9" s="1"/>
  <c r="E90" i="9" a="1"/>
  <c r="E90" i="9" s="1"/>
  <c r="Q97" i="9"/>
  <c r="Q33" i="9"/>
  <c r="H68" i="9"/>
  <c r="H4" i="9"/>
  <c r="R39" i="9"/>
  <c r="Q80" i="9"/>
  <c r="H51" i="9"/>
  <c r="R86" i="9"/>
  <c r="R22" i="9"/>
  <c r="Q63" i="9"/>
  <c r="H98" i="9"/>
  <c r="H34" i="9"/>
  <c r="R69" i="9"/>
  <c r="R5" i="9"/>
  <c r="H57" i="9"/>
  <c r="R92" i="9"/>
  <c r="R28" i="9"/>
  <c r="Q69" i="9"/>
  <c r="Q5" i="9"/>
  <c r="H40" i="9"/>
  <c r="R75" i="9"/>
  <c r="R11" i="9"/>
  <c r="H62" i="9"/>
  <c r="R97" i="9"/>
  <c r="R33" i="9"/>
  <c r="H45" i="9"/>
  <c r="R80" i="9"/>
  <c r="R16" i="9"/>
  <c r="Q3" i="3"/>
  <c r="X83" i="9"/>
  <c r="AC83" i="9" s="1"/>
  <c r="AA80" i="9"/>
  <c r="X23" i="9"/>
  <c r="AC23" i="9" s="1"/>
  <c r="X88" i="9"/>
  <c r="AC88" i="9" s="1"/>
  <c r="AB54" i="9"/>
  <c r="AA20" i="9"/>
  <c r="X67" i="9"/>
  <c r="AC67" i="9" s="1"/>
  <c r="AB89" i="9"/>
  <c r="AB7" i="9"/>
  <c r="X28" i="9"/>
  <c r="AC28" i="9" s="1"/>
  <c r="AA44" i="9"/>
  <c r="X29" i="9"/>
  <c r="AB94" i="9"/>
  <c r="AA82" i="9"/>
  <c r="X96" i="9"/>
  <c r="AC96" i="9" s="1"/>
  <c r="AA77" i="9"/>
  <c r="X30" i="9"/>
  <c r="AC30" i="9" s="1"/>
  <c r="X42" i="9"/>
  <c r="AC42" i="9" s="1"/>
  <c r="AB60" i="9"/>
  <c r="AB100" i="9"/>
  <c r="X27" i="9"/>
  <c r="AC27" i="9" s="1"/>
  <c r="X75" i="9"/>
  <c r="AC75" i="9" s="1"/>
  <c r="AA67" i="9"/>
  <c r="AB38" i="9"/>
  <c r="X57" i="9"/>
  <c r="AC57" i="9" s="1"/>
  <c r="AA84" i="9"/>
  <c r="AA96" i="9"/>
  <c r="AA57" i="9"/>
  <c r="X99" i="9"/>
  <c r="AC99" i="9" s="1"/>
  <c r="X56" i="9"/>
  <c r="AC56" i="9" s="1"/>
  <c r="AA54" i="9"/>
  <c r="X59" i="9"/>
  <c r="AC59" i="9" s="1"/>
  <c r="AB71" i="9"/>
  <c r="AB83" i="9"/>
  <c r="X92" i="9"/>
  <c r="AC92" i="9" s="1"/>
  <c r="AA31" i="9"/>
  <c r="X6" i="9"/>
  <c r="X18" i="9"/>
  <c r="AA49" i="9"/>
  <c r="AB23" i="9"/>
  <c r="AB35" i="9"/>
  <c r="X44" i="9"/>
  <c r="AC44" i="9" s="1"/>
  <c r="AS4" i="3"/>
  <c r="G4" i="3"/>
  <c r="AK4" i="3"/>
  <c r="AK3" i="3"/>
  <c r="AG3" i="3"/>
  <c r="G3" i="3"/>
  <c r="AS3" i="3"/>
  <c r="AB98" i="9"/>
  <c r="AA68" i="9"/>
  <c r="AA89" i="9"/>
  <c r="X40" i="9"/>
  <c r="AC40" i="9" s="1"/>
  <c r="AA83" i="9"/>
  <c r="AB50" i="9"/>
  <c r="AA32" i="9"/>
  <c r="AA29" i="9"/>
  <c r="AB52" i="9"/>
  <c r="AB19" i="9"/>
  <c r="X47" i="9"/>
  <c r="AC47" i="9" s="1"/>
  <c r="AA56" i="9"/>
  <c r="X61" i="9"/>
  <c r="AC61" i="9" s="1"/>
  <c r="AA78" i="9"/>
  <c r="AA93" i="9"/>
  <c r="AB48" i="9"/>
  <c r="X94" i="9"/>
  <c r="AC94" i="9" s="1"/>
  <c r="AB5" i="9"/>
  <c r="AA39" i="9"/>
  <c r="X97" i="9"/>
  <c r="AC97" i="9" s="1"/>
  <c r="X15" i="9"/>
  <c r="X63" i="9"/>
  <c r="AC63" i="9" s="1"/>
  <c r="AA51" i="9"/>
  <c r="AB22" i="9"/>
  <c r="X46" i="9"/>
  <c r="AC46" i="9" s="1"/>
  <c r="X58" i="9"/>
  <c r="AC58" i="9" s="1"/>
  <c r="AB28" i="9"/>
  <c r="AA97" i="9"/>
  <c r="AA43" i="9"/>
  <c r="AB11" i="9"/>
  <c r="AA47" i="9"/>
  <c r="AA36" i="9"/>
  <c r="AA48" i="9"/>
  <c r="X41" i="9"/>
  <c r="AC41" i="9" s="1"/>
  <c r="X70" i="9"/>
  <c r="AC70" i="9" s="1"/>
  <c r="X82" i="9"/>
  <c r="AC82" i="9" s="1"/>
  <c r="AA87" i="9"/>
  <c r="AB20" i="9"/>
  <c r="AB87" i="9"/>
  <c r="AB99" i="9"/>
  <c r="X16" i="9"/>
  <c r="Y3" i="3"/>
  <c r="AC3" i="3"/>
  <c r="Y100" i="9" a="1"/>
  <c r="Y100" i="9" s="1"/>
  <c r="AD100" i="9" s="1"/>
  <c r="AE100" i="9" s="1"/>
  <c r="AF100" i="9" s="1"/>
  <c r="X31" i="9"/>
  <c r="AC31" i="9" s="1"/>
  <c r="AA6" i="9"/>
  <c r="AA10" i="9"/>
  <c r="X51" i="9"/>
  <c r="AC51" i="9" s="1"/>
  <c r="AA15" i="9"/>
  <c r="X14" i="9"/>
  <c r="X26" i="9"/>
  <c r="AC26" i="9" s="1"/>
  <c r="AA71" i="9"/>
  <c r="AG4" i="3"/>
  <c r="J3" i="6" l="1"/>
  <c r="X3" i="6" s="1"/>
  <c r="AH3" i="1" a="1"/>
  <c r="AH3" i="1" s="1"/>
  <c r="Y3" i="1" a="1"/>
  <c r="Y3" i="1" s="1"/>
  <c r="V2" i="1"/>
  <c r="AH16" i="1" a="1"/>
  <c r="AH16" i="1" s="1"/>
  <c r="Y16" i="1" a="1"/>
  <c r="Y16" i="1" s="1"/>
  <c r="Y17" i="1" a="1"/>
  <c r="Y17" i="1" s="1"/>
  <c r="AH17" i="1" a="1"/>
  <c r="AH17" i="1" s="1"/>
  <c r="J72" i="9"/>
  <c r="K72" i="9" s="1"/>
  <c r="L72" i="9" s="1"/>
  <c r="AD4" i="9"/>
  <c r="AE4" i="9" s="1"/>
  <c r="AF4" i="9" s="1"/>
  <c r="AH13" i="1" a="1"/>
  <c r="AH13" i="1" s="1"/>
  <c r="Y13" i="1" a="1"/>
  <c r="Y13" i="1" s="1"/>
  <c r="AH14" i="1" a="1"/>
  <c r="AH14" i="1" s="1"/>
  <c r="Y14" i="1" a="1"/>
  <c r="Y14" i="1" s="1"/>
  <c r="V19" i="1"/>
  <c r="O2" i="6" s="1"/>
  <c r="Y2" i="6" s="1"/>
  <c r="L2" i="7" s="1"/>
  <c r="M2" i="7" s="1"/>
  <c r="V20" i="1"/>
  <c r="I7" i="9"/>
  <c r="I22" i="9"/>
  <c r="I13" i="9"/>
  <c r="V12" i="1"/>
  <c r="I6" i="9"/>
  <c r="V15" i="1"/>
  <c r="I18" i="9"/>
  <c r="S22" i="9"/>
  <c r="AC6" i="9"/>
  <c r="S11" i="9"/>
  <c r="S14" i="9"/>
  <c r="AC14" i="9"/>
  <c r="AC18" i="9"/>
  <c r="S29" i="9"/>
  <c r="S19" i="9"/>
  <c r="S18" i="9"/>
  <c r="S45" i="9"/>
  <c r="AC20" i="9"/>
  <c r="S20" i="9"/>
  <c r="AC8" i="9"/>
  <c r="AC29" i="9"/>
  <c r="AD60" i="9"/>
  <c r="AE60" i="9" s="1"/>
  <c r="AF60" i="9" s="1"/>
  <c r="I19" i="9"/>
  <c r="K4" i="5"/>
  <c r="N4" i="5"/>
  <c r="O4" i="5" s="1"/>
  <c r="AC7" i="9"/>
  <c r="AC11" i="9"/>
  <c r="I11" i="9"/>
  <c r="I10" i="9"/>
  <c r="S17" i="9"/>
  <c r="S15" i="9"/>
  <c r="I15" i="9"/>
  <c r="AC16" i="9"/>
  <c r="P7" i="6"/>
  <c r="V22" i="1"/>
  <c r="V21" i="1"/>
  <c r="AD38" i="9"/>
  <c r="AE38" i="9" s="1"/>
  <c r="AF38" i="9" s="1"/>
  <c r="X7" i="6"/>
  <c r="I7" i="7" s="1"/>
  <c r="J7" i="7" s="1"/>
  <c r="V10" i="1"/>
  <c r="V11" i="1"/>
  <c r="V24" i="1"/>
  <c r="V23" i="1"/>
  <c r="V25" i="1"/>
  <c r="Y25" i="1" s="1" a="1"/>
  <c r="Y25" i="1" s="1"/>
  <c r="AC13" i="9"/>
  <c r="AC15" i="9"/>
  <c r="AC10" i="9"/>
  <c r="S13" i="9"/>
  <c r="V8" i="1"/>
  <c r="S7" i="9"/>
  <c r="V9" i="1"/>
  <c r="S6" i="9"/>
  <c r="AD6" i="1" a="1"/>
  <c r="AD6" i="1" s="1"/>
  <c r="AE6" i="1" s="1"/>
  <c r="AD7" i="1" a="1"/>
  <c r="AD7" i="1" s="1"/>
  <c r="AE7" i="1" s="1"/>
  <c r="I8" i="9"/>
  <c r="AC12" i="9"/>
  <c r="J24" i="9"/>
  <c r="K24" i="9" s="1"/>
  <c r="L24" i="9" s="1"/>
  <c r="J80" i="9"/>
  <c r="K80" i="9" s="1"/>
  <c r="L80" i="9" s="1"/>
  <c r="F16" i="9" a="1"/>
  <c r="F16" i="9" s="1"/>
  <c r="D3" i="3" a="1"/>
  <c r="D3" i="3" s="1"/>
  <c r="E16" i="9" a="1"/>
  <c r="E16" i="9" s="1"/>
  <c r="J16" i="9" s="1"/>
  <c r="K16" i="9" s="1"/>
  <c r="L16" i="9" s="1"/>
  <c r="D16" i="9"/>
  <c r="G16" i="9"/>
  <c r="C3" i="3"/>
  <c r="U3" i="3"/>
  <c r="E3" i="3" a="1"/>
  <c r="E3" i="3" s="1"/>
  <c r="F3" i="3"/>
  <c r="F4" i="3"/>
  <c r="T67" i="9"/>
  <c r="U67" i="9" s="1"/>
  <c r="V67" i="9" s="1"/>
  <c r="Z19" i="9" a="1"/>
  <c r="Z19" i="9" s="1"/>
  <c r="Y19" i="9" a="1"/>
  <c r="Y19" i="9" s="1"/>
  <c r="AA19" i="9"/>
  <c r="X19" i="9"/>
  <c r="Z45" i="9" a="1"/>
  <c r="Z45" i="9" s="1"/>
  <c r="AA45" i="9"/>
  <c r="X45" i="9"/>
  <c r="Y45" i="9" a="1"/>
  <c r="Y45" i="9" s="1"/>
  <c r="C6" i="3"/>
  <c r="Q7" i="3"/>
  <c r="G14" i="9"/>
  <c r="E5" i="3" a="1"/>
  <c r="E5" i="3" s="1"/>
  <c r="E14" i="9" a="1"/>
  <c r="E14" i="9" s="1"/>
  <c r="D14" i="9"/>
  <c r="D5" i="3" a="1"/>
  <c r="D5" i="3" s="1"/>
  <c r="F14" i="9" a="1"/>
  <c r="F14" i="9" s="1"/>
  <c r="J14" i="9" s="1"/>
  <c r="K14" i="9" s="1"/>
  <c r="L14" i="9" s="1"/>
  <c r="E7" i="3" a="1"/>
  <c r="E7" i="3" s="1"/>
  <c r="F7" i="3"/>
  <c r="D7" i="3" a="1"/>
  <c r="D7" i="3" s="1"/>
  <c r="P9" i="9" a="1"/>
  <c r="P9" i="9" s="1"/>
  <c r="O9" i="9" a="1"/>
  <c r="O9" i="9" s="1"/>
  <c r="N9" i="9"/>
  <c r="Q9" i="9"/>
  <c r="F17" i="9" a="1"/>
  <c r="F17" i="9" s="1"/>
  <c r="C2" i="3"/>
  <c r="E2" i="3" a="1"/>
  <c r="E2" i="3" s="1"/>
  <c r="D2" i="3" a="1"/>
  <c r="D2" i="3" s="1"/>
  <c r="Y2" i="3"/>
  <c r="F2" i="3"/>
  <c r="X9" i="9"/>
  <c r="AA9" i="9"/>
  <c r="Y9" i="9" a="1"/>
  <c r="Y9" i="9" s="1"/>
  <c r="Z9" i="9" a="1"/>
  <c r="Z9" i="9" s="1"/>
  <c r="F5" i="3"/>
  <c r="J32" i="9"/>
  <c r="K32" i="9" s="1"/>
  <c r="L32" i="9" s="1"/>
  <c r="AD52" i="9"/>
  <c r="AE52" i="9" s="1"/>
  <c r="AF52" i="9" s="1"/>
  <c r="J56" i="9"/>
  <c r="K56" i="9" s="1"/>
  <c r="L56" i="9" s="1"/>
  <c r="AD36" i="9"/>
  <c r="AE36" i="9" s="1"/>
  <c r="AF36" i="9" s="1"/>
  <c r="J88" i="9"/>
  <c r="K88" i="9" s="1"/>
  <c r="L88" i="9" s="1"/>
  <c r="J63" i="9"/>
  <c r="K63" i="9" s="1"/>
  <c r="L63" i="9" s="1"/>
  <c r="AD35" i="9"/>
  <c r="AE35" i="9" s="1"/>
  <c r="AF35" i="9" s="1"/>
  <c r="C5" i="3"/>
  <c r="U5" i="3"/>
  <c r="J90" i="9"/>
  <c r="K90" i="9" s="1"/>
  <c r="L90" i="9" s="1"/>
  <c r="J59" i="9"/>
  <c r="K59" i="9" s="1"/>
  <c r="L59" i="9" s="1"/>
  <c r="J91" i="9"/>
  <c r="K91" i="9" s="1"/>
  <c r="L91" i="9" s="1"/>
  <c r="T58" i="9"/>
  <c r="U58" i="9" s="1"/>
  <c r="V58" i="9" s="1"/>
  <c r="T96" i="9"/>
  <c r="U96" i="9" s="1"/>
  <c r="V96" i="9" s="1"/>
  <c r="C7" i="3"/>
  <c r="AD50" i="9"/>
  <c r="AE50" i="9" s="1"/>
  <c r="AF50" i="9" s="1"/>
  <c r="J64" i="9"/>
  <c r="K64" i="9" s="1"/>
  <c r="L64" i="9" s="1"/>
  <c r="T25" i="9"/>
  <c r="U25" i="9" s="1"/>
  <c r="V25" i="9" s="1"/>
  <c r="J19" i="9"/>
  <c r="K19" i="9" s="1"/>
  <c r="L19" i="9" s="1"/>
  <c r="J2" i="9"/>
  <c r="K2" i="9" s="1"/>
  <c r="L2" i="9" s="1"/>
  <c r="T3" i="9"/>
  <c r="U3" i="9" s="1"/>
  <c r="V3" i="9" s="1"/>
  <c r="J3" i="9"/>
  <c r="K3" i="9" s="1"/>
  <c r="L3" i="9" s="1"/>
  <c r="AD11" i="9"/>
  <c r="AE11" i="9" s="1"/>
  <c r="AF11" i="9" s="1"/>
  <c r="AD7" i="9"/>
  <c r="AE7" i="9" s="1"/>
  <c r="AF7" i="9" s="1"/>
  <c r="J25" i="9"/>
  <c r="K25" i="9" s="1"/>
  <c r="L25" i="9" s="1"/>
  <c r="J89" i="9"/>
  <c r="K89" i="9" s="1"/>
  <c r="L89" i="9" s="1"/>
  <c r="J27" i="9"/>
  <c r="K27" i="9" s="1"/>
  <c r="L27" i="9" s="1"/>
  <c r="J100" i="9"/>
  <c r="K100" i="9" s="1"/>
  <c r="L100" i="9" s="1"/>
  <c r="J40" i="9"/>
  <c r="K40" i="9" s="1"/>
  <c r="L40" i="9" s="1"/>
  <c r="J42" i="9"/>
  <c r="K42" i="9" s="1"/>
  <c r="L42" i="9" s="1"/>
  <c r="J99" i="9"/>
  <c r="K99" i="9" s="1"/>
  <c r="L99" i="9" s="1"/>
  <c r="J43" i="9"/>
  <c r="K43" i="9" s="1"/>
  <c r="L43" i="9" s="1"/>
  <c r="T78" i="9"/>
  <c r="U78" i="9" s="1"/>
  <c r="V78" i="9" s="1"/>
  <c r="T64" i="9"/>
  <c r="U64" i="9" s="1"/>
  <c r="V64" i="9" s="1"/>
  <c r="T87" i="9"/>
  <c r="U87" i="9" s="1"/>
  <c r="V87" i="9" s="1"/>
  <c r="T51" i="9"/>
  <c r="U51" i="9" s="1"/>
  <c r="V51" i="9" s="1"/>
  <c r="T42" i="9"/>
  <c r="U42" i="9" s="1"/>
  <c r="V42" i="9" s="1"/>
  <c r="T14" i="9"/>
  <c r="U14" i="9" s="1"/>
  <c r="V14" i="9" s="1"/>
  <c r="J61" i="9"/>
  <c r="K61" i="9" s="1"/>
  <c r="L61" i="9" s="1"/>
  <c r="J44" i="9"/>
  <c r="K44" i="9" s="1"/>
  <c r="L44" i="9" s="1"/>
  <c r="T95" i="9"/>
  <c r="U95" i="9" s="1"/>
  <c r="V95" i="9" s="1"/>
  <c r="T68" i="9"/>
  <c r="U68" i="9" s="1"/>
  <c r="V68" i="9" s="1"/>
  <c r="T35" i="9"/>
  <c r="U35" i="9" s="1"/>
  <c r="V35" i="9" s="1"/>
  <c r="T26" i="9"/>
  <c r="U26" i="9" s="1"/>
  <c r="V26" i="9" s="1"/>
  <c r="T88" i="9"/>
  <c r="U88" i="9" s="1"/>
  <c r="V88" i="9" s="1"/>
  <c r="T60" i="9"/>
  <c r="U60" i="9" s="1"/>
  <c r="V60" i="9" s="1"/>
  <c r="T27" i="9"/>
  <c r="U27" i="9" s="1"/>
  <c r="V27" i="9" s="1"/>
  <c r="T18" i="9"/>
  <c r="U18" i="9" s="1"/>
  <c r="V18" i="9" s="1"/>
  <c r="T74" i="9"/>
  <c r="U74" i="9" s="1"/>
  <c r="V74" i="9" s="1"/>
  <c r="T66" i="9"/>
  <c r="U66" i="9" s="1"/>
  <c r="V66" i="9" s="1"/>
  <c r="T33" i="9"/>
  <c r="U33" i="9" s="1"/>
  <c r="V33" i="9" s="1"/>
  <c r="AD41" i="9"/>
  <c r="AE41" i="9" s="1"/>
  <c r="AF41" i="9" s="1"/>
  <c r="J36" i="9"/>
  <c r="K36" i="9" s="1"/>
  <c r="L36" i="9" s="1"/>
  <c r="AD71" i="9"/>
  <c r="AE71" i="9" s="1"/>
  <c r="AF71" i="9" s="1"/>
  <c r="AD44" i="9"/>
  <c r="AE44" i="9" s="1"/>
  <c r="AF44" i="9" s="1"/>
  <c r="AD51" i="9"/>
  <c r="AE51" i="9" s="1"/>
  <c r="AF51" i="9" s="1"/>
  <c r="T23" i="9"/>
  <c r="U23" i="9" s="1"/>
  <c r="V23" i="9" s="1"/>
  <c r="AD12" i="9"/>
  <c r="AE12" i="9" s="1"/>
  <c r="AF12" i="9" s="1"/>
  <c r="AD14" i="9"/>
  <c r="AE14" i="9" s="1"/>
  <c r="AF14" i="9" s="1"/>
  <c r="J95" i="9"/>
  <c r="K95" i="9" s="1"/>
  <c r="L95" i="9" s="1"/>
  <c r="AD93" i="9"/>
  <c r="AE93" i="9" s="1"/>
  <c r="AF93" i="9" s="1"/>
  <c r="AD26" i="9"/>
  <c r="AE26" i="9" s="1"/>
  <c r="AF26" i="9" s="1"/>
  <c r="J35" i="9"/>
  <c r="K35" i="9" s="1"/>
  <c r="L35" i="9" s="1"/>
  <c r="T84" i="9"/>
  <c r="U84" i="9" s="1"/>
  <c r="V84" i="9" s="1"/>
  <c r="T72" i="9"/>
  <c r="U72" i="9" s="1"/>
  <c r="V72" i="9" s="1"/>
  <c r="T94" i="9"/>
  <c r="U94" i="9" s="1"/>
  <c r="V94" i="9" s="1"/>
  <c r="T59" i="9"/>
  <c r="U59" i="9" s="1"/>
  <c r="V59" i="9" s="1"/>
  <c r="T50" i="9"/>
  <c r="U50" i="9" s="1"/>
  <c r="V50" i="9" s="1"/>
  <c r="T17" i="9"/>
  <c r="U17" i="9" s="1"/>
  <c r="V17" i="9" s="1"/>
  <c r="T89" i="9"/>
  <c r="U89" i="9" s="1"/>
  <c r="V89" i="9" s="1"/>
  <c r="T53" i="9"/>
  <c r="U53" i="9" s="1"/>
  <c r="V53" i="9" s="1"/>
  <c r="T20" i="9"/>
  <c r="U20" i="9" s="1"/>
  <c r="V20" i="9" s="1"/>
  <c r="J39" i="9"/>
  <c r="K39" i="9" s="1"/>
  <c r="L39" i="9" s="1"/>
  <c r="J38" i="9"/>
  <c r="K38" i="9" s="1"/>
  <c r="L38" i="9" s="1"/>
  <c r="T37" i="9"/>
  <c r="U37" i="9" s="1"/>
  <c r="V37" i="9" s="1"/>
  <c r="T4" i="9"/>
  <c r="U4" i="9" s="1"/>
  <c r="V4" i="9" s="1"/>
  <c r="T62" i="9"/>
  <c r="U62" i="9" s="1"/>
  <c r="V62" i="9" s="1"/>
  <c r="T29" i="9"/>
  <c r="U29" i="9" s="1"/>
  <c r="V29" i="9" s="1"/>
  <c r="T91" i="9"/>
  <c r="U91" i="9" s="1"/>
  <c r="V91" i="9" s="1"/>
  <c r="T75" i="9"/>
  <c r="U75" i="9" s="1"/>
  <c r="V75" i="9" s="1"/>
  <c r="T44" i="9"/>
  <c r="U44" i="9" s="1"/>
  <c r="V44" i="9" s="1"/>
  <c r="T11" i="9"/>
  <c r="U11" i="9" s="1"/>
  <c r="V11" i="9" s="1"/>
  <c r="AD15" i="9"/>
  <c r="AE15" i="9" s="1"/>
  <c r="AF15" i="9" s="1"/>
  <c r="J93" i="9"/>
  <c r="K93" i="9" s="1"/>
  <c r="L93" i="9" s="1"/>
  <c r="AD91" i="9"/>
  <c r="AE91" i="9" s="1"/>
  <c r="AF91" i="9" s="1"/>
  <c r="AD76" i="9"/>
  <c r="AE76" i="9" s="1"/>
  <c r="AF76" i="9" s="1"/>
  <c r="AD78" i="9"/>
  <c r="AE78" i="9" s="1"/>
  <c r="AF78" i="9" s="1"/>
  <c r="AD90" i="9"/>
  <c r="AE90" i="9" s="1"/>
  <c r="AF90" i="9" s="1"/>
  <c r="T61" i="9"/>
  <c r="U61" i="9" s="1"/>
  <c r="V61" i="9" s="1"/>
  <c r="T28" i="9"/>
  <c r="U28" i="9" s="1"/>
  <c r="V28" i="9" s="1"/>
  <c r="T22" i="9"/>
  <c r="U22" i="9" s="1"/>
  <c r="V22" i="9" s="1"/>
  <c r="J69" i="9"/>
  <c r="K69" i="9" s="1"/>
  <c r="L69" i="9" s="1"/>
  <c r="J60" i="9"/>
  <c r="K60" i="9" s="1"/>
  <c r="L60" i="9" s="1"/>
  <c r="J82" i="9"/>
  <c r="K82" i="9" s="1"/>
  <c r="L82" i="9" s="1"/>
  <c r="T55" i="9"/>
  <c r="U55" i="9" s="1"/>
  <c r="V55" i="9" s="1"/>
  <c r="J94" i="9"/>
  <c r="K94" i="9" s="1"/>
  <c r="L94" i="9" s="1"/>
  <c r="J53" i="9"/>
  <c r="K53" i="9" s="1"/>
  <c r="L53" i="9" s="1"/>
  <c r="J28" i="9"/>
  <c r="K28" i="9" s="1"/>
  <c r="L28" i="9" s="1"/>
  <c r="J86" i="9"/>
  <c r="K86" i="9" s="1"/>
  <c r="L86" i="9" s="1"/>
  <c r="J45" i="9"/>
  <c r="K45" i="9" s="1"/>
  <c r="L45" i="9" s="1"/>
  <c r="J12" i="9"/>
  <c r="K12" i="9" s="1"/>
  <c r="L12" i="9" s="1"/>
  <c r="T86" i="9"/>
  <c r="U86" i="9" s="1"/>
  <c r="V86" i="9" s="1"/>
  <c r="T79" i="9"/>
  <c r="U79" i="9" s="1"/>
  <c r="V79" i="9" s="1"/>
  <c r="T41" i="9"/>
  <c r="U41" i="9" s="1"/>
  <c r="V41" i="9" s="1"/>
  <c r="T24" i="9"/>
  <c r="U24" i="9" s="1"/>
  <c r="V24" i="9" s="1"/>
  <c r="T46" i="9"/>
  <c r="U46" i="9" s="1"/>
  <c r="V46" i="9" s="1"/>
  <c r="T13" i="9"/>
  <c r="U13" i="9" s="1"/>
  <c r="V13" i="9" s="1"/>
  <c r="J84" i="9"/>
  <c r="K84" i="9" s="1"/>
  <c r="L84" i="9" s="1"/>
  <c r="AD63" i="9"/>
  <c r="AE63" i="9" s="1"/>
  <c r="AF63" i="9" s="1"/>
  <c r="J96" i="9"/>
  <c r="K96" i="9" s="1"/>
  <c r="L96" i="9" s="1"/>
  <c r="AD42" i="9"/>
  <c r="AE42" i="9" s="1"/>
  <c r="AF42" i="9" s="1"/>
  <c r="AD79" i="9"/>
  <c r="AE79" i="9" s="1"/>
  <c r="AF79" i="9" s="1"/>
  <c r="AD57" i="9"/>
  <c r="AE57" i="9" s="1"/>
  <c r="AF57" i="9" s="1"/>
  <c r="J20" i="9"/>
  <c r="K20" i="9" s="1"/>
  <c r="L20" i="9" s="1"/>
  <c r="AD23" i="9"/>
  <c r="AE23" i="9" s="1"/>
  <c r="AF23" i="9" s="1"/>
  <c r="AD59" i="9"/>
  <c r="AE59" i="9" s="1"/>
  <c r="AF59" i="9" s="1"/>
  <c r="AD5" i="9"/>
  <c r="AE5" i="9" s="1"/>
  <c r="AF5" i="9" s="1"/>
  <c r="AD31" i="9"/>
  <c r="AE31" i="9" s="1"/>
  <c r="AF31" i="9" s="1"/>
  <c r="AD75" i="9"/>
  <c r="AE75" i="9" s="1"/>
  <c r="AF75" i="9" s="1"/>
  <c r="J98" i="9"/>
  <c r="K98" i="9" s="1"/>
  <c r="L98" i="9" s="1"/>
  <c r="AD13" i="9"/>
  <c r="AE13" i="9" s="1"/>
  <c r="AF13" i="9" s="1"/>
  <c r="AD39" i="9"/>
  <c r="AE39" i="9" s="1"/>
  <c r="AF39" i="9" s="1"/>
  <c r="AD81" i="9"/>
  <c r="AE81" i="9" s="1"/>
  <c r="AF81" i="9" s="1"/>
  <c r="AD25" i="9"/>
  <c r="AE25" i="9" s="1"/>
  <c r="AF25" i="9" s="1"/>
  <c r="AD3" i="9"/>
  <c r="AE3" i="9" s="1"/>
  <c r="AF3" i="9" s="1"/>
  <c r="T76" i="9"/>
  <c r="U76" i="9" s="1"/>
  <c r="V76" i="9" s="1"/>
  <c r="AD40" i="9"/>
  <c r="AE40" i="9" s="1"/>
  <c r="AF40" i="9" s="1"/>
  <c r="T69" i="9"/>
  <c r="U69" i="9" s="1"/>
  <c r="V69" i="9" s="1"/>
  <c r="T36" i="9"/>
  <c r="U36" i="9" s="1"/>
  <c r="V36" i="9" s="1"/>
  <c r="T30" i="9"/>
  <c r="U30" i="9" s="1"/>
  <c r="V30" i="9" s="1"/>
  <c r="J77" i="9"/>
  <c r="K77" i="9" s="1"/>
  <c r="L77" i="9" s="1"/>
  <c r="J68" i="9"/>
  <c r="K68" i="9" s="1"/>
  <c r="L68" i="9" s="1"/>
  <c r="J47" i="9"/>
  <c r="K47" i="9" s="1"/>
  <c r="L47" i="9" s="1"/>
  <c r="J46" i="9"/>
  <c r="K46" i="9" s="1"/>
  <c r="L46" i="9" s="1"/>
  <c r="J18" i="9"/>
  <c r="K18" i="9" s="1"/>
  <c r="L18" i="9" s="1"/>
  <c r="J31" i="9"/>
  <c r="K31" i="9" s="1"/>
  <c r="L31" i="9" s="1"/>
  <c r="J30" i="9"/>
  <c r="K30" i="9" s="1"/>
  <c r="L30" i="9" s="1"/>
  <c r="J23" i="9"/>
  <c r="K23" i="9" s="1"/>
  <c r="L23" i="9" s="1"/>
  <c r="J22" i="9"/>
  <c r="K22" i="9" s="1"/>
  <c r="L22" i="9" s="1"/>
  <c r="T81" i="9"/>
  <c r="U81" i="9" s="1"/>
  <c r="V81" i="9" s="1"/>
  <c r="T52" i="9"/>
  <c r="U52" i="9" s="1"/>
  <c r="V52" i="9" s="1"/>
  <c r="T19" i="9"/>
  <c r="U19" i="9" s="1"/>
  <c r="V19" i="9" s="1"/>
  <c r="J71" i="9"/>
  <c r="K71" i="9" s="1"/>
  <c r="L71" i="9" s="1"/>
  <c r="J70" i="9"/>
  <c r="K70" i="9" s="1"/>
  <c r="L70" i="9" s="1"/>
  <c r="J29" i="9"/>
  <c r="K29" i="9" s="1"/>
  <c r="L29" i="9" s="1"/>
  <c r="J83" i="9"/>
  <c r="K83" i="9" s="1"/>
  <c r="L83" i="9" s="1"/>
  <c r="AD34" i="9"/>
  <c r="AE34" i="9" s="1"/>
  <c r="AF34" i="9" s="1"/>
  <c r="AD61" i="9"/>
  <c r="AE61" i="9" s="1"/>
  <c r="AF61" i="9" s="1"/>
  <c r="AD87" i="9"/>
  <c r="AE87" i="9" s="1"/>
  <c r="AF87" i="9" s="1"/>
  <c r="AD65" i="9"/>
  <c r="AE65" i="9" s="1"/>
  <c r="AF65" i="9" s="1"/>
  <c r="AD69" i="9"/>
  <c r="AE69" i="9" s="1"/>
  <c r="AF69" i="9" s="1"/>
  <c r="AD95" i="9"/>
  <c r="AE95" i="9" s="1"/>
  <c r="AF95" i="9" s="1"/>
  <c r="AD73" i="9"/>
  <c r="AE73" i="9" s="1"/>
  <c r="AF73" i="9" s="1"/>
  <c r="AD77" i="9"/>
  <c r="AE77" i="9" s="1"/>
  <c r="AF77" i="9" s="1"/>
  <c r="AD89" i="9"/>
  <c r="AE89" i="9" s="1"/>
  <c r="AF89" i="9" s="1"/>
  <c r="AD99" i="9"/>
  <c r="AE99" i="9" s="1"/>
  <c r="AF99" i="9" s="1"/>
  <c r="T15" i="9"/>
  <c r="U15" i="9" s="1"/>
  <c r="V15" i="9" s="1"/>
  <c r="AD20" i="9"/>
  <c r="AE20" i="9" s="1"/>
  <c r="AF20" i="9" s="1"/>
  <c r="AD22" i="9"/>
  <c r="AE22" i="9" s="1"/>
  <c r="AF22" i="9" s="1"/>
  <c r="T38" i="9"/>
  <c r="U38" i="9" s="1"/>
  <c r="V38" i="9" s="1"/>
  <c r="T5" i="9"/>
  <c r="U5" i="9" s="1"/>
  <c r="V5" i="9" s="1"/>
  <c r="J76" i="9"/>
  <c r="K76" i="9" s="1"/>
  <c r="L76" i="9" s="1"/>
  <c r="J55" i="9"/>
  <c r="K55" i="9" s="1"/>
  <c r="L55" i="9" s="1"/>
  <c r="J54" i="9"/>
  <c r="K54" i="9" s="1"/>
  <c r="L54" i="9" s="1"/>
  <c r="J13" i="9"/>
  <c r="K13" i="9" s="1"/>
  <c r="L13" i="9" s="1"/>
  <c r="J33" i="9"/>
  <c r="K33" i="9" s="1"/>
  <c r="L33" i="9" s="1"/>
  <c r="T90" i="9"/>
  <c r="U90" i="9" s="1"/>
  <c r="V90" i="9" s="1"/>
  <c r="J74" i="9"/>
  <c r="K74" i="9" s="1"/>
  <c r="L74" i="9" s="1"/>
  <c r="J8" i="9"/>
  <c r="K8" i="9" s="1"/>
  <c r="L8" i="9" s="1"/>
  <c r="T31" i="9"/>
  <c r="U31" i="9" s="1"/>
  <c r="V31" i="9" s="1"/>
  <c r="J66" i="9"/>
  <c r="K66" i="9" s="1"/>
  <c r="L66" i="9" s="1"/>
  <c r="J9" i="9"/>
  <c r="K9" i="9" s="1"/>
  <c r="L9" i="9" s="1"/>
  <c r="T54" i="9"/>
  <c r="U54" i="9" s="1"/>
  <c r="V54" i="9" s="1"/>
  <c r="T21" i="9"/>
  <c r="U21" i="9" s="1"/>
  <c r="V21" i="9" s="1"/>
  <c r="J92" i="9"/>
  <c r="K92" i="9" s="1"/>
  <c r="L92" i="9" s="1"/>
  <c r="J57" i="9"/>
  <c r="K57" i="9" s="1"/>
  <c r="L57" i="9" s="1"/>
  <c r="J48" i="9"/>
  <c r="K48" i="9" s="1"/>
  <c r="L48" i="9" s="1"/>
  <c r="J7" i="9"/>
  <c r="K7" i="9" s="1"/>
  <c r="L7" i="9" s="1"/>
  <c r="J6" i="9"/>
  <c r="K6" i="9" s="1"/>
  <c r="L6" i="9" s="1"/>
  <c r="AD98" i="9"/>
  <c r="AE98" i="9" s="1"/>
  <c r="AF98" i="9" s="1"/>
  <c r="T63" i="9"/>
  <c r="U63" i="9" s="1"/>
  <c r="V63" i="9" s="1"/>
  <c r="AD56" i="9"/>
  <c r="AE56" i="9" s="1"/>
  <c r="AF56" i="9" s="1"/>
  <c r="J85" i="9"/>
  <c r="K85" i="9" s="1"/>
  <c r="L85" i="9" s="1"/>
  <c r="J97" i="9"/>
  <c r="K97" i="9" s="1"/>
  <c r="L97" i="9" s="1"/>
  <c r="J87" i="9"/>
  <c r="K87" i="9" s="1"/>
  <c r="L87" i="9" s="1"/>
  <c r="AD21" i="9"/>
  <c r="AE21" i="9" s="1"/>
  <c r="AF21" i="9" s="1"/>
  <c r="AD47" i="9"/>
  <c r="AE47" i="9" s="1"/>
  <c r="AF47" i="9" s="1"/>
  <c r="AD84" i="9"/>
  <c r="AE84" i="9" s="1"/>
  <c r="AF84" i="9" s="1"/>
  <c r="AD86" i="9"/>
  <c r="AE86" i="9" s="1"/>
  <c r="AF86" i="9" s="1"/>
  <c r="AD67" i="9"/>
  <c r="AE67" i="9" s="1"/>
  <c r="AF67" i="9" s="1"/>
  <c r="AD2" i="9"/>
  <c r="AE2" i="9" s="1"/>
  <c r="AF2" i="9" s="1"/>
  <c r="J75" i="9"/>
  <c r="K75" i="9" s="1"/>
  <c r="L75" i="9" s="1"/>
  <c r="J62" i="9"/>
  <c r="K62" i="9" s="1"/>
  <c r="L62" i="9" s="1"/>
  <c r="J21" i="9"/>
  <c r="K21" i="9" s="1"/>
  <c r="L21" i="9" s="1"/>
  <c r="J26" i="9"/>
  <c r="K26" i="9" s="1"/>
  <c r="L26" i="9" s="1"/>
  <c r="T100" i="9"/>
  <c r="U100" i="9" s="1"/>
  <c r="V100" i="9" s="1"/>
  <c r="T65" i="9"/>
  <c r="U65" i="9" s="1"/>
  <c r="V65" i="9" s="1"/>
  <c r="T48" i="9"/>
  <c r="U48" i="9" s="1"/>
  <c r="V48" i="9" s="1"/>
  <c r="J10" i="9"/>
  <c r="K10" i="9" s="1"/>
  <c r="L10" i="9" s="1"/>
  <c r="J11" i="9"/>
  <c r="K11" i="9" s="1"/>
  <c r="L11" i="9" s="1"/>
  <c r="J79" i="9"/>
  <c r="K79" i="9" s="1"/>
  <c r="L79" i="9" s="1"/>
  <c r="J78" i="9"/>
  <c r="K78" i="9" s="1"/>
  <c r="L78" i="9" s="1"/>
  <c r="J37" i="9"/>
  <c r="K37" i="9" s="1"/>
  <c r="L37" i="9" s="1"/>
  <c r="J4" i="9"/>
  <c r="K4" i="9" s="1"/>
  <c r="L4" i="9" s="1"/>
  <c r="J50" i="9"/>
  <c r="K50" i="9" s="1"/>
  <c r="L50" i="9" s="1"/>
  <c r="T71" i="9"/>
  <c r="U71" i="9" s="1"/>
  <c r="V71" i="9" s="1"/>
  <c r="AD30" i="9"/>
  <c r="AE30" i="9" s="1"/>
  <c r="AF30" i="9" s="1"/>
  <c r="T97" i="9"/>
  <c r="U97" i="9" s="1"/>
  <c r="V97" i="9" s="1"/>
  <c r="AD24" i="9"/>
  <c r="AE24" i="9" s="1"/>
  <c r="AF24" i="9" s="1"/>
  <c r="AD10" i="9"/>
  <c r="AE10" i="9" s="1"/>
  <c r="AF10" i="9" s="1"/>
  <c r="J81" i="9"/>
  <c r="K81" i="9" s="1"/>
  <c r="L81" i="9" s="1"/>
  <c r="AD85" i="9"/>
  <c r="AE85" i="9" s="1"/>
  <c r="AF85" i="9" s="1"/>
  <c r="AD33" i="9"/>
  <c r="AE33" i="9" s="1"/>
  <c r="AF33" i="9" s="1"/>
  <c r="AD43" i="9"/>
  <c r="AE43" i="9" s="1"/>
  <c r="AF43" i="9" s="1"/>
  <c r="AD83" i="9"/>
  <c r="AE83" i="9" s="1"/>
  <c r="AF83" i="9" s="1"/>
  <c r="T70" i="9"/>
  <c r="U70" i="9" s="1"/>
  <c r="V70" i="9" s="1"/>
  <c r="J34" i="9"/>
  <c r="K34" i="9" s="1"/>
  <c r="L34" i="9" s="1"/>
  <c r="T80" i="9"/>
  <c r="U80" i="9" s="1"/>
  <c r="V80" i="9" s="1"/>
  <c r="T43" i="9"/>
  <c r="U43" i="9" s="1"/>
  <c r="V43" i="9" s="1"/>
  <c r="T34" i="9"/>
  <c r="U34" i="9" s="1"/>
  <c r="V34" i="9" s="1"/>
  <c r="T98" i="9"/>
  <c r="U98" i="9" s="1"/>
  <c r="V98" i="9" s="1"/>
  <c r="J65" i="9"/>
  <c r="K65" i="9" s="1"/>
  <c r="L65" i="9" s="1"/>
  <c r="J15" i="9"/>
  <c r="K15" i="9" s="1"/>
  <c r="L15" i="9" s="1"/>
  <c r="T7" i="9"/>
  <c r="U7" i="9" s="1"/>
  <c r="V7" i="9" s="1"/>
  <c r="AD28" i="9"/>
  <c r="AE28" i="9" s="1"/>
  <c r="AF28" i="9" s="1"/>
  <c r="AD94" i="9"/>
  <c r="AE94" i="9" s="1"/>
  <c r="AF94" i="9" s="1"/>
  <c r="AD46" i="9"/>
  <c r="AE46" i="9" s="1"/>
  <c r="AF46" i="9" s="1"/>
  <c r="AD64" i="9"/>
  <c r="AE64" i="9" s="1"/>
  <c r="AF64" i="9" s="1"/>
  <c r="T47" i="9"/>
  <c r="U47" i="9" s="1"/>
  <c r="V47" i="9" s="1"/>
  <c r="AD54" i="9"/>
  <c r="AE54" i="9" s="1"/>
  <c r="AF54" i="9" s="1"/>
  <c r="AD8" i="9"/>
  <c r="AE8" i="9" s="1"/>
  <c r="AF8" i="9" s="1"/>
  <c r="AD58" i="9"/>
  <c r="AE58" i="9" s="1"/>
  <c r="AF58" i="9" s="1"/>
  <c r="T39" i="9"/>
  <c r="U39" i="9" s="1"/>
  <c r="V39" i="9" s="1"/>
  <c r="AD16" i="9"/>
  <c r="AE16" i="9" s="1"/>
  <c r="AF16" i="9" s="1"/>
  <c r="AD6" i="9"/>
  <c r="AE6" i="9" s="1"/>
  <c r="AF6" i="9" s="1"/>
  <c r="AD88" i="9"/>
  <c r="AE88" i="9" s="1"/>
  <c r="AF88" i="9" s="1"/>
  <c r="AD74" i="9"/>
  <c r="AE74" i="9" s="1"/>
  <c r="AF74" i="9" s="1"/>
  <c r="AD18" i="9"/>
  <c r="AE18" i="9" s="1"/>
  <c r="AF18" i="9" s="1"/>
  <c r="J52" i="9"/>
  <c r="K52" i="9" s="1"/>
  <c r="L52" i="9" s="1"/>
  <c r="J73" i="9"/>
  <c r="K73" i="9" s="1"/>
  <c r="L73" i="9" s="1"/>
  <c r="J67" i="9"/>
  <c r="K67" i="9" s="1"/>
  <c r="L67" i="9" s="1"/>
  <c r="T6" i="9"/>
  <c r="U6" i="9" s="1"/>
  <c r="V6" i="9" s="1"/>
  <c r="J51" i="9"/>
  <c r="K51" i="9" s="1"/>
  <c r="L51" i="9" s="1"/>
  <c r="T73" i="9"/>
  <c r="U73" i="9" s="1"/>
  <c r="V73" i="9" s="1"/>
  <c r="T56" i="9"/>
  <c r="U56" i="9" s="1"/>
  <c r="V56" i="9" s="1"/>
  <c r="T82" i="9"/>
  <c r="U82" i="9" s="1"/>
  <c r="V82" i="9" s="1"/>
  <c r="T45" i="9"/>
  <c r="U45" i="9" s="1"/>
  <c r="V45" i="9" s="1"/>
  <c r="T2" i="9"/>
  <c r="U2" i="9" s="1"/>
  <c r="V2" i="9" s="1"/>
  <c r="T92" i="9"/>
  <c r="U92" i="9" s="1"/>
  <c r="V92" i="9" s="1"/>
  <c r="T57" i="9"/>
  <c r="U57" i="9" s="1"/>
  <c r="V57" i="9" s="1"/>
  <c r="T40" i="9"/>
  <c r="U40" i="9" s="1"/>
  <c r="V40" i="9" s="1"/>
  <c r="T93" i="9"/>
  <c r="U93" i="9" s="1"/>
  <c r="V93" i="9" s="1"/>
  <c r="T85" i="9"/>
  <c r="U85" i="9" s="1"/>
  <c r="V85" i="9" s="1"/>
  <c r="T49" i="9"/>
  <c r="U49" i="9" s="1"/>
  <c r="V49" i="9" s="1"/>
  <c r="T32" i="9"/>
  <c r="U32" i="9" s="1"/>
  <c r="V32" i="9" s="1"/>
  <c r="J58" i="9"/>
  <c r="K58" i="9" s="1"/>
  <c r="L58" i="9" s="1"/>
  <c r="T99" i="9"/>
  <c r="U99" i="9" s="1"/>
  <c r="V99" i="9" s="1"/>
  <c r="T77" i="9"/>
  <c r="U77" i="9" s="1"/>
  <c r="V77" i="9" s="1"/>
  <c r="AD92" i="9"/>
  <c r="AE92" i="9" s="1"/>
  <c r="AF92" i="9" s="1"/>
  <c r="AD27" i="9"/>
  <c r="AE27" i="9" s="1"/>
  <c r="AF27" i="9" s="1"/>
  <c r="AD97" i="9"/>
  <c r="AE97" i="9" s="1"/>
  <c r="AF97" i="9" s="1"/>
  <c r="AD96" i="9"/>
  <c r="AE96" i="9" s="1"/>
  <c r="AF96" i="9" s="1"/>
  <c r="AD72" i="9"/>
  <c r="AE72" i="9" s="1"/>
  <c r="AF72" i="9" s="1"/>
  <c r="AD62" i="9"/>
  <c r="AE62" i="9" s="1"/>
  <c r="AF62" i="9" s="1"/>
  <c r="AD80" i="9"/>
  <c r="AE80" i="9" s="1"/>
  <c r="AF80" i="9" s="1"/>
  <c r="AD66" i="9"/>
  <c r="AE66" i="9" s="1"/>
  <c r="AF66" i="9" s="1"/>
  <c r="AD68" i="9"/>
  <c r="AE68" i="9" s="1"/>
  <c r="AF68" i="9" s="1"/>
  <c r="AD70" i="9"/>
  <c r="AE70" i="9" s="1"/>
  <c r="AF70" i="9" s="1"/>
  <c r="T83" i="9"/>
  <c r="U83" i="9" s="1"/>
  <c r="V83" i="9" s="1"/>
  <c r="AD32" i="9"/>
  <c r="AE32" i="9" s="1"/>
  <c r="AF32" i="9" s="1"/>
  <c r="AD82" i="9"/>
  <c r="AE82" i="9" s="1"/>
  <c r="AF82" i="9" s="1"/>
  <c r="AD29" i="9"/>
  <c r="AE29" i="9" s="1"/>
  <c r="AF29" i="9" s="1"/>
  <c r="AD55" i="9"/>
  <c r="AE55" i="9" s="1"/>
  <c r="AF55" i="9" s="1"/>
  <c r="J5" i="9"/>
  <c r="K5" i="9" s="1"/>
  <c r="L5" i="9" s="1"/>
  <c r="I3" i="3"/>
  <c r="O3" i="6" l="1"/>
  <c r="Y3" i="6" s="1"/>
  <c r="L3" i="7" s="1"/>
  <c r="M3" i="7" s="1"/>
  <c r="R2" i="5"/>
  <c r="Y12" i="1" a="1"/>
  <c r="Y12" i="1" s="1"/>
  <c r="T3" i="6"/>
  <c r="Z3" i="6" s="1"/>
  <c r="O3" i="7" s="1"/>
  <c r="P3" i="7" s="1"/>
  <c r="H2" i="3"/>
  <c r="J2" i="6"/>
  <c r="X2" i="6" s="1"/>
  <c r="I2" i="7" s="1"/>
  <c r="J2" i="7" s="1"/>
  <c r="I2" i="5"/>
  <c r="Y2" i="1" a="1"/>
  <c r="Y2" i="1" s="1"/>
  <c r="AH2" i="1" a="1"/>
  <c r="AH2" i="1" s="1"/>
  <c r="T2" i="6"/>
  <c r="Z2" i="6" s="1"/>
  <c r="O2" i="7" s="1"/>
  <c r="P2" i="7" s="1"/>
  <c r="AB2" i="5"/>
  <c r="AD2" i="5" s="1"/>
  <c r="Y20" i="1" a="1"/>
  <c r="Y20" i="1" s="1"/>
  <c r="AH20" i="1" a="1"/>
  <c r="AH20" i="1" s="1"/>
  <c r="AH19" i="1" a="1"/>
  <c r="AH19" i="1" s="1"/>
  <c r="Y19" i="1" a="1"/>
  <c r="Y19" i="1" s="1"/>
  <c r="AH12" i="1" a="1"/>
  <c r="AH12" i="1" s="1"/>
  <c r="Y15" i="1" a="1"/>
  <c r="Y15" i="1" s="1"/>
  <c r="AH15" i="1" a="1"/>
  <c r="AH15" i="1" s="1"/>
  <c r="H5" i="3"/>
  <c r="G17" i="9"/>
  <c r="AD19" i="9"/>
  <c r="AE19" i="9" s="1"/>
  <c r="AF19" i="9" s="1"/>
  <c r="D17" i="9"/>
  <c r="T9" i="9"/>
  <c r="U9" i="9" s="1"/>
  <c r="V9" i="9" s="1"/>
  <c r="D4" i="3" a="1"/>
  <c r="D4" i="3" s="1"/>
  <c r="AC19" i="9"/>
  <c r="AC45" i="9"/>
  <c r="E17" i="9" a="1"/>
  <c r="E17" i="9" s="1"/>
  <c r="Y4" i="3"/>
  <c r="C4" i="3"/>
  <c r="I16" i="9"/>
  <c r="O7" i="6"/>
  <c r="Y21" i="1" a="1"/>
  <c r="Y21" i="1" s="1"/>
  <c r="AH21" i="1" a="1"/>
  <c r="AH21" i="1" s="1"/>
  <c r="Y22" i="1" a="1"/>
  <c r="Y22" i="1" s="1"/>
  <c r="AH22" i="1" a="1"/>
  <c r="AH22" i="1" s="1"/>
  <c r="AH11" i="1" a="1"/>
  <c r="AH11" i="1" s="1"/>
  <c r="Y11" i="1" a="1"/>
  <c r="Y11" i="1" s="1"/>
  <c r="Z7" i="6"/>
  <c r="O7" i="7" s="1"/>
  <c r="P7" i="7" s="1"/>
  <c r="Y23" i="1" a="1"/>
  <c r="Y23" i="1" s="1"/>
  <c r="AH23" i="1" a="1"/>
  <c r="AH23" i="1" s="1"/>
  <c r="Y24" i="1" a="1"/>
  <c r="Y24" i="1" s="1"/>
  <c r="AH24" i="1" a="1"/>
  <c r="AH24" i="1" s="1"/>
  <c r="Y10" i="1" a="1"/>
  <c r="Y10" i="1" s="1"/>
  <c r="AH10" i="1" a="1"/>
  <c r="AH10" i="1" s="1"/>
  <c r="E4" i="3" a="1"/>
  <c r="E4" i="3" s="1"/>
  <c r="I4" i="3" s="1"/>
  <c r="AE4" i="3" s="1"/>
  <c r="AF4" i="3" s="1"/>
  <c r="I2" i="3"/>
  <c r="H3" i="3"/>
  <c r="AH25" i="1" a="1"/>
  <c r="AH25" i="1" s="1"/>
  <c r="AD25" i="1" a="1"/>
  <c r="AD25" i="1" s="1"/>
  <c r="AE25" i="1" s="1"/>
  <c r="AD24" i="1" a="1"/>
  <c r="AD24" i="1" s="1"/>
  <c r="AE24" i="1" s="1"/>
  <c r="AD23" i="1" a="1"/>
  <c r="AD23" i="1" s="1"/>
  <c r="AE23" i="1" s="1"/>
  <c r="AD17" i="1" a="1"/>
  <c r="AD17" i="1" s="1"/>
  <c r="AE17" i="1" s="1"/>
  <c r="AD15" i="1" a="1"/>
  <c r="AD15" i="1" s="1"/>
  <c r="AE15" i="1" s="1"/>
  <c r="AD16" i="1" a="1"/>
  <c r="AD16" i="1" s="1"/>
  <c r="AE16" i="1" s="1"/>
  <c r="AD13" i="1" a="1"/>
  <c r="AD13" i="1" s="1"/>
  <c r="AE13" i="1" s="1"/>
  <c r="AD14" i="1" a="1"/>
  <c r="AD14" i="1" s="1"/>
  <c r="AE14" i="1" s="1"/>
  <c r="E6" i="3" a="1"/>
  <c r="E6" i="3" s="1"/>
  <c r="Y8" i="1" a="1"/>
  <c r="Y8" i="1" s="1"/>
  <c r="AH8" i="1" a="1"/>
  <c r="AH8" i="1" s="1"/>
  <c r="Y9" i="1" a="1"/>
  <c r="Y9" i="1" s="1"/>
  <c r="AH9" i="1" a="1"/>
  <c r="AH9" i="1" s="1"/>
  <c r="AD12" i="1" a="1"/>
  <c r="AD12" i="1" s="1"/>
  <c r="AE12" i="1" s="1"/>
  <c r="D6" i="3" a="1"/>
  <c r="D6" i="3" s="1"/>
  <c r="AD8" i="1" a="1"/>
  <c r="AD8" i="1" s="1"/>
  <c r="AE8" i="1" s="1"/>
  <c r="AD9" i="1" a="1"/>
  <c r="AD9" i="1" s="1"/>
  <c r="AE9" i="1" s="1"/>
  <c r="AD4" i="1" a="1"/>
  <c r="AD4" i="1" s="1"/>
  <c r="AE4" i="1" s="1"/>
  <c r="AD5" i="1" a="1"/>
  <c r="AD5" i="1" s="1"/>
  <c r="AE5" i="1" s="1"/>
  <c r="F6" i="3"/>
  <c r="AD2" i="1" a="1"/>
  <c r="AD2" i="1" s="1"/>
  <c r="AE2" i="1" s="1"/>
  <c r="AD3" i="1" a="1"/>
  <c r="AD3" i="1" s="1"/>
  <c r="AE3" i="1" s="1"/>
  <c r="H7" i="3"/>
  <c r="AC9" i="9"/>
  <c r="Y17" i="9" a="1"/>
  <c r="Y17" i="9" s="1"/>
  <c r="AA17" i="9"/>
  <c r="Z17" i="9" a="1"/>
  <c r="Z17" i="9" s="1"/>
  <c r="X17" i="9"/>
  <c r="AD9" i="9"/>
  <c r="AE9" i="9" s="1"/>
  <c r="AF9" i="9" s="1"/>
  <c r="N10" i="9"/>
  <c r="Q10" i="9"/>
  <c r="P10" i="9" a="1"/>
  <c r="P10" i="9" s="1"/>
  <c r="O10" i="9" a="1"/>
  <c r="O10" i="9" s="1"/>
  <c r="O8" i="9" a="1"/>
  <c r="O8" i="9" s="1"/>
  <c r="P8" i="9" a="1"/>
  <c r="P8" i="9" s="1"/>
  <c r="N8" i="9"/>
  <c r="Q6" i="3"/>
  <c r="Q8" i="9"/>
  <c r="AD45" i="9"/>
  <c r="AE45" i="9" s="1"/>
  <c r="AF45" i="9" s="1"/>
  <c r="I7" i="3"/>
  <c r="K7" i="3" s="1"/>
  <c r="I5" i="3"/>
  <c r="AQ5" i="3" s="1"/>
  <c r="AR5" i="3" s="1"/>
  <c r="J17" i="9"/>
  <c r="K17" i="9" s="1"/>
  <c r="L17" i="9" s="1"/>
  <c r="N16" i="9"/>
  <c r="P16" i="9" a="1"/>
  <c r="P16" i="9" s="1"/>
  <c r="O16" i="9" a="1"/>
  <c r="O16" i="9" s="1"/>
  <c r="Q16" i="9"/>
  <c r="P12" i="9" a="1"/>
  <c r="P12" i="9" s="1"/>
  <c r="O12" i="9" a="1"/>
  <c r="O12" i="9" s="1"/>
  <c r="N12" i="9"/>
  <c r="Q12" i="9"/>
  <c r="S9" i="9"/>
  <c r="I14" i="9"/>
  <c r="AE7" i="3"/>
  <c r="AF7" i="3" s="1"/>
  <c r="AY3" i="3"/>
  <c r="AZ3" i="3" s="1"/>
  <c r="S3" i="3"/>
  <c r="AM3" i="3"/>
  <c r="AN3" i="3" s="1"/>
  <c r="W3" i="3"/>
  <c r="AI3" i="3"/>
  <c r="AJ3" i="3" s="1"/>
  <c r="AQ3" i="3"/>
  <c r="AR3" i="3" s="1"/>
  <c r="AU3" i="3"/>
  <c r="AV3" i="3" s="1"/>
  <c r="AA3" i="3"/>
  <c r="AB3" i="3" s="1"/>
  <c r="O3" i="3"/>
  <c r="P3" i="3" s="1"/>
  <c r="AE3" i="3"/>
  <c r="AF3" i="3" s="1"/>
  <c r="K3" i="3"/>
  <c r="L3" i="3" s="1"/>
  <c r="AA4" i="3"/>
  <c r="AB4" i="3" s="1"/>
  <c r="AA2" i="3"/>
  <c r="O2" i="3"/>
  <c r="AU2" i="3"/>
  <c r="AV2" i="3" s="1"/>
  <c r="AY2" i="3"/>
  <c r="AZ2" i="3" s="1"/>
  <c r="AE2" i="3"/>
  <c r="AF2" i="3" s="1"/>
  <c r="AI2" i="3"/>
  <c r="AJ2" i="3" s="1"/>
  <c r="S2" i="3"/>
  <c r="AM2" i="3"/>
  <c r="AN2" i="3" s="1"/>
  <c r="W2" i="3"/>
  <c r="K2" i="3"/>
  <c r="AQ2" i="3"/>
  <c r="AR2" i="3" s="1"/>
  <c r="AJ2" i="5" l="1"/>
  <c r="AK2" i="5" s="1"/>
  <c r="K2" i="5"/>
  <c r="J2" i="5"/>
  <c r="S2" i="5"/>
  <c r="S4" i="3"/>
  <c r="T2" i="5"/>
  <c r="AC2" i="5"/>
  <c r="W4" i="3"/>
  <c r="X4" i="3" s="1"/>
  <c r="AU4" i="3"/>
  <c r="AV4" i="3" s="1"/>
  <c r="AM4" i="3"/>
  <c r="AN4" i="3" s="1"/>
  <c r="AI4" i="3"/>
  <c r="AJ4" i="3" s="1"/>
  <c r="O4" i="3"/>
  <c r="K4" i="3"/>
  <c r="L4" i="3" s="1"/>
  <c r="AY4" i="3"/>
  <c r="AZ4" i="3" s="1"/>
  <c r="AQ4" i="3"/>
  <c r="AR4" i="3" s="1"/>
  <c r="I17" i="9"/>
  <c r="AB2" i="3"/>
  <c r="AE2" i="5" a="1"/>
  <c r="AE2" i="5" s="1"/>
  <c r="U3" i="5" a="1"/>
  <c r="U3" i="5" s="1"/>
  <c r="X3" i="5" s="1"/>
  <c r="Y3" i="5" s="1"/>
  <c r="U4" i="5" a="1"/>
  <c r="U4" i="5" s="1"/>
  <c r="X4" i="5" s="1"/>
  <c r="Y4" i="5" s="1"/>
  <c r="U2" i="5" a="1"/>
  <c r="U2" i="5" s="1"/>
  <c r="AE3" i="5" a="1"/>
  <c r="AE3" i="5" s="1"/>
  <c r="AH3" i="5" s="1"/>
  <c r="AI3" i="5" s="1"/>
  <c r="AE4" i="5" a="1"/>
  <c r="AE4" i="5" s="1"/>
  <c r="AH4" i="5" s="1"/>
  <c r="AI4" i="5" s="1"/>
  <c r="T4" i="3"/>
  <c r="P2" i="3"/>
  <c r="S8" i="9"/>
  <c r="T2" i="3"/>
  <c r="AQ7" i="3"/>
  <c r="AR7" i="3" s="1"/>
  <c r="AU7" i="3"/>
  <c r="AV7" i="3" s="1"/>
  <c r="S7" i="3"/>
  <c r="AM7" i="3"/>
  <c r="AN7" i="3" s="1"/>
  <c r="W7" i="3"/>
  <c r="X7" i="3" s="1"/>
  <c r="X3" i="3"/>
  <c r="H4" i="3"/>
  <c r="AI7" i="3"/>
  <c r="AJ7" i="3" s="1"/>
  <c r="AA7" i="3"/>
  <c r="AY7" i="3"/>
  <c r="AZ7" i="3" s="1"/>
  <c r="O7" i="3"/>
  <c r="P7" i="3" s="1"/>
  <c r="AD18" i="1" a="1"/>
  <c r="AD18" i="1" s="1"/>
  <c r="AE18" i="1" s="1"/>
  <c r="Y7" i="6"/>
  <c r="L7" i="7" s="1"/>
  <c r="M7" i="7" s="1"/>
  <c r="H6" i="3"/>
  <c r="I6" i="3"/>
  <c r="AD21" i="1" a="1"/>
  <c r="AD21" i="1" s="1"/>
  <c r="AE21" i="1" s="1"/>
  <c r="AD22" i="1" a="1"/>
  <c r="AD22" i="1" s="1"/>
  <c r="AE22" i="1" s="1"/>
  <c r="AD20" i="1" a="1"/>
  <c r="AD20" i="1" s="1"/>
  <c r="AE20" i="1" s="1"/>
  <c r="AD19" i="1" a="1"/>
  <c r="AD19" i="1" s="1"/>
  <c r="AE19" i="1" s="1"/>
  <c r="Z15" i="1" a="1"/>
  <c r="Z15" i="1" s="1"/>
  <c r="AA15" i="1" s="1"/>
  <c r="Z17" i="1" a="1"/>
  <c r="Z17" i="1" s="1"/>
  <c r="AA17" i="1" s="1"/>
  <c r="AF17" i="1" s="1"/>
  <c r="Z16" i="1" a="1"/>
  <c r="Z16" i="1" s="1"/>
  <c r="AA16" i="1" s="1"/>
  <c r="AF16" i="1" s="1"/>
  <c r="AD11" i="1" a="1"/>
  <c r="AD11" i="1" s="1"/>
  <c r="AE11" i="1" s="1"/>
  <c r="AD10" i="1" a="1"/>
  <c r="AD10" i="1" s="1"/>
  <c r="AE10" i="1" s="1"/>
  <c r="L7" i="3"/>
  <c r="Z7" i="1" a="1"/>
  <c r="Z7" i="1" s="1"/>
  <c r="AA7" i="1" s="1"/>
  <c r="Z6" i="1" a="1"/>
  <c r="Z6" i="1" s="1"/>
  <c r="AA6" i="1" s="1"/>
  <c r="Z4" i="1" a="1"/>
  <c r="Z4" i="1" s="1"/>
  <c r="AA4" i="1" s="1"/>
  <c r="AF4" i="1" s="1"/>
  <c r="Z5" i="1" a="1"/>
  <c r="Z5" i="1" s="1"/>
  <c r="AA5" i="1" s="1"/>
  <c r="Z2" i="1" a="1"/>
  <c r="Z2" i="1" s="1"/>
  <c r="AA2" i="1" s="1"/>
  <c r="Z3" i="1" a="1"/>
  <c r="Z3" i="1" s="1"/>
  <c r="AA3" i="1" s="1"/>
  <c r="M24" i="1" a="1"/>
  <c r="M24" i="1" s="1"/>
  <c r="P4" i="3"/>
  <c r="AY5" i="3"/>
  <c r="AZ5" i="3" s="1"/>
  <c r="AC17" i="9"/>
  <c r="W5" i="3"/>
  <c r="AM5" i="3"/>
  <c r="AN5" i="3" s="1"/>
  <c r="AD17" i="9"/>
  <c r="AE17" i="9" s="1"/>
  <c r="AF17" i="9" s="1"/>
  <c r="AI5" i="3"/>
  <c r="AJ5" i="3" s="1"/>
  <c r="AA5" i="3"/>
  <c r="AB5" i="3" s="1"/>
  <c r="T10" i="9"/>
  <c r="U10" i="9" s="1"/>
  <c r="V10" i="9" s="1"/>
  <c r="K5" i="3"/>
  <c r="AE5" i="3"/>
  <c r="AF5" i="3" s="1"/>
  <c r="AU5" i="3"/>
  <c r="AV5" i="3" s="1"/>
  <c r="S10" i="9"/>
  <c r="O5" i="3"/>
  <c r="T8" i="9"/>
  <c r="U8" i="9" s="1"/>
  <c r="V8" i="9" s="1"/>
  <c r="S5" i="3"/>
  <c r="T16" i="9"/>
  <c r="U16" i="9" s="1"/>
  <c r="V16" i="9" s="1"/>
  <c r="S16" i="9"/>
  <c r="S12" i="9"/>
  <c r="T12" i="9"/>
  <c r="U12" i="9" s="1"/>
  <c r="V12" i="9" s="1"/>
  <c r="X2" i="3"/>
  <c r="T3" i="3"/>
  <c r="I3" i="7"/>
  <c r="J3" i="7" s="1"/>
  <c r="L2" i="3"/>
  <c r="X2" i="5" l="1"/>
  <c r="Y2" i="5" s="1"/>
  <c r="AH2" i="5"/>
  <c r="AI2" i="5" s="1"/>
  <c r="Z25" i="1" a="1"/>
  <c r="Z25" i="1" s="1"/>
  <c r="AA25" i="1" s="1"/>
  <c r="Z24" i="1" a="1"/>
  <c r="Z24" i="1" s="1"/>
  <c r="AA24" i="1" s="1"/>
  <c r="M4" i="1" a="1"/>
  <c r="M4" i="1" s="1"/>
  <c r="M7" i="1" a="1"/>
  <c r="M7" i="1" s="1"/>
  <c r="M25" i="1" a="1"/>
  <c r="M25" i="1" s="1"/>
  <c r="M6" i="1" a="1"/>
  <c r="M6" i="1" s="1"/>
  <c r="M8" i="1" a="1"/>
  <c r="M8" i="1" s="1"/>
  <c r="M3" i="1" a="1"/>
  <c r="M3" i="1" s="1"/>
  <c r="M2" i="1" a="1"/>
  <c r="M2" i="1" s="1"/>
  <c r="M9" i="1" a="1"/>
  <c r="M9" i="1" s="1"/>
  <c r="M23" i="1" a="1"/>
  <c r="M23" i="1" s="1"/>
  <c r="M5" i="1" a="1"/>
  <c r="M5" i="1" s="1"/>
  <c r="L5" i="3"/>
  <c r="P5" i="3"/>
  <c r="Z14" i="1" a="1"/>
  <c r="Z14" i="1" s="1"/>
  <c r="AA14" i="1" s="1"/>
  <c r="Z12" i="1" a="1"/>
  <c r="Z12" i="1" s="1"/>
  <c r="AA12" i="1" s="1"/>
  <c r="Z13" i="1" a="1"/>
  <c r="Z13" i="1" s="1"/>
  <c r="AA13" i="1" s="1"/>
  <c r="T7" i="3"/>
  <c r="AB7" i="3"/>
  <c r="M21" i="1" a="1"/>
  <c r="M21" i="1" s="1"/>
  <c r="M18" i="1" a="1"/>
  <c r="M18" i="1" s="1"/>
  <c r="AB25" i="1" a="1"/>
  <c r="AB25" i="1" s="1"/>
  <c r="AC25" i="1" s="1"/>
  <c r="AF25" i="1" s="1"/>
  <c r="AB24" i="1" a="1"/>
  <c r="AB24" i="1" s="1"/>
  <c r="AC24" i="1" s="1"/>
  <c r="O6" i="3"/>
  <c r="W6" i="3"/>
  <c r="X6" i="3" s="1"/>
  <c r="S6" i="3"/>
  <c r="AI6" i="3"/>
  <c r="AJ6" i="3" s="1"/>
  <c r="AQ6" i="3"/>
  <c r="AR6" i="3" s="1"/>
  <c r="K6" i="3"/>
  <c r="L6" i="3" s="1"/>
  <c r="AA6" i="3"/>
  <c r="AB6" i="3" s="1"/>
  <c r="AM6" i="3"/>
  <c r="AN6" i="3" s="1"/>
  <c r="AU6" i="3"/>
  <c r="AV6" i="3" s="1"/>
  <c r="AY6" i="3"/>
  <c r="AZ6" i="3" s="1"/>
  <c r="AE6" i="3"/>
  <c r="AF6" i="3" s="1"/>
  <c r="AB13" i="1" a="1"/>
  <c r="AB13" i="1" s="1"/>
  <c r="AC13" i="1" s="1"/>
  <c r="AF13" i="1" s="1"/>
  <c r="AB14" i="1" a="1"/>
  <c r="AB14" i="1" s="1"/>
  <c r="AC14" i="1" s="1"/>
  <c r="AB17" i="1" a="1"/>
  <c r="AB17" i="1" s="1"/>
  <c r="AC17" i="1" s="1"/>
  <c r="AB15" i="1" a="1"/>
  <c r="AB15" i="1" s="1"/>
  <c r="AC15" i="1" s="1"/>
  <c r="AF15" i="1" s="1"/>
  <c r="AB16" i="1" a="1"/>
  <c r="AB16" i="1" s="1"/>
  <c r="AC16" i="1" s="1"/>
  <c r="M15" i="1" a="1"/>
  <c r="M15" i="1" s="1"/>
  <c r="AB12" i="1" a="1"/>
  <c r="AB12" i="1" s="1"/>
  <c r="AC12" i="1" s="1"/>
  <c r="M12" i="1" a="1"/>
  <c r="M12" i="1" s="1"/>
  <c r="AB6" i="1" a="1"/>
  <c r="AB6" i="1" s="1"/>
  <c r="AC6" i="1" s="1"/>
  <c r="AF6" i="1" s="1"/>
  <c r="AB7" i="1" a="1"/>
  <c r="AB7" i="1" s="1"/>
  <c r="AC7" i="1" s="1"/>
  <c r="AF7" i="1" s="1"/>
  <c r="X5" i="3"/>
  <c r="Z8" i="1" a="1"/>
  <c r="Z8" i="1" s="1"/>
  <c r="AA8" i="1" s="1"/>
  <c r="Z9" i="1" a="1"/>
  <c r="Z9" i="1" s="1"/>
  <c r="AA9" i="1" s="1"/>
  <c r="AB5" i="1" a="1"/>
  <c r="AB5" i="1" s="1"/>
  <c r="AC5" i="1" s="1"/>
  <c r="AF5" i="1" s="1"/>
  <c r="AB4" i="1" a="1"/>
  <c r="AB4" i="1" s="1"/>
  <c r="AC4" i="1" s="1"/>
  <c r="AB2" i="1" a="1"/>
  <c r="AB2" i="1" s="1"/>
  <c r="AC2" i="1" s="1"/>
  <c r="AF2" i="1" s="1"/>
  <c r="AB3" i="1" a="1"/>
  <c r="AB3" i="1" s="1"/>
  <c r="AC3" i="1" s="1"/>
  <c r="AF3" i="1" s="1"/>
  <c r="M20" i="1" a="1"/>
  <c r="M20" i="1" s="1"/>
  <c r="M10" i="1" a="1"/>
  <c r="M10" i="1" s="1"/>
  <c r="M17" i="1" a="1"/>
  <c r="M17" i="1" s="1"/>
  <c r="M11" i="1" a="1"/>
  <c r="M11" i="1" s="1"/>
  <c r="M16" i="1" a="1"/>
  <c r="M16" i="1" s="1"/>
  <c r="M14" i="1" a="1"/>
  <c r="M14" i="1" s="1"/>
  <c r="M13" i="1" a="1"/>
  <c r="M13" i="1" s="1"/>
  <c r="M19" i="1" a="1"/>
  <c r="M19" i="1" s="1"/>
  <c r="M22" i="1" a="1"/>
  <c r="M22" i="1" s="1"/>
  <c r="T5" i="3"/>
  <c r="AF14" i="1" l="1"/>
  <c r="AF24" i="1"/>
  <c r="T6" i="3"/>
  <c r="AB23" i="1" s="1" a="1"/>
  <c r="AB23" i="1" s="1"/>
  <c r="AC23" i="1" s="1"/>
  <c r="Z23" i="1" a="1"/>
  <c r="Z23" i="1" s="1"/>
  <c r="AA23" i="1" s="1"/>
  <c r="AF23" i="1" s="1"/>
  <c r="AF12" i="1"/>
  <c r="Z18" i="1" a="1"/>
  <c r="Z18" i="1" s="1"/>
  <c r="AA18" i="1" s="1"/>
  <c r="AB21" i="1" a="1"/>
  <c r="AB21" i="1" s="1"/>
  <c r="AC21" i="1" s="1"/>
  <c r="Z20" i="1" a="1"/>
  <c r="Z20" i="1" s="1"/>
  <c r="AA20" i="1" s="1"/>
  <c r="AF20" i="1" s="1"/>
  <c r="Z19" i="1" a="1"/>
  <c r="Z19" i="1" s="1"/>
  <c r="AA19" i="1" s="1"/>
  <c r="Z22" i="1" a="1"/>
  <c r="Z22" i="1" s="1"/>
  <c r="AA22" i="1" s="1"/>
  <c r="Z21" i="1" a="1"/>
  <c r="Z21" i="1" s="1"/>
  <c r="AA21" i="1" s="1"/>
  <c r="Z11" i="1" a="1"/>
  <c r="Z11" i="1" s="1"/>
  <c r="AA11" i="1" s="1"/>
  <c r="Z10" i="1" a="1"/>
  <c r="Z10" i="1" s="1"/>
  <c r="AA10" i="1" s="1"/>
  <c r="AF10" i="1" s="1"/>
  <c r="P6" i="3"/>
  <c r="AB8" i="1" a="1"/>
  <c r="AB8" i="1" s="1"/>
  <c r="AC8" i="1" s="1"/>
  <c r="AF8" i="1" s="1"/>
  <c r="AB9" i="1" a="1"/>
  <c r="AB9" i="1" s="1"/>
  <c r="AC9" i="1" s="1"/>
  <c r="AF9" i="1" s="1"/>
  <c r="AB22" i="1" l="1" a="1"/>
  <c r="AB22" i="1" s="1"/>
  <c r="AC22" i="1" s="1"/>
  <c r="AF21" i="1"/>
  <c r="AB18" i="1" a="1"/>
  <c r="AB18" i="1" s="1"/>
  <c r="AC18" i="1" s="1"/>
  <c r="AF18" i="1" s="1"/>
  <c r="AF22" i="1"/>
  <c r="AB11" i="1" a="1"/>
  <c r="AB11" i="1" s="1"/>
  <c r="AC11" i="1" s="1"/>
  <c r="AF11" i="1" s="1"/>
  <c r="AB10" i="1" a="1"/>
  <c r="AB10" i="1" s="1"/>
  <c r="AC10" i="1" s="1"/>
  <c r="AB20" i="1" a="1"/>
  <c r="AB20" i="1" s="1"/>
  <c r="AC20" i="1" s="1"/>
  <c r="AB19" i="1" a="1"/>
  <c r="AB19" i="1" s="1"/>
  <c r="AC19" i="1" s="1"/>
  <c r="AF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Henrique</author>
  </authors>
  <commentList>
    <comment ref="E1" authorId="0" shapeId="0" xr:uid="{064336B5-EEAA-401E-8183-D239BC8CDAA9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50% dos registros, a produção ficou igual ou abaixo disso</t>
        </r>
      </text>
    </comment>
    <comment ref="F1" authorId="0" shapeId="0" xr:uid="{20597673-F8F2-45A9-B41F-D9247A97E528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75% dos registros, a produção ficou igual ou abaixo disso</t>
        </r>
      </text>
    </comment>
    <comment ref="O1" authorId="0" shapeId="0" xr:uid="{8887DEF6-C2BB-4E4E-87E7-CB39CE356F4F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50% dos registros, a produção ficou igual ou abaixo disso</t>
        </r>
      </text>
    </comment>
    <comment ref="P1" authorId="0" shapeId="0" xr:uid="{96640C01-4DB4-4F1E-96B9-2071A0D375A6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75% dos registros, a produção ficou igual ou abaixo disso</t>
        </r>
      </text>
    </comment>
    <comment ref="Y1" authorId="0" shapeId="0" xr:uid="{F0878D7F-629D-4CC5-9544-5650E116EBB7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50% dos registros, a produção ficou igual ou abaixo disso</t>
        </r>
      </text>
    </comment>
    <comment ref="Z1" authorId="0" shapeId="0" xr:uid="{429B7D60-28BC-462A-BF2B-3F413E169FCA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75% dos registros, a produção ficou igual ou abaixo disso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Henrique</author>
  </authors>
  <commentList>
    <comment ref="D1" authorId="0" shapeId="0" xr:uid="{FF435596-E24D-4877-B46C-1791CFB0B311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50% dos registros, a produção ficou igual ou abaixo disso</t>
        </r>
      </text>
    </comment>
    <comment ref="E1" authorId="0" shapeId="0" xr:uid="{33B235AB-7E49-42B6-9B65-FF450C4A856C}">
      <text>
        <r>
          <rPr>
            <b/>
            <sz val="9"/>
            <color indexed="81"/>
            <rFont val="Segoe UI"/>
            <family val="2"/>
          </rPr>
          <t>Gabriel Henrique:</t>
        </r>
        <r>
          <rPr>
            <sz val="9"/>
            <color indexed="81"/>
            <rFont val="Segoe UI"/>
            <family val="2"/>
          </rPr>
          <t xml:space="preserve">
Em 75% dos registros, a produção ficou igual ou abaixo disso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<sst xmlns="http://schemas.openxmlformats.org/spreadsheetml/2006/main" count="891" uniqueCount="165">
  <si>
    <t>ANO</t>
  </si>
  <si>
    <t>MÊS</t>
  </si>
  <si>
    <t>CONTRATO</t>
  </si>
  <si>
    <t>FAZENDA</t>
  </si>
  <si>
    <t>TALHÃO</t>
  </si>
  <si>
    <t>DATA APONTAMENTO</t>
  </si>
  <si>
    <t>EQUIPAMENTO</t>
  </si>
  <si>
    <t>TIPO DE EQUIPAMENTO</t>
  </si>
  <si>
    <t>BITOLA</t>
  </si>
  <si>
    <t>VMI</t>
  </si>
  <si>
    <t>OPERADOR</t>
  </si>
  <si>
    <t>TURNO</t>
  </si>
  <si>
    <t>HORÍMETRO ANTERIOR</t>
  </si>
  <si>
    <t>HORÍMETRO ATUAL</t>
  </si>
  <si>
    <t>HORAS RODADAS</t>
  </si>
  <si>
    <t>QUANTIDADE DE ÁRVORES</t>
  </si>
  <si>
    <t>VOLUME PRODUZIDO</t>
  </si>
  <si>
    <t>TIPO</t>
  </si>
  <si>
    <t>CORTE</t>
  </si>
  <si>
    <t>ARRASTE</t>
  </si>
  <si>
    <t>TRAÇAMENTO</t>
  </si>
  <si>
    <t>EQUIPAMENTO DIGITADO</t>
  </si>
  <si>
    <t>MOVIMENTO ENTRE TALHÕES</t>
  </si>
  <si>
    <t>VOLUME AJUSTADO</t>
  </si>
  <si>
    <t>M³ / HORA RODADA</t>
  </si>
  <si>
    <t>FAIXA VMI</t>
  </si>
  <si>
    <t>VOLUME INDIVIDUAL</t>
  </si>
  <si>
    <t>FAIXA</t>
  </si>
  <si>
    <t>0,01 a 0,05</t>
  </si>
  <si>
    <t>0,06 a 0,10</t>
  </si>
  <si>
    <t>0,11 a 0,15</t>
  </si>
  <si>
    <t>0,16 a 0,20</t>
  </si>
  <si>
    <t>0,21 a 0,25</t>
  </si>
  <si>
    <t>0,26 a 0,30</t>
  </si>
  <si>
    <t>0,31 a 0,35</t>
  </si>
  <si>
    <t>0,36 a 0,40</t>
  </si>
  <si>
    <t>0,41 a 0,45</t>
  </si>
  <si>
    <t>0,46 a 0,50</t>
  </si>
  <si>
    <t>0,51 a 0,99</t>
  </si>
  <si>
    <t>QUANTIDADE DE REGISTROS</t>
  </si>
  <si>
    <t>MÉDIA REAL</t>
  </si>
  <si>
    <t>TETO OPERACIONAL</t>
  </si>
  <si>
    <t>MÁQUINAS</t>
  </si>
  <si>
    <t>0,01 A 0,05</t>
  </si>
  <si>
    <t>0,06 A 0,10</t>
  </si>
  <si>
    <t>0,11 A 0,15</t>
  </si>
  <si>
    <t>0,16 A 0,20</t>
  </si>
  <si>
    <t>0,21 A 0,25</t>
  </si>
  <si>
    <t>0,26 A 0,30</t>
  </si>
  <si>
    <t>0,31 A 0,35</t>
  </si>
  <si>
    <t>0,36 A 0,40</t>
  </si>
  <si>
    <t>0,41 A 0,45</t>
  </si>
  <si>
    <t>0,46 A 0,50</t>
  </si>
  <si>
    <t>0,51 A 0,99</t>
  </si>
  <si>
    <t>META BASE</t>
  </si>
  <si>
    <t>META DESAFIO</t>
  </si>
  <si>
    <t>PERCENTIL 50</t>
  </si>
  <si>
    <t>PERCENTIL 75</t>
  </si>
  <si>
    <t>TETO META</t>
  </si>
  <si>
    <t>STATUS</t>
  </si>
  <si>
    <t>FATOR</t>
  </si>
  <si>
    <t>META BASE M³ POR HORA</t>
  </si>
  <si>
    <t>META BASE M³ POR TURNO</t>
  </si>
  <si>
    <t>ÁREA</t>
  </si>
  <si>
    <t>VOLUME</t>
  </si>
  <si>
    <t>-</t>
  </si>
  <si>
    <t>DATA INCIO CORTE</t>
  </si>
  <si>
    <t>DATA FINAL CORTE</t>
  </si>
  <si>
    <t>DATA INCIO ARRASTE</t>
  </si>
  <si>
    <t>DATA FINAL ARRASTE</t>
  </si>
  <si>
    <t>DATA INICIO TRAÇAMENTO</t>
  </si>
  <si>
    <t>DATA FINAL TRAÇAMENTO</t>
  </si>
  <si>
    <t>35A</t>
  </si>
  <si>
    <t>STATUS CORTE</t>
  </si>
  <si>
    <t>STATUS ARRASTE</t>
  </si>
  <si>
    <t>STATUS TRAÇAMENTO</t>
  </si>
  <si>
    <t>FATOR CORTE</t>
  </si>
  <si>
    <t>FATOR ARRASTE</t>
  </si>
  <si>
    <t>FATOR TRAÇAMENTO</t>
  </si>
  <si>
    <t>META BASE M³/H POR OPERAÇÃO</t>
  </si>
  <si>
    <t>HORAS CORTE</t>
  </si>
  <si>
    <t>ESTOQUE FINAL  ARRASTE</t>
  </si>
  <si>
    <t>HORAS ARRASTE</t>
  </si>
  <si>
    <t>HORAS TRAÇAMENTO</t>
  </si>
  <si>
    <t>% CORTE</t>
  </si>
  <si>
    <t>% ARRASTE</t>
  </si>
  <si>
    <t>% TRAÇAMENTO</t>
  </si>
  <si>
    <t>DATA INCIO TALHÃO</t>
  </si>
  <si>
    <t>ESTOQUE  INICIAL ARRASTE</t>
  </si>
  <si>
    <t>ESTOQUE INICIAL CORTE</t>
  </si>
  <si>
    <t>ESTOQUE FINAL CORTE</t>
  </si>
  <si>
    <t>ESTOQUE  INICIAL TRAÇAMENTO</t>
  </si>
  <si>
    <t>ESTOQUE FINAL TRAÇAMENTO</t>
  </si>
  <si>
    <t>META DESAFIO M³ POR HORA</t>
  </si>
  <si>
    <t>META DESAFIO M³ POR TURNO</t>
  </si>
  <si>
    <t>TETO META M³ POR TURNO</t>
  </si>
  <si>
    <t>TETO META M³ POR HORA</t>
  </si>
  <si>
    <t>STATUS META</t>
  </si>
  <si>
    <t>HEC PRODUZIDO NO DIA AJUSTADO</t>
  </si>
  <si>
    <t>HEC PRODUZIDO NO DIA</t>
  </si>
  <si>
    <t>% COBERTURA</t>
  </si>
  <si>
    <t>VOLUME TALHÃO</t>
  </si>
  <si>
    <t>STATUS DO TALHÃO</t>
  </si>
  <si>
    <t>VMI ARRE.</t>
  </si>
  <si>
    <t>TOTAL VOL. M³</t>
  </si>
  <si>
    <t>VOL. M³ REALIZADO</t>
  </si>
  <si>
    <t>FALTA DERRUBAR</t>
  </si>
  <si>
    <t>RENDIMENTO REAL M³ / H</t>
  </si>
  <si>
    <t>DATA INÍCIO PROJETO - CORTE</t>
  </si>
  <si>
    <t>ÚLTIMA DATA DE CORTE</t>
  </si>
  <si>
    <t>DATA PREVISTA FECHAR PROJETO - CORTE</t>
  </si>
  <si>
    <t>CORTE FINALIZADO?</t>
  </si>
  <si>
    <t>QUANT. DE M QUE FALTA ARRASTAR</t>
  </si>
  <si>
    <t>RENDIMENTO M³ / H</t>
  </si>
  <si>
    <t>VOL. M³/H PREVISTO</t>
  </si>
  <si>
    <t>DATA INÍCIO PROJETO - ARRASTE</t>
  </si>
  <si>
    <t>ÚLTIMA DATA DE ARRASTE</t>
  </si>
  <si>
    <t>DATA PREVISTA FECHAR PROJETO - ARRASTE</t>
  </si>
  <si>
    <t>ARRASTE FINALIZADO?</t>
  </si>
  <si>
    <t>DATA INÍCIO PROJETO - TRAÇAMENTO</t>
  </si>
  <si>
    <t>ÚLTIMA DATA DE TRAÇAMENTO</t>
  </si>
  <si>
    <t>DATA PREVISTA FECHAR PROJETO - TRAÇAMENTO</t>
  </si>
  <si>
    <t>TRAÇAMENTO FINALIZADO?</t>
  </si>
  <si>
    <t>VOLUME RESTANTE P/ TRAÇAR BASEADO NO CORTE</t>
  </si>
  <si>
    <t>DATA PREVISTA FECHAR TRAÇAMENTO BASEADO NO CORTE</t>
  </si>
  <si>
    <t>QUANT. DE M³ QUE FALTA TRAÇAR BASEADO NO ARRASTE</t>
  </si>
  <si>
    <t>EM ANDAMENTO</t>
  </si>
  <si>
    <t>ESTOQUE CORTE</t>
  </si>
  <si>
    <t>ESTOQUE ARRASTE</t>
  </si>
  <si>
    <t>ESTOQUE TRAÇAMENTO</t>
  </si>
  <si>
    <t>FELLER BUNCHER 1</t>
  </si>
  <si>
    <t>FELLER BUNCHER 2</t>
  </si>
  <si>
    <t>SKIDDER 1</t>
  </si>
  <si>
    <t>SKIDDER 2</t>
  </si>
  <si>
    <t>GARRA TRAÇADORA 1</t>
  </si>
  <si>
    <t>GARRA TRAÇADORA 2</t>
  </si>
  <si>
    <t>FELLER1</t>
  </si>
  <si>
    <t>FELLER2</t>
  </si>
  <si>
    <t>GARRA1</t>
  </si>
  <si>
    <t>GARRA2</t>
  </si>
  <si>
    <t>SKIDDER1</t>
  </si>
  <si>
    <t>SKIDDER2</t>
  </si>
  <si>
    <t>CONTRATO 1</t>
  </si>
  <si>
    <t>CONTRATO 2</t>
  </si>
  <si>
    <t>CONTRATO 3</t>
  </si>
  <si>
    <t>FAZENDA 1</t>
  </si>
  <si>
    <t>FAZENDA 2</t>
  </si>
  <si>
    <t>FAZENDA 3</t>
  </si>
  <si>
    <t>2A</t>
  </si>
  <si>
    <t>2B</t>
  </si>
  <si>
    <t>36B</t>
  </si>
  <si>
    <t>OPERADOR 1</t>
  </si>
  <si>
    <t>OPERADOR 2</t>
  </si>
  <si>
    <t>OPERADOR 3</t>
  </si>
  <si>
    <t>OPERADOR 4</t>
  </si>
  <si>
    <t>OPERADOR 5</t>
  </si>
  <si>
    <t>OPERADOR 6</t>
  </si>
  <si>
    <t>TURNO 1</t>
  </si>
  <si>
    <t>TURNO 2</t>
  </si>
  <si>
    <t>OPERADOR 7</t>
  </si>
  <si>
    <t>OPERADOR 8</t>
  </si>
  <si>
    <t>OPERADOR 9</t>
  </si>
  <si>
    <t>OPERADOR 10</t>
  </si>
  <si>
    <t>OPERADOR 11</t>
  </si>
  <si>
    <t>OPERADOR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</si>
</sst>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16]mmmm\-yy;@"/>
    <numFmt numFmtId="165" formatCode="0.00\ &quot;m³&quot;"/>
    <numFmt numFmtId="166" formatCode="#,##0.00\ &quot;m³&quot;"/>
    <numFmt numFmtId="167" formatCode="#,##0.0\ &quot;m³&quot;"/>
    <numFmt numFmtId="168" formatCode="#,##0.00\ &quot;hrs&quot;"/>
    <numFmt numFmtId="169" formatCode="0.000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6" fillId="0" borderId="0" applyNumberFormat="0"/>
    <xf numFmtId="0" fontId="5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5" borderId="1" xfId="0" applyNumberForma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 wrapText="1"/>
    </xf>
    <xf numFmtId="10" fontId="0" fillId="5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center"/>
    </xf>
    <xf numFmtId="168" fontId="0" fillId="5" borderId="1" xfId="0" applyNumberForma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 wrapText="1"/>
    </xf>
    <xf numFmtId="169" fontId="0" fillId="5" borderId="1" xfId="0" applyNumberForma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6" borderId="1" xfId="1" applyNumberFormat="1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</cellXfs>
  <cellStyles count="4">
    <cellStyle name="Normal" xfId="0" builtinId="0"/>
    <cellStyle name="Normal 2 2 56" xfId="3" xr:uid="{1EF3C7D6-4AE0-4F11-ADC3-0A009EAFDFA4}"/>
    <cellStyle name="Normal 2 64" xfId="2" xr:uid="{97551AB3-2058-4120-AB87-680D2255A776}"/>
    <cellStyle name="Porcentagem" xfId="1" builtinId="5"/>
  </cellStyles>
  <dxfs count="3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prendiz Lavras1" id="{E7BFB2D3-24CD-4F9E-B408-A5A9AC81CBFC}" userId="S::aprendizlavras1@abrbrasil.com.br::4782ba3e-cb9b-4d1d-b9e7-06057006f7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963" dT="2026-01-28T18:18:38.86" personId="{E7BFB2D3-24CD-4F9E-B408-A5A9AC81CBFC}" id="{4014962D-F645-4669-BD1E-FBC4341A2824}">
    <text xml:space="preserve">Manutenção com a máquina ligada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5"/>
  <sheetViews>
    <sheetView tabSelected="1" zoomScale="70" zoomScaleNormal="70" workbookViewId="0">
      <pane ySplit="1" topLeftCell="A2" activePane="bottomLeft" state="frozen"/>
      <selection pane="bottomLeft" activeCell="K22" sqref="K22"/>
    </sheetView>
  </sheetViews>
  <sheetFormatPr defaultColWidth="9.109375" defaultRowHeight="14.4" x14ac:dyDescent="0.3"/>
  <cols>
    <col min="1" max="1" width="7.44140625" style="12" customWidth="1"/>
    <col min="2" max="3" width="14.6640625" style="12" customWidth="1"/>
    <col min="4" max="4" width="7.6640625" style="15" customWidth="1"/>
    <col min="5" max="5" width="7.33203125" style="15" customWidth="1"/>
    <col min="6" max="6" width="14.109375" style="12" customWidth="1"/>
    <col min="7" max="7" width="20.5546875" style="3" customWidth="1"/>
    <col min="8" max="8" width="10.6640625" style="3" customWidth="1"/>
    <col min="9" max="9" width="20.6640625" style="3" bestFit="1" customWidth="1"/>
    <col min="10" max="10" width="15.33203125" style="3" customWidth="1"/>
    <col min="11" max="11" width="19.77734375" style="12" customWidth="1"/>
    <col min="12" max="12" width="18.88671875" style="12" customWidth="1"/>
    <col min="13" max="13" width="19" style="18" customWidth="1"/>
    <col min="14" max="14" width="39.109375" style="3" customWidth="1"/>
    <col min="15" max="15" width="15.33203125" style="3" customWidth="1"/>
    <col min="16" max="16" width="16.33203125" style="12" customWidth="1"/>
    <col min="17" max="17" width="13.6640625" style="15" customWidth="1"/>
    <col min="18" max="18" width="13.88671875" style="19" customWidth="1"/>
    <col min="19" max="19" width="10.6640625" style="15" customWidth="1"/>
    <col min="20" max="20" width="16.109375" style="15" customWidth="1"/>
    <col min="21" max="21" width="14" style="44" customWidth="1"/>
    <col min="22" max="22" width="12.109375" style="33" customWidth="1"/>
    <col min="23" max="23" width="12.33203125" style="18" customWidth="1"/>
    <col min="24" max="24" width="15.6640625" style="15" customWidth="1"/>
    <col min="25" max="25" width="17.6640625" style="34" customWidth="1"/>
    <col min="26" max="26" width="15.33203125" style="18" customWidth="1"/>
    <col min="27" max="27" width="15.109375" style="18" customWidth="1"/>
    <col min="28" max="28" width="15.33203125" style="18" customWidth="1"/>
    <col min="29" max="29" width="15.109375" style="18" customWidth="1"/>
    <col min="30" max="31" width="15.33203125" style="18" customWidth="1"/>
    <col min="32" max="32" width="11" style="12" customWidth="1"/>
    <col min="33" max="33" width="10.6640625" style="34" customWidth="1"/>
    <col min="34" max="34" width="14.6640625" style="29" customWidth="1"/>
    <col min="35" max="35" width="13.5546875" style="31" customWidth="1"/>
    <col min="36" max="36" width="20.5546875" style="12" customWidth="1"/>
    <col min="37" max="16384" width="9.109375" style="3"/>
  </cols>
  <sheetData>
    <row r="1" spans="1:36" s="1" customFormat="1" ht="36" customHeight="1" x14ac:dyDescent="0.3">
      <c r="A1" s="1" t="s">
        <v>0</v>
      </c>
      <c r="B1" s="1" t="s">
        <v>1</v>
      </c>
      <c r="C1" s="1" t="s">
        <v>2</v>
      </c>
      <c r="D1" s="14" t="s">
        <v>8</v>
      </c>
      <c r="E1" s="14" t="s">
        <v>9</v>
      </c>
      <c r="F1" s="1" t="s">
        <v>25</v>
      </c>
      <c r="G1" s="1" t="s">
        <v>3</v>
      </c>
      <c r="H1" s="1" t="s">
        <v>4</v>
      </c>
      <c r="I1" s="1" t="s">
        <v>5</v>
      </c>
      <c r="J1" s="1" t="s">
        <v>21</v>
      </c>
      <c r="K1" s="1" t="s">
        <v>6</v>
      </c>
      <c r="L1" s="1" t="s">
        <v>7</v>
      </c>
      <c r="M1" s="17" t="s">
        <v>79</v>
      </c>
      <c r="N1" s="1" t="s">
        <v>10</v>
      </c>
      <c r="O1" s="1" t="s">
        <v>11</v>
      </c>
      <c r="P1" s="1" t="s">
        <v>22</v>
      </c>
      <c r="Q1" s="14" t="s">
        <v>12</v>
      </c>
      <c r="R1" s="14" t="s">
        <v>13</v>
      </c>
      <c r="S1" s="14" t="s">
        <v>14</v>
      </c>
      <c r="T1" s="14" t="s">
        <v>15</v>
      </c>
      <c r="U1" s="17" t="s">
        <v>16</v>
      </c>
      <c r="V1" s="17" t="s">
        <v>23</v>
      </c>
      <c r="W1" s="17" t="s">
        <v>24</v>
      </c>
      <c r="X1" s="14" t="s">
        <v>99</v>
      </c>
      <c r="Y1" s="14" t="s">
        <v>98</v>
      </c>
      <c r="Z1" s="17" t="s">
        <v>62</v>
      </c>
      <c r="AA1" s="17" t="s">
        <v>61</v>
      </c>
      <c r="AB1" s="17" t="s">
        <v>94</v>
      </c>
      <c r="AC1" s="17" t="s">
        <v>93</v>
      </c>
      <c r="AD1" s="17" t="s">
        <v>95</v>
      </c>
      <c r="AE1" s="17" t="s">
        <v>96</v>
      </c>
      <c r="AF1" s="14" t="s">
        <v>97</v>
      </c>
      <c r="AG1" s="14" t="s">
        <v>60</v>
      </c>
      <c r="AH1" s="28" t="s">
        <v>100</v>
      </c>
      <c r="AI1" s="30" t="s">
        <v>101</v>
      </c>
      <c r="AJ1" s="1" t="s">
        <v>102</v>
      </c>
    </row>
    <row r="2" spans="1:36" x14ac:dyDescent="0.3">
      <c r="A2" s="12">
        <f t="shared" ref="A2:A25" si="0">IFERROR(YEAR(I2),"-")</f>
        <v>2026</v>
      </c>
      <c r="B2" s="13">
        <f t="shared" ref="B2:B25" si="1">IFERROR(DATE(YEAR(I2),MONTH(I2),MONTH(I2)),"-")</f>
        <v>46023</v>
      </c>
      <c r="C2" s="12" t="str" cm="1">
        <f t="array" ref="C2">IFERROR(IF(INDEX('Cadastro Talhão'!A:A,MATCH(1,('Cadastro Talhão'!B:B='BDT''s'!G2)*('Cadastro Talhão'!C:C='BDT''s'!H2),0))=0,"-",INDEX('Cadastro Talhão'!A:A,MATCH(1,('Cadastro Talhão'!B:B='BDT''s'!G2)*('Cadastro Talhão'!C:C='BDT''s'!H2),0))),"-")</f>
        <v>CONTRATO 1</v>
      </c>
      <c r="D2" s="15" cm="1">
        <f t="array" ref="D2">IFERROR(INDEX('Cadastro Talhão'!H:H,MATCH(1,('Cadastro Talhão'!B:B='BDT''s'!G2)*('Cadastro Talhão'!C:C='BDT''s'!H2),0)),"-")</f>
        <v>1.9</v>
      </c>
      <c r="E2" s="15" cm="1">
        <f t="array" ref="E2">IFERROR(INDEX('Cadastro Talhão'!F:F,MATCH(1,('Cadastro Talhão'!B:B='BDT''s'!G2)*('Cadastro Talhão'!C:C='BDT''s'!H2),0)),"-")</f>
        <v>0.15</v>
      </c>
      <c r="F2" s="12" t="str">
        <f>IFERROR(VLOOKUP(E2,VMI!A:B,2,FALSE),"-")</f>
        <v>0,11 a 0,15</v>
      </c>
      <c r="G2" s="3" t="s">
        <v>145</v>
      </c>
      <c r="H2" s="3">
        <v>15</v>
      </c>
      <c r="I2" s="4">
        <v>46023</v>
      </c>
      <c r="J2" s="3" t="s">
        <v>136</v>
      </c>
      <c r="K2" s="12" t="str">
        <f>IFERROR(VLOOKUP(J2,Cadastros!A:B,2,FALSE),"-")</f>
        <v>FELLER BUNCHER 1</v>
      </c>
      <c r="L2" s="12" t="str">
        <f>IFERROR(VLOOKUP(K2,Cadastros!B:D,3,FALSE),"-")</f>
        <v>CORTE</v>
      </c>
      <c r="M2" s="18" cm="1">
        <f t="array" ref="M2">IFERROR(INDEX(VMI!$A:$AAL,MATCH(1,(VMI!$A:$A=E2)*(VMI!$B:$B=F2),0),MATCH(L2,VMI!$1:$1,0)+1)*(AVERAGEIFS('Metas Produção'!I:I,'Metas Produção'!B:B,'BDT''s'!L2)),"-")</f>
        <v>86.557111168364187</v>
      </c>
      <c r="N2" s="3" t="s">
        <v>151</v>
      </c>
      <c r="O2" s="3" t="s">
        <v>157</v>
      </c>
      <c r="P2" s="12">
        <f>IFERROR(COUNTIFS(O:O,O2,N:N,N2,I:I,I2,J:J,J2,C:C,C2),"-")</f>
        <v>1</v>
      </c>
      <c r="Q2" s="40">
        <v>1000</v>
      </c>
      <c r="R2" s="19">
        <v>1010.2</v>
      </c>
      <c r="S2" s="15">
        <f t="shared" ref="S2:S23" si="2">IFERROR(IF(R2="-",0,IF(R2-Q2&lt;0,"-",R2-Q2)),"-")</f>
        <v>10.200000000000045</v>
      </c>
      <c r="T2" s="15" cm="1">
        <f t="array" ref="T2">IFERROR(U2/INDEX('Cadastro Talhão'!F:F,MATCH(1,('Cadastro Talhão'!B:B='BDT''s'!G2)*('Cadastro Talhão'!C:C='BDT''s'!H2)*('Cadastro Talhão'!A:A='BDT''s'!C2),0)),"-")</f>
        <v>4866.666666666667</v>
      </c>
      <c r="U2" s="44">
        <v>730</v>
      </c>
      <c r="V2" s="33">
        <f>IF(U2="-",0,IFERROR(IF(AJ2="FINALIZADO",AI2/SUMIFS(AG:AG,G:G,G2,H:H,H2,L:L,L2,A:A,A2,B:B,B2)*AG2,U2),U2))</f>
        <v>730</v>
      </c>
      <c r="W2" s="18">
        <f t="shared" ref="W2:W25" si="3">IFERROR(U2/S2,"-")</f>
        <v>71.568627450980074</v>
      </c>
      <c r="X2" s="15" cm="1">
        <f t="array" ref="X2">IFERROR(U2/INDEX('Cadastro Talhão'!G:G,MATCH(1,('Cadastro Talhão'!B:B=G2)*('Cadastro Talhão'!C:C=H2),0))*INDEX('Cadastro Talhão'!D:D,MATCH(1,('Cadastro Talhão'!B:B=G2)*('Cadastro Talhão'!C:C=H2),0)),"-")</f>
        <v>0.87599999999999989</v>
      </c>
      <c r="Y2" s="34" cm="1">
        <f t="array" ref="Y2">IFERROR(V2/INDEX('Cadastro Talhão'!G:G,MATCH(1,('Cadastro Talhão'!B:B=G2)*('Cadastro Talhão'!C:C=H2),0))*INDEX('Cadastro Talhão'!D:D,MATCH(1,('Cadastro Talhão'!B:B=G2)*('Cadastro Talhão'!C:C=H2),0)),"-")</f>
        <v>0.87599999999999989</v>
      </c>
      <c r="Z2" s="18" cm="1">
        <f t="array" ref="Z2">IFERROR(INDEX('Metas Produção'!$A:$ZZ,MATCH(K2, 'Metas Produção'!$A:$A, 0),MATCH(F2, 'Metas Produção'!$1:$1, 0)+1)*12,"-")</f>
        <v>1056.4112011790689</v>
      </c>
      <c r="AA2" s="18">
        <f t="shared" ref="AA2:AA25" si="4">IFERROR(Z2/12,"-")</f>
        <v>88.034266764922407</v>
      </c>
      <c r="AB2" s="18" cm="1">
        <f t="array" ref="AB2">IFERROR(INDEX('Metas Produção'!$A:$ZZ,MATCH(K2, 'Metas Produção'!$A:$A, 0),MATCH(F2, 'Metas Produção'!$1:$1, 0)+2)*12,"-")</f>
        <v>1083.6966637546927</v>
      </c>
      <c r="AC2" s="18">
        <f t="shared" ref="AC2:AC25" si="5">IFERROR(AB2/12,"-")</f>
        <v>90.308055312891057</v>
      </c>
      <c r="AD2" s="18" cm="1">
        <f t="array" ref="AD2">IFERROR(INDEX('Metas Produção'!$A:$ZZ,MATCH(K2, 'Metas Produção'!$A:$A, 0),MATCH(F2, 'Metas Produção'!$1:$1, 0)+3)*12,"-")</f>
        <v>1200</v>
      </c>
      <c r="AE2" s="18">
        <f t="shared" ref="AE2:AE25" si="6">IFERROR(AD2/12,"-")</f>
        <v>100</v>
      </c>
      <c r="AF2" s="12" t="str">
        <f t="shared" ref="AF2:AF25" si="7">IFERROR(IF(W2="-","-",IF(W2&lt;AA2,"BAIXO",IF(AND(W2&gt;=AA2,W2&lt;AC2),"MEDIO",IF(AND(W2&gt;=AC2,W2&lt;=AE2),"ALTO","-")))),"-")</f>
        <v>BAIXO</v>
      </c>
      <c r="AG2" s="34">
        <f>IFERROR(U2/SUMIFS(U:U,G:G,G2,H:H,H2,L:L,L2,A:A,A2,B:B,B2),0)</f>
        <v>0.24914675767918087</v>
      </c>
      <c r="AH2" s="29" cm="1">
        <f t="array" ref="AH2">IFERROR(V2/INDEX('Cadastro Talhão'!G:G,MATCH(1,('Cadastro Talhão'!B:B=G2)*('Cadastro Talhão'!C:C=H2),0)),"-")</f>
        <v>7.2999999999999995E-2</v>
      </c>
      <c r="AI2" s="31" cm="1">
        <f t="array" ref="AI2">IFERROR(IF(AJ2="EM ANDAMENTO",U2,IF(AJ2="FINALIZADO",INDEX('Cadastro Talhão'!G:G,MATCH(1,('Cadastro Talhão'!B:B=G2)*('Cadastro Talhão'!C:C=H2),0)),"-")),"-")</f>
        <v>730</v>
      </c>
      <c r="AJ2" s="12" t="str" cm="1">
        <f t="array" ref="AJ2">IFERROR(INDEX(Estoque!$A:$Z,MATCH(1,(Estoque!$E:$E='BDT''s'!G2)*(Estoque!$F:$F='BDT''s'!H2)*(Estoque!$B:$B='BDT''s'!B2),0),MATCH('BDT''s'!L2,Estoque!$1:$1,0)+4),"-")</f>
        <v>EM ANDAMENTO</v>
      </c>
    </row>
    <row r="3" spans="1:36" x14ac:dyDescent="0.3">
      <c r="A3" s="12">
        <f t="shared" si="0"/>
        <v>2026</v>
      </c>
      <c r="B3" s="13">
        <f t="shared" si="1"/>
        <v>46023</v>
      </c>
      <c r="C3" s="12" t="str" cm="1">
        <f t="array" ref="C3">IFERROR(IF(INDEX('Cadastro Talhão'!A:A,MATCH(1,('Cadastro Talhão'!B:B='BDT''s'!G3)*('Cadastro Talhão'!C:C='BDT''s'!H3),0))=0,"-",INDEX('Cadastro Talhão'!A:A,MATCH(1,('Cadastro Talhão'!B:B='BDT''s'!G3)*('Cadastro Talhão'!C:C='BDT''s'!H3),0))),"-")</f>
        <v>CONTRATO 1</v>
      </c>
      <c r="D3" s="15" cm="1">
        <f t="array" ref="D3">IFERROR(INDEX('Cadastro Talhão'!H:H,MATCH(1,('Cadastro Talhão'!B:B='BDT''s'!G3)*('Cadastro Talhão'!C:C='BDT''s'!H3),0)),"-")</f>
        <v>1.9</v>
      </c>
      <c r="E3" s="15" cm="1">
        <f t="array" ref="E3">IFERROR(INDEX('Cadastro Talhão'!F:F,MATCH(1,('Cadastro Talhão'!B:B='BDT''s'!G3)*('Cadastro Talhão'!C:C='BDT''s'!H3),0)),"-")</f>
        <v>0.15</v>
      </c>
      <c r="F3" s="12" t="str">
        <f>IFERROR(VLOOKUP(E3,VMI!A:B,2,FALSE),"-")</f>
        <v>0,11 a 0,15</v>
      </c>
      <c r="G3" s="3" t="s">
        <v>145</v>
      </c>
      <c r="H3" s="3">
        <v>15</v>
      </c>
      <c r="I3" s="4">
        <v>46023</v>
      </c>
      <c r="J3" s="3" t="s">
        <v>136</v>
      </c>
      <c r="K3" s="12" t="str">
        <f>IFERROR(VLOOKUP(J3,Cadastros!A:B,2,FALSE),"-")</f>
        <v>FELLER BUNCHER 1</v>
      </c>
      <c r="L3" s="12" t="str">
        <f>IFERROR(VLOOKUP(K3,Cadastros!B:D,3,FALSE),"-")</f>
        <v>CORTE</v>
      </c>
      <c r="M3" s="18" cm="1">
        <f t="array" ref="M3">IFERROR(INDEX(VMI!$A:$AAL,MATCH(1,(VMI!$A:$A=E3)*(VMI!$B:$B=F3),0),MATCH(L3,VMI!$1:$1,0)+1)*(AVERAGEIFS('Metas Produção'!I:I,'Metas Produção'!B:B,'BDT''s'!L3)),"-")</f>
        <v>86.557111168364187</v>
      </c>
      <c r="N3" s="3" t="s">
        <v>152</v>
      </c>
      <c r="O3" s="3" t="s">
        <v>158</v>
      </c>
      <c r="P3" s="12">
        <f>IFERROR(COUNTIFS(O:O,O3,N:N,N3,I:I,I3,J:J,J3,C:C,C3),"-")</f>
        <v>1</v>
      </c>
      <c r="Q3" s="15">
        <f>IFERROR(_xlfn.MAXIFS($R$1:R2,$K$1:K2,K3),"-")</f>
        <v>1010.2</v>
      </c>
      <c r="R3" s="19">
        <v>1022</v>
      </c>
      <c r="S3" s="15">
        <f t="shared" si="2"/>
        <v>11.799999999999955</v>
      </c>
      <c r="T3" s="15" cm="1">
        <f t="array" ref="T3">IFERROR(U3/INDEX('Cadastro Talhão'!F:F,MATCH(1,('Cadastro Talhão'!B:B='BDT''s'!G3)*('Cadastro Talhão'!C:C='BDT''s'!H3)*('Cadastro Talhão'!A:A='BDT''s'!C3),0)),"-")</f>
        <v>6666.666666666667</v>
      </c>
      <c r="U3" s="44">
        <v>1000</v>
      </c>
      <c r="V3" s="33">
        <f>IF(U3="-",0,IFERROR(IF(AJ3="FINALIZADO",AI3/SUMIFS(AG:AG,G:G,G3,H:H,H3,L:L,L3,A:A,A3,B:B,B3)*AG3,U3),U3))</f>
        <v>1000</v>
      </c>
      <c r="W3" s="18">
        <f t="shared" si="3"/>
        <v>84.745762711864728</v>
      </c>
      <c r="X3" s="15" cm="1">
        <f t="array" ref="X3">IFERROR(U3/INDEX('Cadastro Talhão'!G:G,MATCH(1,('Cadastro Talhão'!B:B=G3)*('Cadastro Talhão'!C:C=H3),0))*INDEX('Cadastro Talhão'!D:D,MATCH(1,('Cadastro Talhão'!B:B=G3)*('Cadastro Talhão'!C:C=H3),0)),"-")</f>
        <v>1.2000000000000002</v>
      </c>
      <c r="Y3" s="34" cm="1">
        <f t="array" ref="Y3">IFERROR(V3/INDEX('Cadastro Talhão'!G:G,MATCH(1,('Cadastro Talhão'!B:B=G3)*('Cadastro Talhão'!C:C=H3),0))*INDEX('Cadastro Talhão'!D:D,MATCH(1,('Cadastro Talhão'!B:B=G3)*('Cadastro Talhão'!C:C=H3),0)),"-")</f>
        <v>1.2000000000000002</v>
      </c>
      <c r="Z3" s="18" cm="1">
        <f t="array" ref="Z3">IFERROR(INDEX('Metas Produção'!$A:$ZZ,MATCH(K3, 'Metas Produção'!$A:$A, 0),MATCH(F3, 'Metas Produção'!$1:$1, 0)+1)*12,"-")</f>
        <v>1056.4112011790689</v>
      </c>
      <c r="AA3" s="18">
        <f t="shared" si="4"/>
        <v>88.034266764922407</v>
      </c>
      <c r="AB3" s="18" cm="1">
        <f t="array" ref="AB3">IFERROR(INDEX('Metas Produção'!$A:$ZZ,MATCH(K3, 'Metas Produção'!$A:$A, 0),MATCH(F3, 'Metas Produção'!$1:$1, 0)+2)*12,"-")</f>
        <v>1083.6966637546927</v>
      </c>
      <c r="AC3" s="18">
        <f t="shared" si="5"/>
        <v>90.308055312891057</v>
      </c>
      <c r="AD3" s="18" cm="1">
        <f t="array" ref="AD3">IFERROR(INDEX('Metas Produção'!$A:$ZZ,MATCH(K3, 'Metas Produção'!$A:$A, 0),MATCH(F3, 'Metas Produção'!$1:$1, 0)+3)*12,"-")</f>
        <v>1200</v>
      </c>
      <c r="AE3" s="18">
        <f t="shared" si="6"/>
        <v>100</v>
      </c>
      <c r="AF3" s="12" t="str">
        <f t="shared" si="7"/>
        <v>BAIXO</v>
      </c>
      <c r="AG3" s="34">
        <f>IFERROR(U3/SUMIFS(U:U,G:G,G3,H:H,H3,L:L,L3,A:A,A3,B:B,B3),0)</f>
        <v>0.34129692832764508</v>
      </c>
      <c r="AH3" s="29" cm="1">
        <f t="array" ref="AH3">IFERROR(V3/INDEX('Cadastro Talhão'!G:G,MATCH(1,('Cadastro Talhão'!B:B=G3)*('Cadastro Talhão'!C:C=H3),0)),"-")</f>
        <v>0.1</v>
      </c>
      <c r="AI3" s="31" cm="1">
        <f t="array" ref="AI3">IFERROR(IF(AJ3="EM ANDAMENTO",U3,IF(AJ3="FINALIZADO",INDEX('Cadastro Talhão'!G:G,MATCH(1,('Cadastro Talhão'!B:B=G3)*('Cadastro Talhão'!C:C=H3),0)),"-")),"-")</f>
        <v>1000</v>
      </c>
      <c r="AJ3" s="12" t="str" cm="1">
        <f t="array" ref="AJ3">IFERROR(INDEX(Estoque!$A:$Z,MATCH(1,(Estoque!$E:$E='BDT''s'!G3)*(Estoque!$F:$F='BDT''s'!H3)*(Estoque!$B:$B='BDT''s'!B3),0),MATCH('BDT''s'!L3,Estoque!$1:$1,0)+4),"-")</f>
        <v>EM ANDAMENTO</v>
      </c>
    </row>
    <row r="4" spans="1:36" x14ac:dyDescent="0.3">
      <c r="A4" s="12">
        <f t="shared" si="0"/>
        <v>2026</v>
      </c>
      <c r="B4" s="13">
        <f t="shared" si="1"/>
        <v>46023</v>
      </c>
      <c r="C4" s="12" t="str" cm="1">
        <f t="array" ref="C4">IFERROR(IF(INDEX('Cadastro Talhão'!A:A,MATCH(1,('Cadastro Talhão'!B:B='BDT''s'!G4)*('Cadastro Talhão'!C:C='BDT''s'!H4),0))=0,"-",INDEX('Cadastro Talhão'!A:A,MATCH(1,('Cadastro Talhão'!B:B='BDT''s'!G4)*('Cadastro Talhão'!C:C='BDT''s'!H4),0))),"-")</f>
        <v>CONTRATO 1</v>
      </c>
      <c r="D4" s="15" cm="1">
        <f t="array" ref="D4">IFERROR(INDEX('Cadastro Talhão'!H:H,MATCH(1,('Cadastro Talhão'!B:B='BDT''s'!G4)*('Cadastro Talhão'!C:C='BDT''s'!H4),0)),"-")</f>
        <v>1.9</v>
      </c>
      <c r="E4" s="15" cm="1">
        <f t="array" ref="E4">IFERROR(INDEX('Cadastro Talhão'!F:F,MATCH(1,('Cadastro Talhão'!B:B='BDT''s'!G4)*('Cadastro Talhão'!C:C='BDT''s'!H4),0)),"-")</f>
        <v>0.16</v>
      </c>
      <c r="F4" s="12" t="str">
        <f>IFERROR(VLOOKUP(E4,VMI!A:B,2,FALSE),"-")</f>
        <v>0,16 a 0,20</v>
      </c>
      <c r="G4" s="3" t="s">
        <v>145</v>
      </c>
      <c r="H4" s="3">
        <v>25</v>
      </c>
      <c r="I4" s="4">
        <v>46023</v>
      </c>
      <c r="J4" s="3" t="s">
        <v>137</v>
      </c>
      <c r="K4" s="12" t="str">
        <f>IFERROR(VLOOKUP(J4,Cadastros!A:B,2,FALSE),"-")</f>
        <v>FELLER BUNCHER 2</v>
      </c>
      <c r="L4" s="12" t="str">
        <f>IFERROR(VLOOKUP(K4,Cadastros!B:D,3,FALSE),"-")</f>
        <v>CORTE</v>
      </c>
      <c r="M4" s="18" cm="1">
        <f t="array" ref="M4">IFERROR(INDEX(VMI!$A:$AAL,MATCH(1,(VMI!$A:$A=E4)*(VMI!$B:$B=F4),0),MATCH(L4,VMI!$1:$1,0)+1)*(AVERAGEIFS('Metas Produção'!I:I,'Metas Produção'!B:B,'BDT''s'!L4)),"-")</f>
        <v>125.23160472227366</v>
      </c>
      <c r="N4" s="3" t="s">
        <v>153</v>
      </c>
      <c r="O4" s="3" t="s">
        <v>157</v>
      </c>
      <c r="P4" s="12">
        <f>IFERROR(COUNTIFS(O:O,O4,N:N,N4,I:I,I4,J:J,J4,C:C,C4),"-")</f>
        <v>1</v>
      </c>
      <c r="Q4" s="40">
        <v>2000</v>
      </c>
      <c r="R4" s="19">
        <v>2011.1</v>
      </c>
      <c r="S4" s="15">
        <f t="shared" si="2"/>
        <v>11.099999999999909</v>
      </c>
      <c r="T4" s="15" cm="1">
        <f t="array" ref="T4">IFERROR(U4/INDEX('Cadastro Talhão'!F:F,MATCH(1,('Cadastro Talhão'!B:B='BDT''s'!G4)*('Cadastro Talhão'!C:C='BDT''s'!H4)*('Cadastro Talhão'!A:A='BDT''s'!C4),0)),"-")</f>
        <v>7500</v>
      </c>
      <c r="U4" s="44">
        <v>1200</v>
      </c>
      <c r="V4" s="33">
        <f>IF(U4="-",0,IFERROR(IF(AJ4="FINALIZADO",AI4/SUMIFS(AG:AG,G:G,G4,H:H,H4,L:L,L4,A:A,A4,B:B,B4)*AG4,U4),U4))</f>
        <v>1200</v>
      </c>
      <c r="W4" s="18">
        <f t="shared" si="3"/>
        <v>108.10810810810899</v>
      </c>
      <c r="X4" s="15" cm="1">
        <f t="array" ref="X4">IFERROR(U4/INDEX('Cadastro Talhão'!G:G,MATCH(1,('Cadastro Talhão'!B:B=G4)*('Cadastro Talhão'!C:C=H4),0))*INDEX('Cadastro Talhão'!D:D,MATCH(1,('Cadastro Talhão'!B:B=G4)*('Cadastro Talhão'!C:C=H4),0)),"-")</f>
        <v>0.92307692307692313</v>
      </c>
      <c r="Y4" s="34" cm="1">
        <f t="array" ref="Y4">IFERROR(V4/INDEX('Cadastro Talhão'!G:G,MATCH(1,('Cadastro Talhão'!B:B=G4)*('Cadastro Talhão'!C:C=H4),0))*INDEX('Cadastro Talhão'!D:D,MATCH(1,('Cadastro Talhão'!B:B=G4)*('Cadastro Talhão'!C:C=H4),0)),"-")</f>
        <v>0.92307692307692313</v>
      </c>
      <c r="Z4" s="18" cm="1">
        <f t="array" ref="Z4">IFERROR(INDEX('Metas Produção'!$A:$ZZ,MATCH(K4, 'Metas Produção'!$A:$A, 0),MATCH(F4, 'Metas Produção'!$1:$1, 0)+1)*12,"-")</f>
        <v>1477.1333130883693</v>
      </c>
      <c r="AA4" s="18">
        <f t="shared" si="4"/>
        <v>123.09444275736411</v>
      </c>
      <c r="AB4" s="18" cm="1">
        <f t="array" ref="AB4">IFERROR(INDEX('Metas Produção'!$A:$ZZ,MATCH(K4, 'Metas Produção'!$A:$A, 0),MATCH(F4, 'Metas Produção'!$1:$1, 0)+2)*12,"-")</f>
        <v>1464.4344428121058</v>
      </c>
      <c r="AC4" s="18">
        <f t="shared" si="5"/>
        <v>122.03620356767549</v>
      </c>
      <c r="AD4" s="18" cm="1">
        <f t="array" ref="AD4">IFERROR(INDEX('Metas Produção'!$A:$ZZ,MATCH(K4, 'Metas Produção'!$A:$A, 0),MATCH(F4, 'Metas Produção'!$1:$1, 0)+3)*12,"-")</f>
        <v>2022.4719101123387</v>
      </c>
      <c r="AE4" s="18">
        <f t="shared" si="6"/>
        <v>168.53932584269489</v>
      </c>
      <c r="AF4" s="12" t="str">
        <f t="shared" si="7"/>
        <v>BAIXO</v>
      </c>
      <c r="AG4" s="34">
        <f>IFERROR(U4/SUMIFS(U:U,G:G,G4,H:H,H4,L:L,L4,A:A,A4,B:B,B4),0)</f>
        <v>0.24489795918367346</v>
      </c>
      <c r="AH4" s="29" cm="1">
        <f t="array" ref="AH4">IFERROR(V4/INDEX('Cadastro Talhão'!G:G,MATCH(1,('Cadastro Talhão'!B:B=G4)*('Cadastro Talhão'!C:C=H4),0)),"-")</f>
        <v>9.2307692307692313E-2</v>
      </c>
      <c r="AI4" s="31" cm="1">
        <f t="array" ref="AI4">IFERROR(IF(AJ4="EM ANDAMENTO",U4,IF(AJ4="FINALIZADO",INDEX('Cadastro Talhão'!G:G,MATCH(1,('Cadastro Talhão'!B:B=G4)*('Cadastro Talhão'!C:C=H4),0)),"-")),"-")</f>
        <v>1200</v>
      </c>
      <c r="AJ4" s="12" t="str" cm="1">
        <f t="array" ref="AJ4">IFERROR(INDEX(Estoque!$A:$Z,MATCH(1,(Estoque!$E:$E='BDT''s'!G4)*(Estoque!$F:$F='BDT''s'!H4)*(Estoque!$B:$B='BDT''s'!B4),0),MATCH('BDT''s'!L4,Estoque!$1:$1,0)+4),"-")</f>
        <v>EM ANDAMENTO</v>
      </c>
    </row>
    <row r="5" spans="1:36" x14ac:dyDescent="0.3">
      <c r="A5" s="12">
        <f t="shared" si="0"/>
        <v>2026</v>
      </c>
      <c r="B5" s="13">
        <f t="shared" si="1"/>
        <v>46023</v>
      </c>
      <c r="C5" s="12" t="str" cm="1">
        <f t="array" ref="C5">IFERROR(IF(INDEX('Cadastro Talhão'!A:A,MATCH(1,('Cadastro Talhão'!B:B='BDT''s'!G5)*('Cadastro Talhão'!C:C='BDT''s'!H5),0))=0,"-",INDEX('Cadastro Talhão'!A:A,MATCH(1,('Cadastro Talhão'!B:B='BDT''s'!G5)*('Cadastro Talhão'!C:C='BDT''s'!H5),0))),"-")</f>
        <v>CONTRATO 1</v>
      </c>
      <c r="D5" s="15" cm="1">
        <f t="array" ref="D5">IFERROR(INDEX('Cadastro Talhão'!H:H,MATCH(1,('Cadastro Talhão'!B:B='BDT''s'!G5)*('Cadastro Talhão'!C:C='BDT''s'!H5),0)),"-")</f>
        <v>1.9</v>
      </c>
      <c r="E5" s="15" cm="1">
        <f t="array" ref="E5">IFERROR(INDEX('Cadastro Talhão'!F:F,MATCH(1,('Cadastro Talhão'!B:B='BDT''s'!G5)*('Cadastro Talhão'!C:C='BDT''s'!H5),0)),"-")</f>
        <v>0.16</v>
      </c>
      <c r="F5" s="12" t="str">
        <f>IFERROR(VLOOKUP(E5,VMI!A:B,2,FALSE),"-")</f>
        <v>0,16 a 0,20</v>
      </c>
      <c r="G5" s="3" t="s">
        <v>145</v>
      </c>
      <c r="H5" s="3">
        <v>25</v>
      </c>
      <c r="I5" s="4">
        <v>46023</v>
      </c>
      <c r="J5" s="3" t="s">
        <v>137</v>
      </c>
      <c r="K5" s="12" t="str">
        <f>IFERROR(VLOOKUP(J5,Cadastros!A:B,2,FALSE),"-")</f>
        <v>FELLER BUNCHER 2</v>
      </c>
      <c r="L5" s="12" t="str">
        <f>IFERROR(VLOOKUP(K5,Cadastros!B:D,3,FALSE),"-")</f>
        <v>CORTE</v>
      </c>
      <c r="M5" s="18" cm="1">
        <f t="array" ref="M5">IFERROR(INDEX(VMI!$A:$AAL,MATCH(1,(VMI!$A:$A=E5)*(VMI!$B:$B=F5),0),MATCH(L5,VMI!$1:$1,0)+1)*(AVERAGEIFS('Metas Produção'!I:I,'Metas Produção'!B:B,'BDT''s'!L5)),"-")</f>
        <v>125.23160472227366</v>
      </c>
      <c r="N5" s="3" t="s">
        <v>154</v>
      </c>
      <c r="O5" s="3" t="s">
        <v>158</v>
      </c>
      <c r="P5" s="12">
        <f>IFERROR(COUNTIFS(O:O,O5,N:N,N5,I:I,I5,J:J,J5,C:C,C5),"-")</f>
        <v>1</v>
      </c>
      <c r="Q5" s="15">
        <f>IFERROR(_xlfn.MAXIFS($R$1:R4,$K$1:K4,K5),"-")</f>
        <v>2011.1</v>
      </c>
      <c r="R5" s="19">
        <v>2020</v>
      </c>
      <c r="S5" s="15">
        <f t="shared" si="2"/>
        <v>8.9000000000000909</v>
      </c>
      <c r="T5" s="15" cm="1">
        <f t="array" ref="T5">IFERROR(U5/INDEX('Cadastro Talhão'!F:F,MATCH(1,('Cadastro Talhão'!B:B='BDT''s'!G5)*('Cadastro Talhão'!C:C='BDT''s'!H5)*('Cadastro Talhão'!A:A='BDT''s'!C5),0)),"-")</f>
        <v>9375</v>
      </c>
      <c r="U5" s="44">
        <v>1500</v>
      </c>
      <c r="V5" s="33">
        <f>IF(U5="-",0,IFERROR(IF(AJ5="FINALIZADO",AI5/SUMIFS(AG:AG,G:G,G5,H:H,H5,L:L,L5,A:A,A5,B:B,B5)*AG5,U5),U5))</f>
        <v>1500</v>
      </c>
      <c r="W5" s="18">
        <f t="shared" si="3"/>
        <v>168.53932584269489</v>
      </c>
      <c r="X5" s="15" cm="1">
        <f t="array" ref="X5">IFERROR(U5/INDEX('Cadastro Talhão'!G:G,MATCH(1,('Cadastro Talhão'!B:B=G5)*('Cadastro Talhão'!C:C=H5),0))*INDEX('Cadastro Talhão'!D:D,MATCH(1,('Cadastro Talhão'!B:B=G5)*('Cadastro Talhão'!C:C=H5),0)),"-")</f>
        <v>1.153846153846154</v>
      </c>
      <c r="Y5" s="34" cm="1">
        <f t="array" ref="Y5">IFERROR(V5/INDEX('Cadastro Talhão'!G:G,MATCH(1,('Cadastro Talhão'!B:B=G5)*('Cadastro Talhão'!C:C=H5),0))*INDEX('Cadastro Talhão'!D:D,MATCH(1,('Cadastro Talhão'!B:B=G5)*('Cadastro Talhão'!C:C=H5),0)),"-")</f>
        <v>1.153846153846154</v>
      </c>
      <c r="Z5" s="18" cm="1">
        <f t="array" ref="Z5">IFERROR(INDEX('Metas Produção'!$A:$ZZ,MATCH(K5, 'Metas Produção'!$A:$A, 0),MATCH(F5, 'Metas Produção'!$1:$1, 0)+1)*12,"-")</f>
        <v>1477.1333130883693</v>
      </c>
      <c r="AA5" s="18">
        <f t="shared" si="4"/>
        <v>123.09444275736411</v>
      </c>
      <c r="AB5" s="18" cm="1">
        <f t="array" ref="AB5">IFERROR(INDEX('Metas Produção'!$A:$ZZ,MATCH(K5, 'Metas Produção'!$A:$A, 0),MATCH(F5, 'Metas Produção'!$1:$1, 0)+2)*12,"-")</f>
        <v>1464.4344428121058</v>
      </c>
      <c r="AC5" s="18">
        <f t="shared" si="5"/>
        <v>122.03620356767549</v>
      </c>
      <c r="AD5" s="18" cm="1">
        <f t="array" ref="AD5">IFERROR(INDEX('Metas Produção'!$A:$ZZ,MATCH(K5, 'Metas Produção'!$A:$A, 0),MATCH(F5, 'Metas Produção'!$1:$1, 0)+3)*12,"-")</f>
        <v>2022.4719101123387</v>
      </c>
      <c r="AE5" s="18">
        <f t="shared" si="6"/>
        <v>168.53932584269489</v>
      </c>
      <c r="AF5" s="12" t="str">
        <f t="shared" si="7"/>
        <v>ALTO</v>
      </c>
      <c r="AG5" s="34">
        <f>IFERROR(U5/SUMIFS(U:U,G:G,G5,H:H,H5,L:L,L5,A:A,A5,B:B,B5),0)</f>
        <v>0.30612244897959184</v>
      </c>
      <c r="AH5" s="29" cm="1">
        <f t="array" ref="AH5">IFERROR(V5/INDEX('Cadastro Talhão'!G:G,MATCH(1,('Cadastro Talhão'!B:B=G5)*('Cadastro Talhão'!C:C=H5),0)),"-")</f>
        <v>0.11538461538461539</v>
      </c>
      <c r="AI5" s="31" cm="1">
        <f t="array" ref="AI5">IFERROR(IF(AJ5="EM ANDAMENTO",U5,IF(AJ5="FINALIZADO",INDEX('Cadastro Talhão'!G:G,MATCH(1,('Cadastro Talhão'!B:B=G5)*('Cadastro Talhão'!C:C=H5),0)),"-")),"-")</f>
        <v>1500</v>
      </c>
      <c r="AJ5" s="12" t="str" cm="1">
        <f t="array" ref="AJ5">IFERROR(INDEX(Estoque!$A:$Z,MATCH(1,(Estoque!$E:$E='BDT''s'!G5)*(Estoque!$F:$F='BDT''s'!H5)*(Estoque!$B:$B='BDT''s'!B5),0),MATCH('BDT''s'!L5,Estoque!$1:$1,0)+4),"-")</f>
        <v>EM ANDAMENTO</v>
      </c>
    </row>
    <row r="6" spans="1:36" x14ac:dyDescent="0.3">
      <c r="A6" s="12">
        <f t="shared" si="0"/>
        <v>2026</v>
      </c>
      <c r="B6" s="13">
        <f t="shared" si="1"/>
        <v>46023</v>
      </c>
      <c r="C6" s="12" t="str" cm="1">
        <f t="array" ref="C6">IFERROR(IF(INDEX('Cadastro Talhão'!A:A,MATCH(1,('Cadastro Talhão'!B:B='BDT''s'!G6)*('Cadastro Talhão'!C:C='BDT''s'!H6),0))=0,"-",INDEX('Cadastro Talhão'!A:A,MATCH(1,('Cadastro Talhão'!B:B='BDT''s'!G6)*('Cadastro Talhão'!C:C='BDT''s'!H6),0))),"-")</f>
        <v>CONTRATO 1</v>
      </c>
      <c r="D6" s="15" cm="1">
        <f t="array" ref="D6">IFERROR(INDEX('Cadastro Talhão'!H:H,MATCH(1,('Cadastro Talhão'!B:B='BDT''s'!G6)*('Cadastro Talhão'!C:C='BDT''s'!H6),0)),"-")</f>
        <v>1.9</v>
      </c>
      <c r="E6" s="15" cm="1">
        <f t="array" ref="E6">IFERROR(INDEX('Cadastro Talhão'!F:F,MATCH(1,('Cadastro Talhão'!B:B='BDT''s'!G6)*('Cadastro Talhão'!C:C='BDT''s'!H6),0)),"-")</f>
        <v>0.15</v>
      </c>
      <c r="F6" s="12" t="str">
        <f>IFERROR(VLOOKUP(E6,VMI!A:B,2,FALSE),"-")</f>
        <v>0,11 a 0,15</v>
      </c>
      <c r="G6" s="3" t="s">
        <v>145</v>
      </c>
      <c r="H6" s="3">
        <v>15</v>
      </c>
      <c r="I6" s="4">
        <v>46023</v>
      </c>
      <c r="J6" s="3" t="s">
        <v>140</v>
      </c>
      <c r="K6" s="12" t="str">
        <f>IFERROR(VLOOKUP(J6,Cadastros!A:B,2,FALSE),"-")</f>
        <v>SKIDDER 1</v>
      </c>
      <c r="L6" s="12" t="str">
        <f>IFERROR(VLOOKUP(K6,Cadastros!B:D,3,FALSE),"-")</f>
        <v>ARRASTE</v>
      </c>
      <c r="M6" s="18" cm="1">
        <f t="array" ref="M6">IFERROR(INDEX(VMI!$A:$AAL,MATCH(1,(VMI!$A:$A=E6)*(VMI!$B:$B=F6),0),MATCH(L6,VMI!$1:$1,0)+1)*(AVERAGEIFS('Metas Produção'!I:I,'Metas Produção'!B:B,'BDT''s'!L6)),"-")</f>
        <v>132.35446577920268</v>
      </c>
      <c r="N6" s="3" t="s">
        <v>155</v>
      </c>
      <c r="O6" s="3" t="s">
        <v>157</v>
      </c>
      <c r="P6" s="12">
        <f>IFERROR(COUNTIFS(O:O,O6,N:N,N6,I:I,I6,J:J,J6,C:C,C6),"-")</f>
        <v>1</v>
      </c>
      <c r="Q6" s="40">
        <v>1200</v>
      </c>
      <c r="R6" s="19">
        <v>1208</v>
      </c>
      <c r="S6" s="15">
        <f t="shared" si="2"/>
        <v>8</v>
      </c>
      <c r="T6" s="15" cm="1">
        <f t="array" ref="T6">IFERROR(U6/INDEX('Cadastro Talhão'!F:F,MATCH(1,('Cadastro Talhão'!B:B='BDT''s'!G6)*('Cadastro Talhão'!C:C='BDT''s'!H6)*('Cadastro Talhão'!A:A='BDT''s'!C6),0)),"-")</f>
        <v>3333.3333333333335</v>
      </c>
      <c r="U6" s="44">
        <v>500</v>
      </c>
      <c r="V6" s="33">
        <f>IF(U6="-",0,IFERROR(IF(AJ6="FINALIZADO",AI6/SUMIFS(AG:AG,G:G,G6,H:H,H6,L:L,L6,A:A,A6,B:B,B6)*AG6,U6),U6))</f>
        <v>500</v>
      </c>
      <c r="W6" s="18">
        <f t="shared" si="3"/>
        <v>62.5</v>
      </c>
      <c r="X6" s="15" cm="1">
        <f t="array" ref="X6">IFERROR(U6/INDEX('Cadastro Talhão'!G:G,MATCH(1,('Cadastro Talhão'!B:B=G6)*('Cadastro Talhão'!C:C=H6),0))*INDEX('Cadastro Talhão'!D:D,MATCH(1,('Cadastro Talhão'!B:B=G6)*('Cadastro Talhão'!C:C=H6),0)),"-")</f>
        <v>0.60000000000000009</v>
      </c>
      <c r="Y6" s="34" cm="1">
        <f t="array" ref="Y6">IFERROR(V6/INDEX('Cadastro Talhão'!G:G,MATCH(1,('Cadastro Talhão'!B:B=G6)*('Cadastro Talhão'!C:C=H6),0))*INDEX('Cadastro Talhão'!D:D,MATCH(1,('Cadastro Talhão'!B:B=G6)*('Cadastro Talhão'!C:C=H6),0)),"-")</f>
        <v>0.60000000000000009</v>
      </c>
      <c r="Z6" s="18" cm="1">
        <f t="array" ref="Z6">IFERROR(INDEX('Metas Produção'!$A:$ZZ,MATCH(K6, 'Metas Produção'!$A:$A, 0),MATCH(F6, 'Metas Produção'!$1:$1, 0)+1)*12,"-")</f>
        <v>1688.5714285714287</v>
      </c>
      <c r="AA6" s="18">
        <f t="shared" si="4"/>
        <v>140.71428571428572</v>
      </c>
      <c r="AB6" s="18" cm="1">
        <f t="array" ref="AB6">IFERROR(INDEX('Metas Produção'!$A:$ZZ,MATCH(K6, 'Metas Produção'!$A:$A, 0),MATCH(F6, 'Metas Produção'!$1:$1, 0)+2)*12,"-")</f>
        <v>1918.6651560407868</v>
      </c>
      <c r="AC6" s="18">
        <f t="shared" si="5"/>
        <v>159.88876300339891</v>
      </c>
      <c r="AD6" s="18" cm="1">
        <f t="array" ref="AD6">IFERROR(INDEX('Metas Produção'!$A:$ZZ,MATCH(K6, 'Metas Produção'!$A:$A, 0),MATCH(F6, 'Metas Produção'!$1:$1, 0)+3)*12,"-")</f>
        <v>2280</v>
      </c>
      <c r="AE6" s="18">
        <f t="shared" si="6"/>
        <v>190</v>
      </c>
      <c r="AF6" s="12" t="str">
        <f t="shared" si="7"/>
        <v>BAIXO</v>
      </c>
      <c r="AG6" s="34">
        <f>IFERROR(U6/SUMIFS(U:U,G:G,G6,H:H,H6,L:L,L6,A:A,A6,B:B,B6),0)</f>
        <v>0.19920318725099601</v>
      </c>
      <c r="AH6" s="29" cm="1">
        <f t="array" ref="AH6">IFERROR(V6/INDEX('Cadastro Talhão'!G:G,MATCH(1,('Cadastro Talhão'!B:B=G6)*('Cadastro Talhão'!C:C=H6),0)),"-")</f>
        <v>0.05</v>
      </c>
      <c r="AI6" s="31" cm="1">
        <f t="array" ref="AI6">IFERROR(IF(AJ6="EM ANDAMENTO",U6,IF(AJ6="FINALIZADO",INDEX('Cadastro Talhão'!G:G,MATCH(1,('Cadastro Talhão'!B:B=G6)*('Cadastro Talhão'!C:C=H6),0)),"-")),"-")</f>
        <v>500</v>
      </c>
      <c r="AJ6" s="12" t="str" cm="1">
        <f t="array" ref="AJ6">IFERROR(INDEX(Estoque!$A:$Z,MATCH(1,(Estoque!$E:$E='BDT''s'!G6)*(Estoque!$F:$F='BDT''s'!H6)*(Estoque!$B:$B='BDT''s'!B6),0),MATCH('BDT''s'!L6,Estoque!$1:$1,0)+4),"-")</f>
        <v>EM ANDAMENTO</v>
      </c>
    </row>
    <row r="7" spans="1:36" x14ac:dyDescent="0.3">
      <c r="A7" s="12">
        <f t="shared" si="0"/>
        <v>2026</v>
      </c>
      <c r="B7" s="13">
        <f t="shared" si="1"/>
        <v>46023</v>
      </c>
      <c r="C7" s="12" t="str" cm="1">
        <f t="array" ref="C7">IFERROR(IF(INDEX('Cadastro Talhão'!A:A,MATCH(1,('Cadastro Talhão'!B:B='BDT''s'!G7)*('Cadastro Talhão'!C:C='BDT''s'!H7),0))=0,"-",INDEX('Cadastro Talhão'!A:A,MATCH(1,('Cadastro Talhão'!B:B='BDT''s'!G7)*('Cadastro Talhão'!C:C='BDT''s'!H7),0))),"-")</f>
        <v>CONTRATO 1</v>
      </c>
      <c r="D7" s="15" cm="1">
        <f t="array" ref="D7">IFERROR(INDEX('Cadastro Talhão'!H:H,MATCH(1,('Cadastro Talhão'!B:B='BDT''s'!G7)*('Cadastro Talhão'!C:C='BDT''s'!H7),0)),"-")</f>
        <v>1.9</v>
      </c>
      <c r="E7" s="15" cm="1">
        <f t="array" ref="E7">IFERROR(INDEX('Cadastro Talhão'!F:F,MATCH(1,('Cadastro Talhão'!B:B='BDT''s'!G7)*('Cadastro Talhão'!C:C='BDT''s'!H7),0)),"-")</f>
        <v>0.15</v>
      </c>
      <c r="F7" s="12" t="str">
        <f>IFERROR(VLOOKUP(E7,VMI!A:B,2,FALSE),"-")</f>
        <v>0,11 a 0,15</v>
      </c>
      <c r="G7" s="3" t="s">
        <v>145</v>
      </c>
      <c r="H7" s="3">
        <v>15</v>
      </c>
      <c r="I7" s="4">
        <v>46023</v>
      </c>
      <c r="J7" s="3" t="s">
        <v>140</v>
      </c>
      <c r="K7" s="12" t="str">
        <f>IFERROR(VLOOKUP(J7,Cadastros!A:B,2,FALSE),"-")</f>
        <v>SKIDDER 1</v>
      </c>
      <c r="L7" s="12" t="str">
        <f>IFERROR(VLOOKUP(K7,Cadastros!B:D,3,FALSE),"-")</f>
        <v>ARRASTE</v>
      </c>
      <c r="M7" s="18" cm="1">
        <f t="array" ref="M7">IFERROR(INDEX(VMI!$A:$AAL,MATCH(1,(VMI!$A:$A=E7)*(VMI!$B:$B=F7),0),MATCH(L7,VMI!$1:$1,0)+1)*(AVERAGEIFS('Metas Produção'!I:I,'Metas Produção'!B:B,'BDT''s'!L7)),"-")</f>
        <v>132.35446577920268</v>
      </c>
      <c r="N7" s="3" t="s">
        <v>156</v>
      </c>
      <c r="O7" s="3" t="s">
        <v>158</v>
      </c>
      <c r="P7" s="12">
        <f>IFERROR(COUNTIFS(O:O,O7,N:N,N7,I:I,I7,J:J,J7,C:C,C7),"-")</f>
        <v>1</v>
      </c>
      <c r="Q7" s="15">
        <f>IFERROR(_xlfn.MAXIFS($R$1:R6,$K$1:K6,K7),"-")</f>
        <v>1208</v>
      </c>
      <c r="R7" s="19">
        <v>1215</v>
      </c>
      <c r="S7" s="15">
        <f t="shared" si="2"/>
        <v>7</v>
      </c>
      <c r="T7" s="15" cm="1">
        <f t="array" ref="T7">IFERROR(U7/INDEX('Cadastro Talhão'!F:F,MATCH(1,('Cadastro Talhão'!B:B='BDT''s'!G7)*('Cadastro Talhão'!C:C='BDT''s'!H7)*('Cadastro Talhão'!A:A='BDT''s'!C7),0)),"-")</f>
        <v>4333.3333333333339</v>
      </c>
      <c r="U7" s="44">
        <v>650</v>
      </c>
      <c r="V7" s="33">
        <f>IF(U7="-",0,IFERROR(IF(AJ7="FINALIZADO",AI7/SUMIFS(AG:AG,G:G,G7,H:H,H7,L:L,L7,A:A,A7,B:B,B7)*AG7,U7),U7))</f>
        <v>650</v>
      </c>
      <c r="W7" s="18">
        <f t="shared" si="3"/>
        <v>92.857142857142861</v>
      </c>
      <c r="X7" s="15" cm="1">
        <f t="array" ref="X7">IFERROR(U7/INDEX('Cadastro Talhão'!G:G,MATCH(1,('Cadastro Talhão'!B:B=G7)*('Cadastro Talhão'!C:C=H7),0))*INDEX('Cadastro Talhão'!D:D,MATCH(1,('Cadastro Talhão'!B:B=G7)*('Cadastro Talhão'!C:C=H7),0)),"-")</f>
        <v>0.78</v>
      </c>
      <c r="Y7" s="34" cm="1">
        <f t="array" ref="Y7">IFERROR(V7/INDEX('Cadastro Talhão'!G:G,MATCH(1,('Cadastro Talhão'!B:B=G7)*('Cadastro Talhão'!C:C=H7),0))*INDEX('Cadastro Talhão'!D:D,MATCH(1,('Cadastro Talhão'!B:B=G7)*('Cadastro Talhão'!C:C=H7),0)),"-")</f>
        <v>0.78</v>
      </c>
      <c r="Z7" s="18" cm="1">
        <f t="array" ref="Z7">IFERROR(INDEX('Metas Produção'!$A:$ZZ,MATCH(K7, 'Metas Produção'!$A:$A, 0),MATCH(F7, 'Metas Produção'!$1:$1, 0)+1)*12,"-")</f>
        <v>1688.5714285714287</v>
      </c>
      <c r="AA7" s="18">
        <f t="shared" si="4"/>
        <v>140.71428571428572</v>
      </c>
      <c r="AB7" s="18" cm="1">
        <f t="array" ref="AB7">IFERROR(INDEX('Metas Produção'!$A:$ZZ,MATCH(K7, 'Metas Produção'!$A:$A, 0),MATCH(F7, 'Metas Produção'!$1:$1, 0)+2)*12,"-")</f>
        <v>1918.6651560407868</v>
      </c>
      <c r="AC7" s="18">
        <f t="shared" si="5"/>
        <v>159.88876300339891</v>
      </c>
      <c r="AD7" s="18" cm="1">
        <f t="array" ref="AD7">IFERROR(INDEX('Metas Produção'!$A:$ZZ,MATCH(K7, 'Metas Produção'!$A:$A, 0),MATCH(F7, 'Metas Produção'!$1:$1, 0)+3)*12,"-")</f>
        <v>2280</v>
      </c>
      <c r="AE7" s="18">
        <f t="shared" si="6"/>
        <v>190</v>
      </c>
      <c r="AF7" s="12" t="str">
        <f t="shared" si="7"/>
        <v>BAIXO</v>
      </c>
      <c r="AG7" s="34">
        <f>IFERROR(U7/SUMIFS(U:U,G:G,G7,H:H,H7,L:L,L7,A:A,A7,B:B,B7),0)</f>
        <v>0.25896414342629481</v>
      </c>
      <c r="AH7" s="29" cm="1">
        <f t="array" ref="AH7">IFERROR(V7/INDEX('Cadastro Talhão'!G:G,MATCH(1,('Cadastro Talhão'!B:B=G7)*('Cadastro Talhão'!C:C=H7),0)),"-")</f>
        <v>6.5000000000000002E-2</v>
      </c>
      <c r="AI7" s="31" cm="1">
        <f t="array" ref="AI7">IFERROR(IF(AJ7="EM ANDAMENTO",U7,IF(AJ7="FINALIZADO",INDEX('Cadastro Talhão'!G:G,MATCH(1,('Cadastro Talhão'!B:B=G7)*('Cadastro Talhão'!C:C=H7),0)),"-")),"-")</f>
        <v>650</v>
      </c>
      <c r="AJ7" s="12" t="str" cm="1">
        <f t="array" ref="AJ7">IFERROR(INDEX(Estoque!$A:$Z,MATCH(1,(Estoque!$E:$E='BDT''s'!G7)*(Estoque!$F:$F='BDT''s'!H7)*(Estoque!$B:$B='BDT''s'!B7),0),MATCH('BDT''s'!L7,Estoque!$1:$1,0)+4),"-")</f>
        <v>EM ANDAMENTO</v>
      </c>
    </row>
    <row r="8" spans="1:36" x14ac:dyDescent="0.3">
      <c r="A8" s="12">
        <f t="shared" si="0"/>
        <v>2026</v>
      </c>
      <c r="B8" s="13">
        <f t="shared" si="1"/>
        <v>46023</v>
      </c>
      <c r="C8" s="12" t="str" cm="1">
        <f t="array" ref="C8">IFERROR(IF(INDEX('Cadastro Talhão'!A:A,MATCH(1,('Cadastro Talhão'!B:B='BDT''s'!G8)*('Cadastro Talhão'!C:C='BDT''s'!H8),0))=0,"-",INDEX('Cadastro Talhão'!A:A,MATCH(1,('Cadastro Talhão'!B:B='BDT''s'!G8)*('Cadastro Talhão'!C:C='BDT''s'!H8),0))),"-")</f>
        <v>CONTRATO 1</v>
      </c>
      <c r="D8" s="15" cm="1">
        <f t="array" ref="D8">IFERROR(INDEX('Cadastro Talhão'!H:H,MATCH(1,('Cadastro Talhão'!B:B='BDT''s'!G8)*('Cadastro Talhão'!C:C='BDT''s'!H8),0)),"-")</f>
        <v>1.9</v>
      </c>
      <c r="E8" s="15" cm="1">
        <f t="array" ref="E8">IFERROR(INDEX('Cadastro Talhão'!F:F,MATCH(1,('Cadastro Talhão'!B:B='BDT''s'!G8)*('Cadastro Talhão'!C:C='BDT''s'!H8),0)),"-")</f>
        <v>0.16</v>
      </c>
      <c r="F8" s="12" t="str">
        <f>IFERROR(VLOOKUP(E8,VMI!A:B,2,FALSE),"-")</f>
        <v>0,16 a 0,20</v>
      </c>
      <c r="G8" s="3" t="s">
        <v>145</v>
      </c>
      <c r="H8" s="3">
        <v>25</v>
      </c>
      <c r="I8" s="4">
        <v>46023</v>
      </c>
      <c r="J8" s="3" t="s">
        <v>141</v>
      </c>
      <c r="K8" s="12" t="str">
        <f>IFERROR(VLOOKUP(J8,Cadastros!A:B,2,FALSE),"-")</f>
        <v>SKIDDER 2</v>
      </c>
      <c r="L8" s="12" t="str">
        <f>IFERROR(VLOOKUP(K8,Cadastros!B:D,3,FALSE),"-")</f>
        <v>ARRASTE</v>
      </c>
      <c r="M8" s="18" cm="1">
        <f t="array" ref="M8">IFERROR(INDEX(VMI!$A:$AAL,MATCH(1,(VMI!$A:$A=E8)*(VMI!$B:$B=F8),0),MATCH(L8,VMI!$1:$1,0)+1)*(AVERAGEIFS('Metas Produção'!I:I,'Metas Produção'!B:B,'BDT''s'!L8)),"-")</f>
        <v>96.809137699999269</v>
      </c>
      <c r="N8" s="3" t="s">
        <v>159</v>
      </c>
      <c r="O8" s="3" t="s">
        <v>157</v>
      </c>
      <c r="P8" s="12">
        <f>IFERROR(COUNTIFS(O:O,O8,N:N,N8,I:I,I8,J:J,J8,C:C,C8),"-")</f>
        <v>1</v>
      </c>
      <c r="Q8" s="40">
        <v>2100</v>
      </c>
      <c r="R8" s="19">
        <v>2109</v>
      </c>
      <c r="S8" s="15">
        <f t="shared" si="2"/>
        <v>9</v>
      </c>
      <c r="T8" s="15" cm="1">
        <f t="array" ref="T8">IFERROR(U8/INDEX('Cadastro Talhão'!F:F,MATCH(1,('Cadastro Talhão'!B:B='BDT''s'!G8)*('Cadastro Talhão'!C:C='BDT''s'!H8)*('Cadastro Talhão'!A:A='BDT''s'!C8),0)),"-")</f>
        <v>4375</v>
      </c>
      <c r="U8" s="44">
        <v>700</v>
      </c>
      <c r="V8" s="33">
        <f>IF(U8="-",0,IFERROR(IF(AJ8="FINALIZADO",AI8/SUMIFS(AG:AG,G:G,G8,H:H,H8,L:L,L8,A:A,A8,B:B,B8)*AG8,U8),U8))</f>
        <v>700</v>
      </c>
      <c r="W8" s="18">
        <f t="shared" si="3"/>
        <v>77.777777777777771</v>
      </c>
      <c r="X8" s="15" cm="1">
        <f t="array" ref="X8">IFERROR(U8/INDEX('Cadastro Talhão'!G:G,MATCH(1,('Cadastro Talhão'!B:B=G8)*('Cadastro Talhão'!C:C=H8),0))*INDEX('Cadastro Talhão'!D:D,MATCH(1,('Cadastro Talhão'!B:B=G8)*('Cadastro Talhão'!C:C=H8),0)),"-")</f>
        <v>0.53846153846153855</v>
      </c>
      <c r="Y8" s="34" cm="1">
        <f t="array" ref="Y8">IFERROR(V8/INDEX('Cadastro Talhão'!G:G,MATCH(1,('Cadastro Talhão'!B:B=G8)*('Cadastro Talhão'!C:C=H8),0))*INDEX('Cadastro Talhão'!D:D,MATCH(1,('Cadastro Talhão'!B:B=G8)*('Cadastro Talhão'!C:C=H8),0)),"-")</f>
        <v>0.53846153846153855</v>
      </c>
      <c r="Z8" s="18" cm="1">
        <f t="array" ref="Z8">IFERROR(INDEX('Metas Produção'!$A:$ZZ,MATCH(K8, 'Metas Produção'!$A:$A, 0),MATCH(F8, 'Metas Produção'!$1:$1, 0)+1)*12,"-")</f>
        <v>1088.3333333333333</v>
      </c>
      <c r="AA8" s="18">
        <f t="shared" si="4"/>
        <v>90.694444444444443</v>
      </c>
      <c r="AB8" s="18" cm="1">
        <f t="array" ref="AB8">IFERROR(INDEX('Metas Produção'!$A:$ZZ,MATCH(K8, 'Metas Produção'!$A:$A, 0),MATCH(F8, 'Metas Produção'!$1:$1, 0)+2)*12,"-")</f>
        <v>1089.6986804200353</v>
      </c>
      <c r="AC8" s="18">
        <f t="shared" si="5"/>
        <v>90.808223368336272</v>
      </c>
      <c r="AD8" s="18" cm="1">
        <f t="array" ref="AD8">IFERROR(INDEX('Metas Produção'!$A:$ZZ,MATCH(K8, 'Metas Produção'!$A:$A, 0),MATCH(F8, 'Metas Produção'!$1:$1, 0)+3)*12,"-")</f>
        <v>1440</v>
      </c>
      <c r="AE8" s="18">
        <f t="shared" si="6"/>
        <v>120</v>
      </c>
      <c r="AF8" s="12" t="str">
        <f t="shared" si="7"/>
        <v>BAIXO</v>
      </c>
      <c r="AG8" s="34">
        <f>IFERROR(U8/SUMIFS(U:U,G:G,G8,H:H,H8,L:L,L8,A:A,A8,B:B,B8),0)</f>
        <v>0.23178807947019867</v>
      </c>
      <c r="AH8" s="29" cm="1">
        <f t="array" ref="AH8">IFERROR(V8/INDEX('Cadastro Talhão'!G:G,MATCH(1,('Cadastro Talhão'!B:B=G8)*('Cadastro Talhão'!C:C=H8),0)),"-")</f>
        <v>5.3846153846153849E-2</v>
      </c>
      <c r="AI8" s="31" cm="1">
        <f t="array" ref="AI8">IFERROR(IF(AJ8="EM ANDAMENTO",U8,IF(AJ8="FINALIZADO",INDEX('Cadastro Talhão'!G:G,MATCH(1,('Cadastro Talhão'!B:B=G8)*('Cadastro Talhão'!C:C=H8),0)),"-")),"-")</f>
        <v>700</v>
      </c>
      <c r="AJ8" s="12" t="str" cm="1">
        <f t="array" ref="AJ8">IFERROR(INDEX(Estoque!$A:$Z,MATCH(1,(Estoque!$E:$E='BDT''s'!G8)*(Estoque!$F:$F='BDT''s'!H8)*(Estoque!$B:$B='BDT''s'!B8),0),MATCH('BDT''s'!L8,Estoque!$1:$1,0)+4),"-")</f>
        <v>EM ANDAMENTO</v>
      </c>
    </row>
    <row r="9" spans="1:36" x14ac:dyDescent="0.3">
      <c r="A9" s="12">
        <f t="shared" si="0"/>
        <v>2026</v>
      </c>
      <c r="B9" s="13">
        <f t="shared" si="1"/>
        <v>46023</v>
      </c>
      <c r="C9" s="12" t="str" cm="1">
        <f t="array" ref="C9">IFERROR(IF(INDEX('Cadastro Talhão'!A:A,MATCH(1,('Cadastro Talhão'!B:B='BDT''s'!G9)*('Cadastro Talhão'!C:C='BDT''s'!H9),0))=0,"-",INDEX('Cadastro Talhão'!A:A,MATCH(1,('Cadastro Talhão'!B:B='BDT''s'!G9)*('Cadastro Talhão'!C:C='BDT''s'!H9),0))),"-")</f>
        <v>CONTRATO 1</v>
      </c>
      <c r="D9" s="15" cm="1">
        <f t="array" ref="D9">IFERROR(INDEX('Cadastro Talhão'!H:H,MATCH(1,('Cadastro Talhão'!B:B='BDT''s'!G9)*('Cadastro Talhão'!C:C='BDT''s'!H9),0)),"-")</f>
        <v>1.9</v>
      </c>
      <c r="E9" s="15" cm="1">
        <f t="array" ref="E9">IFERROR(INDEX('Cadastro Talhão'!F:F,MATCH(1,('Cadastro Talhão'!B:B='BDT''s'!G9)*('Cadastro Talhão'!C:C='BDT''s'!H9),0)),"-")</f>
        <v>0.16</v>
      </c>
      <c r="F9" s="12" t="str">
        <f>IFERROR(VLOOKUP(E9,VMI!A:B,2,FALSE),"-")</f>
        <v>0,16 a 0,20</v>
      </c>
      <c r="G9" s="3" t="s">
        <v>145</v>
      </c>
      <c r="H9" s="3">
        <v>25</v>
      </c>
      <c r="I9" s="4">
        <v>46023</v>
      </c>
      <c r="J9" s="3" t="s">
        <v>141</v>
      </c>
      <c r="K9" s="12" t="str">
        <f>IFERROR(VLOOKUP(J9,Cadastros!A:B,2,FALSE),"-")</f>
        <v>SKIDDER 2</v>
      </c>
      <c r="L9" s="12" t="str">
        <f>IFERROR(VLOOKUP(K9,Cadastros!B:D,3,FALSE),"-")</f>
        <v>ARRASTE</v>
      </c>
      <c r="M9" s="18" cm="1">
        <f t="array" ref="M9">IFERROR(INDEX(VMI!$A:$AAL,MATCH(1,(VMI!$A:$A=E9)*(VMI!$B:$B=F9),0),MATCH(L9,VMI!$1:$1,0)+1)*(AVERAGEIFS('Metas Produção'!I:I,'Metas Produção'!B:B,'BDT''s'!L9)),"-")</f>
        <v>96.809137699999269</v>
      </c>
      <c r="N9" s="3" t="s">
        <v>160</v>
      </c>
      <c r="O9" s="3" t="s">
        <v>158</v>
      </c>
      <c r="P9" s="12">
        <f>IFERROR(COUNTIFS(O:O,O9,N:N,N9,I:I,I9,J:J,J9,C:C,C9),"-")</f>
        <v>1</v>
      </c>
      <c r="Q9" s="15">
        <f>IFERROR(_xlfn.MAXIFS($R$1:R8,$K$1:K8,K9),"-")</f>
        <v>2109</v>
      </c>
      <c r="R9" s="19">
        <v>2120</v>
      </c>
      <c r="S9" s="15">
        <f t="shared" si="2"/>
        <v>11</v>
      </c>
      <c r="T9" s="15" cm="1">
        <f t="array" ref="T9">IFERROR(U9/INDEX('Cadastro Talhão'!F:F,MATCH(1,('Cadastro Talhão'!B:B='BDT''s'!G9)*('Cadastro Talhão'!C:C='BDT''s'!H9)*('Cadastro Talhão'!A:A='BDT''s'!C9),0)),"-")</f>
        <v>5125</v>
      </c>
      <c r="U9" s="44">
        <v>820</v>
      </c>
      <c r="V9" s="33">
        <f>IF(U9="-",0,IFERROR(IF(AJ9="FINALIZADO",AI9/SUMIFS(AG:AG,G:G,G9,H:H,H9,L:L,L9,A:A,A9,B:B,B9)*AG9,U9),U9))</f>
        <v>820</v>
      </c>
      <c r="W9" s="18">
        <f t="shared" si="3"/>
        <v>74.545454545454547</v>
      </c>
      <c r="X9" s="15" cm="1">
        <f t="array" ref="X9">IFERROR(U9/INDEX('Cadastro Talhão'!G:G,MATCH(1,('Cadastro Talhão'!B:B=G9)*('Cadastro Talhão'!C:C=H9),0))*INDEX('Cadastro Talhão'!D:D,MATCH(1,('Cadastro Talhão'!B:B=G9)*('Cadastro Talhão'!C:C=H9),0)),"-")</f>
        <v>0.63076923076923075</v>
      </c>
      <c r="Y9" s="34" cm="1">
        <f t="array" ref="Y9">IFERROR(V9/INDEX('Cadastro Talhão'!G:G,MATCH(1,('Cadastro Talhão'!B:B=G9)*('Cadastro Talhão'!C:C=H9),0))*INDEX('Cadastro Talhão'!D:D,MATCH(1,('Cadastro Talhão'!B:B=G9)*('Cadastro Talhão'!C:C=H9),0)),"-")</f>
        <v>0.63076923076923075</v>
      </c>
      <c r="Z9" s="18" cm="1">
        <f t="array" ref="Z9">IFERROR(INDEX('Metas Produção'!$A:$ZZ,MATCH(K9, 'Metas Produção'!$A:$A, 0),MATCH(F9, 'Metas Produção'!$1:$1, 0)+1)*12,"-")</f>
        <v>1088.3333333333333</v>
      </c>
      <c r="AA9" s="18">
        <f t="shared" si="4"/>
        <v>90.694444444444443</v>
      </c>
      <c r="AB9" s="18" cm="1">
        <f t="array" ref="AB9">IFERROR(INDEX('Metas Produção'!$A:$ZZ,MATCH(K9, 'Metas Produção'!$A:$A, 0),MATCH(F9, 'Metas Produção'!$1:$1, 0)+2)*12,"-")</f>
        <v>1089.6986804200353</v>
      </c>
      <c r="AC9" s="18">
        <f t="shared" si="5"/>
        <v>90.808223368336272</v>
      </c>
      <c r="AD9" s="18" cm="1">
        <f t="array" ref="AD9">IFERROR(INDEX('Metas Produção'!$A:$ZZ,MATCH(K9, 'Metas Produção'!$A:$A, 0),MATCH(F9, 'Metas Produção'!$1:$1, 0)+3)*12,"-")</f>
        <v>1440</v>
      </c>
      <c r="AE9" s="18">
        <f t="shared" si="6"/>
        <v>120</v>
      </c>
      <c r="AF9" s="12" t="str">
        <f t="shared" si="7"/>
        <v>BAIXO</v>
      </c>
      <c r="AG9" s="34">
        <f>IFERROR(U9/SUMIFS(U:U,G:G,G9,H:H,H9,L:L,L9,A:A,A9,B:B,B9),0)</f>
        <v>0.27152317880794702</v>
      </c>
      <c r="AH9" s="29" cm="1">
        <f t="array" ref="AH9">IFERROR(V9/INDEX('Cadastro Talhão'!G:G,MATCH(1,('Cadastro Talhão'!B:B=G9)*('Cadastro Talhão'!C:C=H9),0)),"-")</f>
        <v>6.3076923076923072E-2</v>
      </c>
      <c r="AI9" s="31" cm="1">
        <f t="array" ref="AI9">IFERROR(IF(AJ9="EM ANDAMENTO",U9,IF(AJ9="FINALIZADO",INDEX('Cadastro Talhão'!G:G,MATCH(1,('Cadastro Talhão'!B:B=G9)*('Cadastro Talhão'!C:C=H9),0)),"-")),"-")</f>
        <v>820</v>
      </c>
      <c r="AJ9" s="12" t="str" cm="1">
        <f t="array" ref="AJ9">IFERROR(INDEX(Estoque!$A:$Z,MATCH(1,(Estoque!$E:$E='BDT''s'!G9)*(Estoque!$F:$F='BDT''s'!H9)*(Estoque!$B:$B='BDT''s'!B9),0),MATCH('BDT''s'!L9,Estoque!$1:$1,0)+4),"-")</f>
        <v>EM ANDAMENTO</v>
      </c>
    </row>
    <row r="10" spans="1:36" x14ac:dyDescent="0.3">
      <c r="A10" s="12">
        <f t="shared" si="0"/>
        <v>2026</v>
      </c>
      <c r="B10" s="13">
        <f t="shared" si="1"/>
        <v>46023</v>
      </c>
      <c r="C10" s="12" t="str" cm="1">
        <f t="array" ref="C10">IFERROR(IF(INDEX('Cadastro Talhão'!A:A,MATCH(1,('Cadastro Talhão'!B:B='BDT''s'!G10)*('Cadastro Talhão'!C:C='BDT''s'!H10),0))=0,"-",INDEX('Cadastro Talhão'!A:A,MATCH(1,('Cadastro Talhão'!B:B='BDT''s'!G10)*('Cadastro Talhão'!C:C='BDT''s'!H10),0))),"-")</f>
        <v>CONTRATO 1</v>
      </c>
      <c r="D10" s="15" cm="1">
        <f t="array" ref="D10">IFERROR(INDEX('Cadastro Talhão'!H:H,MATCH(1,('Cadastro Talhão'!B:B='BDT''s'!G10)*('Cadastro Talhão'!C:C='BDT''s'!H10),0)),"-")</f>
        <v>1.9</v>
      </c>
      <c r="E10" s="15" cm="1">
        <f t="array" ref="E10">IFERROR(INDEX('Cadastro Talhão'!F:F,MATCH(1,('Cadastro Talhão'!B:B='BDT''s'!G10)*('Cadastro Talhão'!C:C='BDT''s'!H10),0)),"-")</f>
        <v>0.15</v>
      </c>
      <c r="F10" s="12" t="str">
        <f>IFERROR(VLOOKUP(E10,VMI!A:B,2,FALSE),"-")</f>
        <v>0,11 a 0,15</v>
      </c>
      <c r="G10" s="3" t="s">
        <v>145</v>
      </c>
      <c r="H10" s="3">
        <v>15</v>
      </c>
      <c r="I10" s="4">
        <v>46023</v>
      </c>
      <c r="J10" s="3" t="s">
        <v>138</v>
      </c>
      <c r="K10" s="12" t="str">
        <f>IFERROR(VLOOKUP(J10,Cadastros!A:B,2,FALSE),"-")</f>
        <v>GARRA TRAÇADORA 1</v>
      </c>
      <c r="L10" s="12" t="str">
        <f>IFERROR(VLOOKUP(K10,Cadastros!B:D,3,FALSE),"-")</f>
        <v>TRAÇAMENTO</v>
      </c>
      <c r="M10" s="18" cm="1">
        <f t="array" ref="M10">IFERROR(INDEX(VMI!$A:$AAL,MATCH(1,(VMI!$A:$A=E10)*(VMI!$B:$B=F10),0),MATCH(L10,VMI!$1:$1,0)+1)*(AVERAGEIFS('Metas Produção'!I:I,'Metas Produção'!B:B,'BDT''s'!L10)),"-")</f>
        <v>64.881272401433691</v>
      </c>
      <c r="N10" s="3" t="s">
        <v>161</v>
      </c>
      <c r="O10" s="3" t="s">
        <v>157</v>
      </c>
      <c r="P10" s="12">
        <f>IFERROR(COUNTIFS(O:O,O10,N:N,N10,I:I,I10,J:J,J10,C:C,C10),"-")</f>
        <v>1</v>
      </c>
      <c r="Q10" s="40">
        <v>500</v>
      </c>
      <c r="R10" s="19">
        <v>512</v>
      </c>
      <c r="S10" s="15">
        <f t="shared" si="2"/>
        <v>12</v>
      </c>
      <c r="T10" s="15" cm="1">
        <f t="array" ref="T10">IFERROR(U10/INDEX('Cadastro Talhão'!F:F,MATCH(1,('Cadastro Talhão'!B:B='BDT''s'!G10)*('Cadastro Talhão'!C:C='BDT''s'!H10)*('Cadastro Talhão'!A:A='BDT''s'!C10),0)),"-")</f>
        <v>2866.666666666667</v>
      </c>
      <c r="U10" s="44">
        <v>430</v>
      </c>
      <c r="V10" s="33">
        <f>IF(U10="-",0,IFERROR(IF(AJ10="FINALIZADO",AI10/SUMIFS(AG:AG,G:G,G10,H:H,H10,L:L,L10,A:A,A10,B:B,B10)*AG10,U10),U10))</f>
        <v>430</v>
      </c>
      <c r="W10" s="18">
        <f t="shared" si="3"/>
        <v>35.833333333333336</v>
      </c>
      <c r="X10" s="15" cm="1">
        <f t="array" ref="X10">IFERROR(U10/INDEX('Cadastro Talhão'!G:G,MATCH(1,('Cadastro Talhão'!B:B=G10)*('Cadastro Talhão'!C:C=H10),0))*INDEX('Cadastro Talhão'!D:D,MATCH(1,('Cadastro Talhão'!B:B=G10)*('Cadastro Talhão'!C:C=H10),0)),"-")</f>
        <v>0.51600000000000001</v>
      </c>
      <c r="Y10" s="34" cm="1">
        <f t="array" ref="Y10">IFERROR(V10/INDEX('Cadastro Talhão'!G:G,MATCH(1,('Cadastro Talhão'!B:B=G10)*('Cadastro Talhão'!C:C=H10),0))*INDEX('Cadastro Talhão'!D:D,MATCH(1,('Cadastro Talhão'!B:B=G10)*('Cadastro Talhão'!C:C=H10),0)),"-")</f>
        <v>0.51600000000000001</v>
      </c>
      <c r="Z10" s="18" cm="1">
        <f t="array" ref="Z10">IFERROR(INDEX('Metas Produção'!$A:$ZZ,MATCH(K10, 'Metas Produção'!$A:$A, 0),MATCH(F10, 'Metas Produção'!$1:$1, 0)+1)*12,"-")</f>
        <v>809.16666666666674</v>
      </c>
      <c r="AA10" s="18">
        <f t="shared" si="4"/>
        <v>67.430555555555557</v>
      </c>
      <c r="AB10" s="18" cm="1">
        <f t="array" ref="AB10">IFERROR(INDEX('Metas Produção'!$A:$ZZ,MATCH(K10, 'Metas Produção'!$A:$A, 0),MATCH(F10, 'Metas Produção'!$1:$1, 0)+2)*12,"-")</f>
        <v>897.94380952380936</v>
      </c>
      <c r="AC10" s="18">
        <f t="shared" si="5"/>
        <v>74.82865079365078</v>
      </c>
      <c r="AD10" s="18" cm="1">
        <f t="array" ref="AD10">IFERROR(INDEX('Metas Produção'!$A:$ZZ,MATCH(K10, 'Metas Produção'!$A:$A, 0),MATCH(F10, 'Metas Produção'!$1:$1, 0)+3)*12,"-")</f>
        <v>900</v>
      </c>
      <c r="AE10" s="18">
        <f t="shared" si="6"/>
        <v>75</v>
      </c>
      <c r="AF10" s="12" t="str">
        <f t="shared" si="7"/>
        <v>BAIXO</v>
      </c>
      <c r="AG10" s="34">
        <f>IFERROR(U10/SUMIFS(U:U,G:G,G10,H:H,H10,L:L,L10,A:A,A10,B:B,B10),0)</f>
        <v>0.21287128712871287</v>
      </c>
      <c r="AH10" s="29" cm="1">
        <f t="array" ref="AH10">IFERROR(V10/INDEX('Cadastro Talhão'!G:G,MATCH(1,('Cadastro Talhão'!B:B=G10)*('Cadastro Talhão'!C:C=H10),0)),"-")</f>
        <v>4.2999999999999997E-2</v>
      </c>
      <c r="AI10" s="31" cm="1">
        <f t="array" ref="AI10">IFERROR(IF(AJ10="EM ANDAMENTO",U10,IF(AJ10="FINALIZADO",INDEX('Cadastro Talhão'!G:G,MATCH(1,('Cadastro Talhão'!B:B=G10)*('Cadastro Talhão'!C:C=H10),0)),"-")),"-")</f>
        <v>430</v>
      </c>
      <c r="AJ10" s="12" t="str" cm="1">
        <f t="array" ref="AJ10">IFERROR(INDEX(Estoque!$A:$Z,MATCH(1,(Estoque!$E:$E='BDT''s'!G10)*(Estoque!$F:$F='BDT''s'!H10)*(Estoque!$B:$B='BDT''s'!B10),0),MATCH('BDT''s'!L10,Estoque!$1:$1,0)+4),"-")</f>
        <v>EM ANDAMENTO</v>
      </c>
    </row>
    <row r="11" spans="1:36" x14ac:dyDescent="0.3">
      <c r="A11" s="12">
        <f t="shared" si="0"/>
        <v>2026</v>
      </c>
      <c r="B11" s="13">
        <f t="shared" si="1"/>
        <v>46023</v>
      </c>
      <c r="C11" s="12" t="str" cm="1">
        <f t="array" ref="C11">IFERROR(IF(INDEX('Cadastro Talhão'!A:A,MATCH(1,('Cadastro Talhão'!B:B='BDT''s'!G11)*('Cadastro Talhão'!C:C='BDT''s'!H11),0))=0,"-",INDEX('Cadastro Talhão'!A:A,MATCH(1,('Cadastro Talhão'!B:B='BDT''s'!G11)*('Cadastro Talhão'!C:C='BDT''s'!H11),0))),"-")</f>
        <v>CONTRATO 1</v>
      </c>
      <c r="D11" s="15" cm="1">
        <f t="array" ref="D11">IFERROR(INDEX('Cadastro Talhão'!H:H,MATCH(1,('Cadastro Talhão'!B:B='BDT''s'!G11)*('Cadastro Talhão'!C:C='BDT''s'!H11),0)),"-")</f>
        <v>1.9</v>
      </c>
      <c r="E11" s="15" cm="1">
        <f t="array" ref="E11">IFERROR(INDEX('Cadastro Talhão'!F:F,MATCH(1,('Cadastro Talhão'!B:B='BDT''s'!G11)*('Cadastro Talhão'!C:C='BDT''s'!H11),0)),"-")</f>
        <v>0.15</v>
      </c>
      <c r="F11" s="12" t="str">
        <f>IFERROR(VLOOKUP(E11,VMI!A:B,2,FALSE),"-")</f>
        <v>0,11 a 0,15</v>
      </c>
      <c r="G11" s="3" t="s">
        <v>145</v>
      </c>
      <c r="H11" s="3">
        <v>15</v>
      </c>
      <c r="I11" s="4">
        <v>46023</v>
      </c>
      <c r="J11" s="3" t="s">
        <v>138</v>
      </c>
      <c r="K11" s="12" t="str">
        <f>IFERROR(VLOOKUP(J11,Cadastros!A:B,2,FALSE),"-")</f>
        <v>GARRA TRAÇADORA 1</v>
      </c>
      <c r="L11" s="12" t="str">
        <f>IFERROR(VLOOKUP(K11,Cadastros!B:D,3,FALSE),"-")</f>
        <v>TRAÇAMENTO</v>
      </c>
      <c r="M11" s="18" cm="1">
        <f t="array" ref="M11">IFERROR(INDEX(VMI!$A:$AAL,MATCH(1,(VMI!$A:$A=E11)*(VMI!$B:$B=F11),0),MATCH(L11,VMI!$1:$1,0)+1)*(AVERAGEIFS('Metas Produção'!I:I,'Metas Produção'!B:B,'BDT''s'!L11)),"-")</f>
        <v>64.881272401433691</v>
      </c>
      <c r="N11" s="3" t="s">
        <v>162</v>
      </c>
      <c r="O11" s="3" t="s">
        <v>158</v>
      </c>
      <c r="P11" s="12">
        <f>IFERROR(COUNTIFS(O:O,O11,N:N,N11,I:I,I11,J:J,J11,C:C,C11),"-")</f>
        <v>1</v>
      </c>
      <c r="Q11" s="15">
        <f>IFERROR(_xlfn.MAXIFS($R$1:R10,$K$1:K10,K11),"-")</f>
        <v>512</v>
      </c>
      <c r="R11" s="19">
        <v>520</v>
      </c>
      <c r="S11" s="15">
        <f t="shared" si="2"/>
        <v>8</v>
      </c>
      <c r="T11" s="15" cm="1">
        <f t="array" ref="T11">IFERROR(U11/INDEX('Cadastro Talhão'!F:F,MATCH(1,('Cadastro Talhão'!B:B='BDT''s'!G11)*('Cadastro Talhão'!C:C='BDT''s'!H11)*('Cadastro Talhão'!A:A='BDT''s'!C11),0)),"-")</f>
        <v>4000</v>
      </c>
      <c r="U11" s="44">
        <v>600</v>
      </c>
      <c r="V11" s="33">
        <f>IF(U11="-",0,IFERROR(IF(AJ11="FINALIZADO",AI11/SUMIFS(AG:AG,G:G,G11,H:H,H11,L:L,L11,A:A,A11,B:B,B11)*AG11,U11),U11))</f>
        <v>600</v>
      </c>
      <c r="W11" s="18">
        <f t="shared" si="3"/>
        <v>75</v>
      </c>
      <c r="X11" s="15" cm="1">
        <f t="array" ref="X11">IFERROR(U11/INDEX('Cadastro Talhão'!G:G,MATCH(1,('Cadastro Talhão'!B:B=G11)*('Cadastro Talhão'!C:C=H11),0))*INDEX('Cadastro Talhão'!D:D,MATCH(1,('Cadastro Talhão'!B:B=G11)*('Cadastro Talhão'!C:C=H11),0)),"-")</f>
        <v>0.72</v>
      </c>
      <c r="Y11" s="34" cm="1">
        <f t="array" ref="Y11">IFERROR(V11/INDEX('Cadastro Talhão'!G:G,MATCH(1,('Cadastro Talhão'!B:B=G11)*('Cadastro Talhão'!C:C=H11),0))*INDEX('Cadastro Talhão'!D:D,MATCH(1,('Cadastro Talhão'!B:B=G11)*('Cadastro Talhão'!C:C=H11),0)),"-")</f>
        <v>0.72</v>
      </c>
      <c r="Z11" s="18" cm="1">
        <f t="array" ref="Z11">IFERROR(INDEX('Metas Produção'!$A:$ZZ,MATCH(K11, 'Metas Produção'!$A:$A, 0),MATCH(F11, 'Metas Produção'!$1:$1, 0)+1)*12,"-")</f>
        <v>809.16666666666674</v>
      </c>
      <c r="AA11" s="18">
        <f t="shared" si="4"/>
        <v>67.430555555555557</v>
      </c>
      <c r="AB11" s="18" cm="1">
        <f t="array" ref="AB11">IFERROR(INDEX('Metas Produção'!$A:$ZZ,MATCH(K11, 'Metas Produção'!$A:$A, 0),MATCH(F11, 'Metas Produção'!$1:$1, 0)+2)*12,"-")</f>
        <v>897.94380952380936</v>
      </c>
      <c r="AC11" s="18">
        <f t="shared" si="5"/>
        <v>74.82865079365078</v>
      </c>
      <c r="AD11" s="18" cm="1">
        <f t="array" ref="AD11">IFERROR(INDEX('Metas Produção'!$A:$ZZ,MATCH(K11, 'Metas Produção'!$A:$A, 0),MATCH(F11, 'Metas Produção'!$1:$1, 0)+3)*12,"-")</f>
        <v>900</v>
      </c>
      <c r="AE11" s="18">
        <f t="shared" si="6"/>
        <v>75</v>
      </c>
      <c r="AF11" s="12" t="str">
        <f t="shared" si="7"/>
        <v>ALTO</v>
      </c>
      <c r="AG11" s="34">
        <f>IFERROR(U11/SUMIFS(U:U,G:G,G11,H:H,H11,L:L,L11,A:A,A11,B:B,B11),0)</f>
        <v>0.29702970297029702</v>
      </c>
      <c r="AH11" s="29" cm="1">
        <f t="array" ref="AH11">IFERROR(V11/INDEX('Cadastro Talhão'!G:G,MATCH(1,('Cadastro Talhão'!B:B=G11)*('Cadastro Talhão'!C:C=H11),0)),"-")</f>
        <v>0.06</v>
      </c>
      <c r="AI11" s="31" cm="1">
        <f t="array" ref="AI11">IFERROR(IF(AJ11="EM ANDAMENTO",U11,IF(AJ11="FINALIZADO",INDEX('Cadastro Talhão'!G:G,MATCH(1,('Cadastro Talhão'!B:B=G11)*('Cadastro Talhão'!C:C=H11),0)),"-")),"-")</f>
        <v>600</v>
      </c>
      <c r="AJ11" s="12" t="str" cm="1">
        <f t="array" ref="AJ11">IFERROR(INDEX(Estoque!$A:$Z,MATCH(1,(Estoque!$E:$E='BDT''s'!G11)*(Estoque!$F:$F='BDT''s'!H11)*(Estoque!$B:$B='BDT''s'!B11),0),MATCH('BDT''s'!L11,Estoque!$1:$1,0)+4),"-")</f>
        <v>EM ANDAMENTO</v>
      </c>
    </row>
    <row r="12" spans="1:36" x14ac:dyDescent="0.3">
      <c r="A12" s="12">
        <f t="shared" ref="A12" si="8">IFERROR(YEAR(I12),"-")</f>
        <v>2026</v>
      </c>
      <c r="B12" s="13">
        <f t="shared" ref="B12" si="9">IFERROR(DATE(YEAR(I12),MONTH(I12),MONTH(I12)),"-")</f>
        <v>46023</v>
      </c>
      <c r="C12" s="12" t="str" cm="1">
        <f t="array" ref="C12">IFERROR(IF(INDEX('Cadastro Talhão'!A:A,MATCH(1,('Cadastro Talhão'!B:B='BDT''s'!G12)*('Cadastro Talhão'!C:C='BDT''s'!H12),0))=0,"-",INDEX('Cadastro Talhão'!A:A,MATCH(1,('Cadastro Talhão'!B:B='BDT''s'!G12)*('Cadastro Talhão'!C:C='BDT''s'!H12),0))),"-")</f>
        <v>CONTRATO 1</v>
      </c>
      <c r="D12" s="15" cm="1">
        <f t="array" ref="D12">IFERROR(INDEX('Cadastro Talhão'!H:H,MATCH(1,('Cadastro Talhão'!B:B='BDT''s'!G12)*('Cadastro Talhão'!C:C='BDT''s'!H12),0)),"-")</f>
        <v>1.9</v>
      </c>
      <c r="E12" s="15" cm="1">
        <f t="array" ref="E12">IFERROR(INDEX('Cadastro Talhão'!F:F,MATCH(1,('Cadastro Talhão'!B:B='BDT''s'!G12)*('Cadastro Talhão'!C:C='BDT''s'!H12),0)),"-")</f>
        <v>0.16</v>
      </c>
      <c r="F12" s="12" t="str">
        <f>IFERROR(VLOOKUP(E12,VMI!A:B,2,FALSE),"-")</f>
        <v>0,16 a 0,20</v>
      </c>
      <c r="G12" s="3" t="s">
        <v>145</v>
      </c>
      <c r="H12" s="3">
        <v>25</v>
      </c>
      <c r="I12" s="4">
        <v>46023</v>
      </c>
      <c r="J12" s="3" t="s">
        <v>139</v>
      </c>
      <c r="K12" s="12" t="str">
        <f>IFERROR(VLOOKUP(J12,Cadastros!A:B,2,FALSE),"-")</f>
        <v>GARRA TRAÇADORA 2</v>
      </c>
      <c r="L12" s="12" t="str">
        <f>IFERROR(VLOOKUP(K12,Cadastros!B:D,3,FALSE),"-")</f>
        <v>TRAÇAMENTO</v>
      </c>
      <c r="M12" s="18" cm="1">
        <f t="array" ref="M12">IFERROR(INDEX(VMI!$A:$AAL,MATCH(1,(VMI!$A:$A=E12)*(VMI!$B:$B=F12),0),MATCH(L12,VMI!$1:$1,0)+1)*(AVERAGEIFS('Metas Produção'!I:I,'Metas Produção'!B:B,'BDT''s'!L12)),"-")</f>
        <v>82.751428571428562</v>
      </c>
      <c r="N12" s="3" t="s">
        <v>163</v>
      </c>
      <c r="O12" s="3" t="s">
        <v>157</v>
      </c>
      <c r="P12" s="12">
        <f>IFERROR(COUNTIFS(O:O,O12,N:N,N12,I:I,I12,J:J,J12,C:C,C12),"-")</f>
        <v>1</v>
      </c>
      <c r="Q12" s="40">
        <v>700</v>
      </c>
      <c r="R12" s="19">
        <v>705</v>
      </c>
      <c r="S12" s="15">
        <f t="shared" ref="S12" si="10">IFERROR(IF(R12="-",0,IF(R12-Q12&lt;0,"-",R12-Q12)),"-")</f>
        <v>5</v>
      </c>
      <c r="T12" s="15" cm="1">
        <f t="array" ref="T12">IFERROR(U12/INDEX('Cadastro Talhão'!F:F,MATCH(1,('Cadastro Talhão'!B:B='BDT''s'!G12)*('Cadastro Talhão'!C:C='BDT''s'!H12)*('Cadastro Talhão'!A:A='BDT''s'!C12),0)),"-")</f>
        <v>2187.5</v>
      </c>
      <c r="U12" s="44">
        <v>350</v>
      </c>
      <c r="V12" s="33">
        <f>IF(U12="-",0,IFERROR(IF(AJ12="FINALIZADO",AI12/SUMIFS(AG:AG,G:G,G12,H:H,H12,L:L,L12,A:A,A12,B:B,B12)*AG12,U12),U12))</f>
        <v>350</v>
      </c>
      <c r="W12" s="18">
        <f t="shared" ref="W12" si="11">IFERROR(U12/S12,"-")</f>
        <v>70</v>
      </c>
      <c r="X12" s="15" cm="1">
        <f t="array" ref="X12">IFERROR(U12/INDEX('Cadastro Talhão'!G:G,MATCH(1,('Cadastro Talhão'!B:B=G12)*('Cadastro Talhão'!C:C=H12),0))*INDEX('Cadastro Talhão'!D:D,MATCH(1,('Cadastro Talhão'!B:B=G12)*('Cadastro Talhão'!C:C=H12),0)),"-")</f>
        <v>0.26923076923076927</v>
      </c>
      <c r="Y12" s="34" cm="1">
        <f t="array" ref="Y12">IFERROR(V12/INDEX('Cadastro Talhão'!G:G,MATCH(1,('Cadastro Talhão'!B:B=G12)*('Cadastro Talhão'!C:C=H12),0))*INDEX('Cadastro Talhão'!D:D,MATCH(1,('Cadastro Talhão'!B:B=G12)*('Cadastro Talhão'!C:C=H12),0)),"-")</f>
        <v>0.26923076923076927</v>
      </c>
      <c r="Z12" s="18" cm="1">
        <f t="array" ref="Z12">IFERROR(INDEX('Metas Produção'!$A:$ZZ,MATCH(K12, 'Metas Produção'!$A:$A, 0),MATCH(F12, 'Metas Produção'!$1:$1, 0)+1)*12,"-")</f>
        <v>954</v>
      </c>
      <c r="AA12" s="18">
        <f t="shared" ref="AA12" si="12">IFERROR(Z12/12,"-")</f>
        <v>79.5</v>
      </c>
      <c r="AB12" s="18" cm="1">
        <f t="array" ref="AB12">IFERROR(INDEX('Metas Produção'!$A:$ZZ,MATCH(K12, 'Metas Produção'!$A:$A, 0),MATCH(F12, 'Metas Produção'!$1:$1, 0)+2)*12,"-")</f>
        <v>978.6193548387098</v>
      </c>
      <c r="AC12" s="18">
        <f t="shared" ref="AC12" si="13">IFERROR(AB12/12,"-")</f>
        <v>81.551612903225816</v>
      </c>
      <c r="AD12" s="18" cm="1">
        <f t="array" ref="AD12">IFERROR(INDEX('Metas Produção'!$A:$ZZ,MATCH(K12, 'Metas Produção'!$A:$A, 0),MATCH(F12, 'Metas Produção'!$1:$1, 0)+3)*12,"-")</f>
        <v>1152</v>
      </c>
      <c r="AE12" s="18">
        <f t="shared" ref="AE12" si="14">IFERROR(AD12/12,"-")</f>
        <v>96</v>
      </c>
      <c r="AF12" s="12" t="str">
        <f t="shared" ref="AF12" si="15">IFERROR(IF(W12="-","-",IF(W12&lt;AA12,"BAIXO",IF(AND(W12&gt;=AA12,W12&lt;AC12),"MEDIO",IF(AND(W12&gt;=AC12,W12&lt;=AE12),"ALTO","-")))),"-")</f>
        <v>BAIXO</v>
      </c>
      <c r="AG12" s="34">
        <f>IFERROR(U12/SUMIFS(U:U,G:G,G12,H:H,H12,L:L,L12,A:A,A12,B:B,B12),0)</f>
        <v>0.17948717948717949</v>
      </c>
      <c r="AH12" s="29" cm="1">
        <f t="array" ref="AH12">IFERROR(V12/INDEX('Cadastro Talhão'!G:G,MATCH(1,('Cadastro Talhão'!B:B=G12)*('Cadastro Talhão'!C:C=H12),0)),"-")</f>
        <v>2.6923076923076925E-2</v>
      </c>
      <c r="AI12" s="31" cm="1">
        <f t="array" ref="AI12">IFERROR(IF(AJ12="EM ANDAMENTO",U12,IF(AJ12="FINALIZADO",INDEX('Cadastro Talhão'!G:G,MATCH(1,('Cadastro Talhão'!B:B=G12)*('Cadastro Talhão'!C:C=H12),0)),"-")),"-")</f>
        <v>350</v>
      </c>
      <c r="AJ12" s="12" t="str" cm="1">
        <f t="array" ref="AJ12">IFERROR(INDEX(Estoque!$A:$Z,MATCH(1,(Estoque!$E:$E='BDT''s'!G12)*(Estoque!$F:$F='BDT''s'!H12)*(Estoque!$B:$B='BDT''s'!B12),0),MATCH('BDT''s'!L12,Estoque!$1:$1,0)+4),"-")</f>
        <v>EM ANDAMENTO</v>
      </c>
    </row>
    <row r="13" spans="1:36" x14ac:dyDescent="0.3">
      <c r="A13" s="12">
        <f t="shared" si="0"/>
        <v>2026</v>
      </c>
      <c r="B13" s="13">
        <f t="shared" si="1"/>
        <v>46023</v>
      </c>
      <c r="C13" s="12" t="str" cm="1">
        <f t="array" ref="C13">IFERROR(IF(INDEX('Cadastro Talhão'!A:A,MATCH(1,('Cadastro Talhão'!B:B='BDT''s'!G13)*('Cadastro Talhão'!C:C='BDT''s'!H13),0))=0,"-",INDEX('Cadastro Talhão'!A:A,MATCH(1,('Cadastro Talhão'!B:B='BDT''s'!G13)*('Cadastro Talhão'!C:C='BDT''s'!H13),0))),"-")</f>
        <v>CONTRATO 1</v>
      </c>
      <c r="D13" s="15" cm="1">
        <f t="array" ref="D13">IFERROR(INDEX('Cadastro Talhão'!H:H,MATCH(1,('Cadastro Talhão'!B:B='BDT''s'!G13)*('Cadastro Talhão'!C:C='BDT''s'!H13),0)),"-")</f>
        <v>1.9</v>
      </c>
      <c r="E13" s="15" cm="1">
        <f t="array" ref="E13">IFERROR(INDEX('Cadastro Talhão'!F:F,MATCH(1,('Cadastro Talhão'!B:B='BDT''s'!G13)*('Cadastro Talhão'!C:C='BDT''s'!H13),0)),"-")</f>
        <v>0.16</v>
      </c>
      <c r="F13" s="12" t="str">
        <f>IFERROR(VLOOKUP(E13,VMI!A:B,2,FALSE),"-")</f>
        <v>0,16 a 0,20</v>
      </c>
      <c r="G13" s="3" t="s">
        <v>145</v>
      </c>
      <c r="H13" s="3">
        <v>25</v>
      </c>
      <c r="I13" s="4">
        <v>46023</v>
      </c>
      <c r="J13" s="3" t="s">
        <v>139</v>
      </c>
      <c r="K13" s="12" t="str">
        <f>IFERROR(VLOOKUP(J13,Cadastros!A:B,2,FALSE),"-")</f>
        <v>GARRA TRAÇADORA 2</v>
      </c>
      <c r="L13" s="12" t="str">
        <f>IFERROR(VLOOKUP(K13,Cadastros!B:D,3,FALSE),"-")</f>
        <v>TRAÇAMENTO</v>
      </c>
      <c r="M13" s="18" cm="1">
        <f t="array" ref="M13">IFERROR(INDEX(VMI!$A:$AAL,MATCH(1,(VMI!$A:$A=E13)*(VMI!$B:$B=F13),0),MATCH(L13,VMI!$1:$1,0)+1)*(AVERAGEIFS('Metas Produção'!I:I,'Metas Produção'!B:B,'BDT''s'!L13)),"-")</f>
        <v>82.751428571428562</v>
      </c>
      <c r="N13" s="3" t="s">
        <v>164</v>
      </c>
      <c r="O13" s="3" t="s">
        <v>158</v>
      </c>
      <c r="P13" s="12">
        <f>IFERROR(COUNTIFS(O:O,O13,N:N,N13,I:I,I13,J:J,J13,C:C,C13),"-")</f>
        <v>1</v>
      </c>
      <c r="Q13" s="15">
        <f>IFERROR(_xlfn.MAXIFS($R$1:R12,$K$1:K12,K13),"-")</f>
        <v>705</v>
      </c>
      <c r="R13" s="19">
        <v>715</v>
      </c>
      <c r="S13" s="15">
        <f t="shared" si="2"/>
        <v>10</v>
      </c>
      <c r="T13" s="15" cm="1">
        <f t="array" ref="T13">IFERROR(U13/INDEX('Cadastro Talhão'!F:F,MATCH(1,('Cadastro Talhão'!B:B='BDT''s'!G13)*('Cadastro Talhão'!C:C='BDT''s'!H13)*('Cadastro Talhão'!A:A='BDT''s'!C13),0)),"-")</f>
        <v>5000</v>
      </c>
      <c r="U13" s="44">
        <v>800</v>
      </c>
      <c r="V13" s="33">
        <f>IF(U13="-",0,IFERROR(IF(AJ13="FINALIZADO",AI13/SUMIFS(AG:AG,G:G,G13,H:H,H13,L:L,L13,A:A,A13,B:B,B13)*AG13,U13),U13))</f>
        <v>800</v>
      </c>
      <c r="W13" s="18">
        <f t="shared" si="3"/>
        <v>80</v>
      </c>
      <c r="X13" s="15" cm="1">
        <f t="array" ref="X13">IFERROR(U13/INDEX('Cadastro Talhão'!G:G,MATCH(1,('Cadastro Talhão'!B:B=G13)*('Cadastro Talhão'!C:C=H13),0))*INDEX('Cadastro Talhão'!D:D,MATCH(1,('Cadastro Talhão'!B:B=G13)*('Cadastro Talhão'!C:C=H13),0)),"-")</f>
        <v>0.61538461538461542</v>
      </c>
      <c r="Y13" s="34" cm="1">
        <f t="array" ref="Y13">IFERROR(V13/INDEX('Cadastro Talhão'!G:G,MATCH(1,('Cadastro Talhão'!B:B=G13)*('Cadastro Talhão'!C:C=H13),0))*INDEX('Cadastro Talhão'!D:D,MATCH(1,('Cadastro Talhão'!B:B=G13)*('Cadastro Talhão'!C:C=H13),0)),"-")</f>
        <v>0.61538461538461542</v>
      </c>
      <c r="Z13" s="18" cm="1">
        <f t="array" ref="Z13">IFERROR(INDEX('Metas Produção'!$A:$ZZ,MATCH(K13, 'Metas Produção'!$A:$A, 0),MATCH(F13, 'Metas Produção'!$1:$1, 0)+1)*12,"-")</f>
        <v>954</v>
      </c>
      <c r="AA13" s="18">
        <f t="shared" si="4"/>
        <v>79.5</v>
      </c>
      <c r="AB13" s="18" cm="1">
        <f t="array" ref="AB13">IFERROR(INDEX('Metas Produção'!$A:$ZZ,MATCH(K13, 'Metas Produção'!$A:$A, 0),MATCH(F13, 'Metas Produção'!$1:$1, 0)+2)*12,"-")</f>
        <v>978.6193548387098</v>
      </c>
      <c r="AC13" s="18">
        <f t="shared" si="5"/>
        <v>81.551612903225816</v>
      </c>
      <c r="AD13" s="18" cm="1">
        <f t="array" ref="AD13">IFERROR(INDEX('Metas Produção'!$A:$ZZ,MATCH(K13, 'Metas Produção'!$A:$A, 0),MATCH(F13, 'Metas Produção'!$1:$1, 0)+3)*12,"-")</f>
        <v>1152</v>
      </c>
      <c r="AE13" s="18">
        <f t="shared" si="6"/>
        <v>96</v>
      </c>
      <c r="AF13" s="12" t="str">
        <f t="shared" si="7"/>
        <v>MEDIO</v>
      </c>
      <c r="AG13" s="34">
        <f>IFERROR(U13/SUMIFS(U:U,G:G,G13,H:H,H13,L:L,L13,A:A,A13,B:B,B13),0)</f>
        <v>0.41025641025641024</v>
      </c>
      <c r="AH13" s="29" cm="1">
        <f t="array" ref="AH13">IFERROR(V13/INDEX('Cadastro Talhão'!G:G,MATCH(1,('Cadastro Talhão'!B:B=G13)*('Cadastro Talhão'!C:C=H13),0)),"-")</f>
        <v>6.1538461538461542E-2</v>
      </c>
      <c r="AI13" s="31" cm="1">
        <f t="array" ref="AI13">IFERROR(IF(AJ13="EM ANDAMENTO",U13,IF(AJ13="FINALIZADO",INDEX('Cadastro Talhão'!G:G,MATCH(1,('Cadastro Talhão'!B:B=G13)*('Cadastro Talhão'!C:C=H13),0)),"-")),"-")</f>
        <v>800</v>
      </c>
      <c r="AJ13" s="12" t="str" cm="1">
        <f t="array" ref="AJ13">IFERROR(INDEX(Estoque!$A:$Z,MATCH(1,(Estoque!$E:$E='BDT''s'!G13)*(Estoque!$F:$F='BDT''s'!H13)*(Estoque!$B:$B='BDT''s'!B13),0),MATCH('BDT''s'!L13,Estoque!$1:$1,0)+4),"-")</f>
        <v>EM ANDAMENTO</v>
      </c>
    </row>
    <row r="14" spans="1:36" x14ac:dyDescent="0.3">
      <c r="A14" s="12">
        <f t="shared" si="0"/>
        <v>2026</v>
      </c>
      <c r="B14" s="13">
        <f t="shared" si="1"/>
        <v>46023</v>
      </c>
      <c r="C14" s="12" t="str" cm="1">
        <f t="array" ref="C14">IFERROR(IF(INDEX('Cadastro Talhão'!A:A,MATCH(1,('Cadastro Talhão'!B:B='BDT''s'!G14)*('Cadastro Talhão'!C:C='BDT''s'!H14),0))=0,"-",INDEX('Cadastro Talhão'!A:A,MATCH(1,('Cadastro Talhão'!B:B='BDT''s'!G14)*('Cadastro Talhão'!C:C='BDT''s'!H14),0))),"-")</f>
        <v>CONTRATO 1</v>
      </c>
      <c r="D14" s="15" cm="1">
        <f t="array" ref="D14">IFERROR(INDEX('Cadastro Talhão'!H:H,MATCH(1,('Cadastro Talhão'!B:B='BDT''s'!G14)*('Cadastro Talhão'!C:C='BDT''s'!H14),0)),"-")</f>
        <v>1.9</v>
      </c>
      <c r="E14" s="15" cm="1">
        <f t="array" ref="E14">IFERROR(INDEX('Cadastro Talhão'!F:F,MATCH(1,('Cadastro Talhão'!B:B='BDT''s'!G14)*('Cadastro Talhão'!C:C='BDT''s'!H14),0)),"-")</f>
        <v>0.15</v>
      </c>
      <c r="F14" s="12" t="str">
        <f>IFERROR(VLOOKUP(E14,VMI!A:B,2,FALSE),"-")</f>
        <v>0,11 a 0,15</v>
      </c>
      <c r="G14" s="3" t="s">
        <v>145</v>
      </c>
      <c r="H14" s="3">
        <v>15</v>
      </c>
      <c r="I14" s="4">
        <v>46024</v>
      </c>
      <c r="J14" s="3" t="s">
        <v>136</v>
      </c>
      <c r="K14" s="12" t="str">
        <f>IFERROR(VLOOKUP(J14,Cadastros!A:B,2,FALSE),"-")</f>
        <v>FELLER BUNCHER 1</v>
      </c>
      <c r="L14" s="12" t="str">
        <f>IFERROR(VLOOKUP(K14,Cadastros!B:D,3,FALSE),"-")</f>
        <v>CORTE</v>
      </c>
      <c r="M14" s="18" cm="1">
        <f t="array" ref="M14">IFERROR(INDEX(VMI!$A:$AAL,MATCH(1,(VMI!$A:$A=E14)*(VMI!$B:$B=F14),0),MATCH(L14,VMI!$1:$1,0)+1)*(AVERAGEIFS('Metas Produção'!I:I,'Metas Produção'!B:B,'BDT''s'!L14)),"-")</f>
        <v>86.557111168364187</v>
      </c>
      <c r="N14" s="3" t="s">
        <v>151</v>
      </c>
      <c r="O14" s="3" t="s">
        <v>157</v>
      </c>
      <c r="P14" s="12">
        <f>IFERROR(COUNTIFS(O:O,O14,N:N,N14,I:I,I14,J:J,J14,C:C,C14),"-")</f>
        <v>1</v>
      </c>
      <c r="Q14" s="15">
        <f>IFERROR(_xlfn.MAXIFS($R$1:R13,$K$1:K13,K14),"-")</f>
        <v>1022</v>
      </c>
      <c r="R14" s="19">
        <v>1026</v>
      </c>
      <c r="S14" s="15">
        <f t="shared" si="2"/>
        <v>4</v>
      </c>
      <c r="T14" s="15" cm="1">
        <f t="array" ref="T14">IFERROR(U14/INDEX('Cadastro Talhão'!F:F,MATCH(1,('Cadastro Talhão'!B:B='BDT''s'!G14)*('Cadastro Talhão'!C:C='BDT''s'!H14)*('Cadastro Talhão'!A:A='BDT''s'!C14),0)),"-")</f>
        <v>2666.666666666667</v>
      </c>
      <c r="U14" s="44">
        <v>400</v>
      </c>
      <c r="V14" s="33">
        <f>IF(U14="-",0,IFERROR(IF(AJ14="FINALIZADO",AI14/SUMIFS(AG:AG,G:G,G14,H:H,H14,L:L,L14,A:A,A14,B:B,B14)*AG14,U14),U14))</f>
        <v>400</v>
      </c>
      <c r="W14" s="18">
        <f t="shared" si="3"/>
        <v>100</v>
      </c>
      <c r="X14" s="15" cm="1">
        <f t="array" ref="X14">IFERROR(U14/INDEX('Cadastro Talhão'!G:G,MATCH(1,('Cadastro Talhão'!B:B=G14)*('Cadastro Talhão'!C:C=H14),0))*INDEX('Cadastro Talhão'!D:D,MATCH(1,('Cadastro Talhão'!B:B=G14)*('Cadastro Talhão'!C:C=H14),0)),"-")</f>
        <v>0.48</v>
      </c>
      <c r="Y14" s="34" cm="1">
        <f t="array" ref="Y14">IFERROR(V14/INDEX('Cadastro Talhão'!G:G,MATCH(1,('Cadastro Talhão'!B:B=G14)*('Cadastro Talhão'!C:C=H14),0))*INDEX('Cadastro Talhão'!D:D,MATCH(1,('Cadastro Talhão'!B:B=G14)*('Cadastro Talhão'!C:C=H14),0)),"-")</f>
        <v>0.48</v>
      </c>
      <c r="Z14" s="18" cm="1">
        <f t="array" ref="Z14">IFERROR(INDEX('Metas Produção'!$A:$ZZ,MATCH(K14, 'Metas Produção'!$A:$A, 0),MATCH(F14, 'Metas Produção'!$1:$1, 0)+1)*12,"-")</f>
        <v>1056.4112011790689</v>
      </c>
      <c r="AA14" s="18">
        <f t="shared" si="4"/>
        <v>88.034266764922407</v>
      </c>
      <c r="AB14" s="18" cm="1">
        <f t="array" ref="AB14">IFERROR(INDEX('Metas Produção'!$A:$ZZ,MATCH(K14, 'Metas Produção'!$A:$A, 0),MATCH(F14, 'Metas Produção'!$1:$1, 0)+2)*12,"-")</f>
        <v>1083.6966637546927</v>
      </c>
      <c r="AC14" s="18">
        <f t="shared" si="5"/>
        <v>90.308055312891057</v>
      </c>
      <c r="AD14" s="18" cm="1">
        <f t="array" ref="AD14">IFERROR(INDEX('Metas Produção'!$A:$ZZ,MATCH(K14, 'Metas Produção'!$A:$A, 0),MATCH(F14, 'Metas Produção'!$1:$1, 0)+3)*12,"-")</f>
        <v>1200</v>
      </c>
      <c r="AE14" s="18">
        <f t="shared" si="6"/>
        <v>100</v>
      </c>
      <c r="AF14" s="12" t="str">
        <f t="shared" si="7"/>
        <v>ALTO</v>
      </c>
      <c r="AG14" s="34">
        <f>IFERROR(U14/SUMIFS(U:U,G:G,G14,H:H,H14,L:L,L14,A:A,A14,B:B,B14),0)</f>
        <v>0.13651877133105803</v>
      </c>
      <c r="AH14" s="29" cm="1">
        <f t="array" ref="AH14">IFERROR(V14/INDEX('Cadastro Talhão'!G:G,MATCH(1,('Cadastro Talhão'!B:B=G14)*('Cadastro Talhão'!C:C=H14),0)),"-")</f>
        <v>0.04</v>
      </c>
      <c r="AI14" s="31" cm="1">
        <f t="array" ref="AI14">IFERROR(IF(AJ14="EM ANDAMENTO",U14,IF(AJ14="FINALIZADO",INDEX('Cadastro Talhão'!G:G,MATCH(1,('Cadastro Talhão'!B:B=G14)*('Cadastro Talhão'!C:C=H14),0)),"-")),"-")</f>
        <v>400</v>
      </c>
      <c r="AJ14" s="12" t="str" cm="1">
        <f t="array" ref="AJ14">IFERROR(INDEX(Estoque!$A:$Z,MATCH(1,(Estoque!$E:$E='BDT''s'!G14)*(Estoque!$F:$F='BDT''s'!H14)*(Estoque!$B:$B='BDT''s'!B14),0),MATCH('BDT''s'!L14,Estoque!$1:$1,0)+4),"-")</f>
        <v>EM ANDAMENTO</v>
      </c>
    </row>
    <row r="15" spans="1:36" x14ac:dyDescent="0.3">
      <c r="A15" s="12">
        <f t="shared" ref="A15" si="16">IFERROR(YEAR(I15),"-")</f>
        <v>2026</v>
      </c>
      <c r="B15" s="13">
        <f t="shared" ref="B15" si="17">IFERROR(DATE(YEAR(I15),MONTH(I15),MONTH(I15)),"-")</f>
        <v>46023</v>
      </c>
      <c r="C15" s="12" t="str" cm="1">
        <f t="array" ref="C15">IFERROR(IF(INDEX('Cadastro Talhão'!A:A,MATCH(1,('Cadastro Talhão'!B:B='BDT''s'!G15)*('Cadastro Talhão'!C:C='BDT''s'!H15),0))=0,"-",INDEX('Cadastro Talhão'!A:A,MATCH(1,('Cadastro Talhão'!B:B='BDT''s'!G15)*('Cadastro Talhão'!C:C='BDT''s'!H15),0))),"-")</f>
        <v>CONTRATO 1</v>
      </c>
      <c r="D15" s="15" cm="1">
        <f t="array" ref="D15">IFERROR(INDEX('Cadastro Talhão'!H:H,MATCH(1,('Cadastro Talhão'!B:B='BDT''s'!G15)*('Cadastro Talhão'!C:C='BDT''s'!H15),0)),"-")</f>
        <v>1.9</v>
      </c>
      <c r="E15" s="15" cm="1">
        <f t="array" ref="E15">IFERROR(INDEX('Cadastro Talhão'!F:F,MATCH(1,('Cadastro Talhão'!B:B='BDT''s'!G15)*('Cadastro Talhão'!C:C='BDT''s'!H15),0)),"-")</f>
        <v>0.15</v>
      </c>
      <c r="F15" s="12" t="str">
        <f>IFERROR(VLOOKUP(E15,VMI!A:B,2,FALSE),"-")</f>
        <v>0,11 a 0,15</v>
      </c>
      <c r="G15" s="3" t="s">
        <v>145</v>
      </c>
      <c r="H15" s="3">
        <v>15</v>
      </c>
      <c r="I15" s="4">
        <v>46024</v>
      </c>
      <c r="J15" s="3" t="s">
        <v>136</v>
      </c>
      <c r="K15" s="12" t="str">
        <f>IFERROR(VLOOKUP(J15,Cadastros!A:B,2,FALSE),"-")</f>
        <v>FELLER BUNCHER 1</v>
      </c>
      <c r="L15" s="12" t="str">
        <f>IFERROR(VLOOKUP(K15,Cadastros!B:D,3,FALSE),"-")</f>
        <v>CORTE</v>
      </c>
      <c r="M15" s="18" cm="1">
        <f t="array" ref="M15">IFERROR(INDEX(VMI!$A:$AAL,MATCH(1,(VMI!$A:$A=E15)*(VMI!$B:$B=F15),0),MATCH(L15,VMI!$1:$1,0)+1)*(AVERAGEIFS('Metas Produção'!I:I,'Metas Produção'!B:B,'BDT''s'!L15)),"-")</f>
        <v>86.557111168364187</v>
      </c>
      <c r="N15" s="3" t="s">
        <v>152</v>
      </c>
      <c r="O15" s="3" t="s">
        <v>158</v>
      </c>
      <c r="P15" s="12">
        <f>IFERROR(COUNTIFS(O:O,O15,N:N,N15,I:I,I15,J:J,J15,C:C,C15),"-")</f>
        <v>1</v>
      </c>
      <c r="Q15" s="15">
        <f>IFERROR(_xlfn.MAXIFS($R$1:R14,$K$1:K14,K15),"-")</f>
        <v>1026</v>
      </c>
      <c r="R15" s="19">
        <v>1035.2</v>
      </c>
      <c r="S15" s="15">
        <f t="shared" ref="S15" si="18">IFERROR(IF(R15="-",0,IF(R15-Q15&lt;0,"-",R15-Q15)),"-")</f>
        <v>9.2000000000000455</v>
      </c>
      <c r="T15" s="15" cm="1">
        <f t="array" ref="T15">IFERROR(U15/INDEX('Cadastro Talhão'!F:F,MATCH(1,('Cadastro Talhão'!B:B='BDT''s'!G15)*('Cadastro Talhão'!C:C='BDT''s'!H15)*('Cadastro Talhão'!A:A='BDT''s'!C15),0)),"-")</f>
        <v>5333.3333333333339</v>
      </c>
      <c r="U15" s="44">
        <v>800</v>
      </c>
      <c r="V15" s="33">
        <f>IF(U15="-",0,IFERROR(IF(AJ15="FINALIZADO",AI15/SUMIFS(AG:AG,G:G,G15,H:H,H15,L:L,L15,A:A,A15,B:B,B15)*AG15,U15),U15))</f>
        <v>800</v>
      </c>
      <c r="W15" s="18">
        <f t="shared" ref="W15" si="19">IFERROR(U15/S15,"-")</f>
        <v>86.956521739130011</v>
      </c>
      <c r="X15" s="15" cm="1">
        <f t="array" ref="X15">IFERROR(U15/INDEX('Cadastro Talhão'!G:G,MATCH(1,('Cadastro Talhão'!B:B=G15)*('Cadastro Talhão'!C:C=H15),0))*INDEX('Cadastro Talhão'!D:D,MATCH(1,('Cadastro Talhão'!B:B=G15)*('Cadastro Talhão'!C:C=H15),0)),"-")</f>
        <v>0.96</v>
      </c>
      <c r="Y15" s="34" cm="1">
        <f t="array" ref="Y15">IFERROR(V15/INDEX('Cadastro Talhão'!G:G,MATCH(1,('Cadastro Talhão'!B:B=G15)*('Cadastro Talhão'!C:C=H15),0))*INDEX('Cadastro Talhão'!D:D,MATCH(1,('Cadastro Talhão'!B:B=G15)*('Cadastro Talhão'!C:C=H15),0)),"-")</f>
        <v>0.96</v>
      </c>
      <c r="Z15" s="18" cm="1">
        <f t="array" ref="Z15">IFERROR(INDEX('Metas Produção'!$A:$ZZ,MATCH(K15, 'Metas Produção'!$A:$A, 0),MATCH(F15, 'Metas Produção'!$1:$1, 0)+1)*12,"-")</f>
        <v>1056.4112011790689</v>
      </c>
      <c r="AA15" s="18">
        <f t="shared" ref="AA15" si="20">IFERROR(Z15/12,"-")</f>
        <v>88.034266764922407</v>
      </c>
      <c r="AB15" s="18" cm="1">
        <f t="array" ref="AB15">IFERROR(INDEX('Metas Produção'!$A:$ZZ,MATCH(K15, 'Metas Produção'!$A:$A, 0),MATCH(F15, 'Metas Produção'!$1:$1, 0)+2)*12,"-")</f>
        <v>1083.6966637546927</v>
      </c>
      <c r="AC15" s="18">
        <f t="shared" ref="AC15" si="21">IFERROR(AB15/12,"-")</f>
        <v>90.308055312891057</v>
      </c>
      <c r="AD15" s="18" cm="1">
        <f t="array" ref="AD15">IFERROR(INDEX('Metas Produção'!$A:$ZZ,MATCH(K15, 'Metas Produção'!$A:$A, 0),MATCH(F15, 'Metas Produção'!$1:$1, 0)+3)*12,"-")</f>
        <v>1200</v>
      </c>
      <c r="AE15" s="18">
        <f t="shared" ref="AE15" si="22">IFERROR(AD15/12,"-")</f>
        <v>100</v>
      </c>
      <c r="AF15" s="12" t="str">
        <f t="shared" ref="AF15" si="23">IFERROR(IF(W15="-","-",IF(W15&lt;AA15,"BAIXO",IF(AND(W15&gt;=AA15,W15&lt;AC15),"MEDIO",IF(AND(W15&gt;=AC15,W15&lt;=AE15),"ALTO","-")))),"-")</f>
        <v>BAIXO</v>
      </c>
      <c r="AG15" s="34">
        <f>IFERROR(U15/SUMIFS(U:U,G:G,G15,H:H,H15,L:L,L15,A:A,A15,B:B,B15),0)</f>
        <v>0.27303754266211605</v>
      </c>
      <c r="AH15" s="29" cm="1">
        <f t="array" ref="AH15">IFERROR(V15/INDEX('Cadastro Talhão'!G:G,MATCH(1,('Cadastro Talhão'!B:B=G15)*('Cadastro Talhão'!C:C=H15),0)),"-")</f>
        <v>0.08</v>
      </c>
      <c r="AI15" s="31" cm="1">
        <f t="array" ref="AI15">IFERROR(IF(AJ15="EM ANDAMENTO",U15,IF(AJ15="FINALIZADO",INDEX('Cadastro Talhão'!G:G,MATCH(1,('Cadastro Talhão'!B:B=G15)*('Cadastro Talhão'!C:C=H15),0)),"-")),"-")</f>
        <v>800</v>
      </c>
      <c r="AJ15" s="12" t="str" cm="1">
        <f t="array" ref="AJ15">IFERROR(INDEX(Estoque!$A:$Z,MATCH(1,(Estoque!$E:$E='BDT''s'!G15)*(Estoque!$F:$F='BDT''s'!H15)*(Estoque!$B:$B='BDT''s'!B15),0),MATCH('BDT''s'!L15,Estoque!$1:$1,0)+4),"-")</f>
        <v>EM ANDAMENTO</v>
      </c>
    </row>
    <row r="16" spans="1:36" x14ac:dyDescent="0.3">
      <c r="A16" s="12">
        <f t="shared" si="0"/>
        <v>2026</v>
      </c>
      <c r="B16" s="13">
        <f t="shared" si="1"/>
        <v>46023</v>
      </c>
      <c r="C16" s="12" t="str" cm="1">
        <f t="array" ref="C16">IFERROR(IF(INDEX('Cadastro Talhão'!A:A,MATCH(1,('Cadastro Talhão'!B:B='BDT''s'!G16)*('Cadastro Talhão'!C:C='BDT''s'!H16),0))=0,"-",INDEX('Cadastro Talhão'!A:A,MATCH(1,('Cadastro Talhão'!B:B='BDT''s'!G16)*('Cadastro Talhão'!C:C='BDT''s'!H16),0))),"-")</f>
        <v>CONTRATO 1</v>
      </c>
      <c r="D16" s="15" cm="1">
        <f t="array" ref="D16">IFERROR(INDEX('Cadastro Talhão'!H:H,MATCH(1,('Cadastro Talhão'!B:B='BDT''s'!G16)*('Cadastro Talhão'!C:C='BDT''s'!H16),0)),"-")</f>
        <v>1.9</v>
      </c>
      <c r="E16" s="15" cm="1">
        <f t="array" ref="E16">IFERROR(INDEX('Cadastro Talhão'!F:F,MATCH(1,('Cadastro Talhão'!B:B='BDT''s'!G16)*('Cadastro Talhão'!C:C='BDT''s'!H16),0)),"-")</f>
        <v>0.16</v>
      </c>
      <c r="F16" s="12" t="str">
        <f>IFERROR(VLOOKUP(E16,VMI!A:B,2,FALSE),"-")</f>
        <v>0,16 a 0,20</v>
      </c>
      <c r="G16" s="3" t="s">
        <v>145</v>
      </c>
      <c r="H16" s="3">
        <v>25</v>
      </c>
      <c r="I16" s="4">
        <v>46024</v>
      </c>
      <c r="J16" s="3" t="s">
        <v>137</v>
      </c>
      <c r="K16" s="12" t="str">
        <f>IFERROR(VLOOKUP(J16,Cadastros!A:B,2,FALSE),"-")</f>
        <v>FELLER BUNCHER 2</v>
      </c>
      <c r="L16" s="12" t="str">
        <f>IFERROR(VLOOKUP(K16,Cadastros!B:D,3,FALSE),"-")</f>
        <v>CORTE</v>
      </c>
      <c r="M16" s="18" cm="1">
        <f t="array" ref="M16">IFERROR(INDEX(VMI!$A:$AAL,MATCH(1,(VMI!$A:$A=E16)*(VMI!$B:$B=F16),0),MATCH(L16,VMI!$1:$1,0)+1)*(AVERAGEIFS('Metas Produção'!I:I,'Metas Produção'!B:B,'BDT''s'!L16)),"-")</f>
        <v>125.23160472227366</v>
      </c>
      <c r="N16" s="3" t="s">
        <v>153</v>
      </c>
      <c r="O16" s="3" t="s">
        <v>157</v>
      </c>
      <c r="P16" s="12">
        <f>IFERROR(COUNTIFS(O:O,O16,N:N,N16,I:I,I16,J:J,J16,C:C,C16),"-")</f>
        <v>1</v>
      </c>
      <c r="Q16" s="15">
        <f>IFERROR(_xlfn.MAXIFS($R$1:R15,$K$1:K15,K16),"-")</f>
        <v>2020</v>
      </c>
      <c r="R16" s="19">
        <v>2030</v>
      </c>
      <c r="S16" s="15">
        <f t="shared" si="2"/>
        <v>10</v>
      </c>
      <c r="T16" s="15" cm="1">
        <f t="array" ref="T16">IFERROR(U16/INDEX('Cadastro Talhão'!F:F,MATCH(1,('Cadastro Talhão'!B:B='BDT''s'!G16)*('Cadastro Talhão'!C:C='BDT''s'!H16)*('Cadastro Talhão'!A:A='BDT''s'!C16),0)),"-")</f>
        <v>7500</v>
      </c>
      <c r="U16" s="44">
        <v>1200</v>
      </c>
      <c r="V16" s="33">
        <f>IF(U16="-",0,IFERROR(IF(AJ16="FINALIZADO",AI16/SUMIFS(AG:AG,G:G,G16,H:H,H16,L:L,L16,A:A,A16,B:B,B16)*AG16,U16),U16))</f>
        <v>1200</v>
      </c>
      <c r="W16" s="18">
        <f t="shared" si="3"/>
        <v>120</v>
      </c>
      <c r="X16" s="15" cm="1">
        <f t="array" ref="X16">IFERROR(U16/INDEX('Cadastro Talhão'!G:G,MATCH(1,('Cadastro Talhão'!B:B=G16)*('Cadastro Talhão'!C:C=H16),0))*INDEX('Cadastro Talhão'!D:D,MATCH(1,('Cadastro Talhão'!B:B=G16)*('Cadastro Talhão'!C:C=H16),0)),"-")</f>
        <v>0.92307692307692313</v>
      </c>
      <c r="Y16" s="34" cm="1">
        <f t="array" ref="Y16">IFERROR(V16/INDEX('Cadastro Talhão'!G:G,MATCH(1,('Cadastro Talhão'!B:B=G16)*('Cadastro Talhão'!C:C=H16),0))*INDEX('Cadastro Talhão'!D:D,MATCH(1,('Cadastro Talhão'!B:B=G16)*('Cadastro Talhão'!C:C=H16),0)),"-")</f>
        <v>0.92307692307692313</v>
      </c>
      <c r="Z16" s="18" cm="1">
        <f t="array" ref="Z16">IFERROR(INDEX('Metas Produção'!$A:$ZZ,MATCH(K16, 'Metas Produção'!$A:$A, 0),MATCH(F16, 'Metas Produção'!$1:$1, 0)+1)*12,"-")</f>
        <v>1477.1333130883693</v>
      </c>
      <c r="AA16" s="18">
        <f t="shared" si="4"/>
        <v>123.09444275736411</v>
      </c>
      <c r="AB16" s="18" cm="1">
        <f t="array" ref="AB16">IFERROR(INDEX('Metas Produção'!$A:$ZZ,MATCH(K16, 'Metas Produção'!$A:$A, 0),MATCH(F16, 'Metas Produção'!$1:$1, 0)+2)*12,"-")</f>
        <v>1464.4344428121058</v>
      </c>
      <c r="AC16" s="18">
        <f t="shared" si="5"/>
        <v>122.03620356767549</v>
      </c>
      <c r="AD16" s="18" cm="1">
        <f t="array" ref="AD16">IFERROR(INDEX('Metas Produção'!$A:$ZZ,MATCH(K16, 'Metas Produção'!$A:$A, 0),MATCH(F16, 'Metas Produção'!$1:$1, 0)+3)*12,"-")</f>
        <v>2022.4719101123387</v>
      </c>
      <c r="AE16" s="18">
        <f t="shared" si="6"/>
        <v>168.53932584269489</v>
      </c>
      <c r="AF16" s="12" t="str">
        <f t="shared" si="7"/>
        <v>BAIXO</v>
      </c>
      <c r="AG16" s="34">
        <f>IFERROR(U16/SUMIFS(U:U,G:G,G16,H:H,H16,L:L,L16,A:A,A16,B:B,B16),0)</f>
        <v>0.24489795918367346</v>
      </c>
      <c r="AH16" s="29" cm="1">
        <f t="array" ref="AH16">IFERROR(V16/INDEX('Cadastro Talhão'!G:G,MATCH(1,('Cadastro Talhão'!B:B=G16)*('Cadastro Talhão'!C:C=H16),0)),"-")</f>
        <v>9.2307692307692313E-2</v>
      </c>
      <c r="AI16" s="31" cm="1">
        <f t="array" ref="AI16">IFERROR(IF(AJ16="EM ANDAMENTO",U16,IF(AJ16="FINALIZADO",INDEX('Cadastro Talhão'!G:G,MATCH(1,('Cadastro Talhão'!B:B=G16)*('Cadastro Talhão'!C:C=H16),0)),"-")),"-")</f>
        <v>1200</v>
      </c>
      <c r="AJ16" s="12" t="str" cm="1">
        <f t="array" ref="AJ16">IFERROR(INDEX(Estoque!$A:$Z,MATCH(1,(Estoque!$E:$E='BDT''s'!G16)*(Estoque!$F:$F='BDT''s'!H16)*(Estoque!$B:$B='BDT''s'!B16),0),MATCH('BDT''s'!L16,Estoque!$1:$1,0)+4),"-")</f>
        <v>EM ANDAMENTO</v>
      </c>
    </row>
    <row r="17" spans="1:36" x14ac:dyDescent="0.3">
      <c r="A17" s="12">
        <f t="shared" si="0"/>
        <v>2026</v>
      </c>
      <c r="B17" s="13">
        <f t="shared" si="1"/>
        <v>46023</v>
      </c>
      <c r="C17" s="12" t="str" cm="1">
        <f t="array" ref="C17">IFERROR(IF(INDEX('Cadastro Talhão'!A:A,MATCH(1,('Cadastro Talhão'!B:B='BDT''s'!G17)*('Cadastro Talhão'!C:C='BDT''s'!H17),0))=0,"-",INDEX('Cadastro Talhão'!A:A,MATCH(1,('Cadastro Talhão'!B:B='BDT''s'!G17)*('Cadastro Talhão'!C:C='BDT''s'!H17),0))),"-")</f>
        <v>CONTRATO 1</v>
      </c>
      <c r="D17" s="15" cm="1">
        <f t="array" ref="D17">IFERROR(INDEX('Cadastro Talhão'!H:H,MATCH(1,('Cadastro Talhão'!B:B='BDT''s'!G17)*('Cadastro Talhão'!C:C='BDT''s'!H17),0)),"-")</f>
        <v>1.9</v>
      </c>
      <c r="E17" s="15" cm="1">
        <f t="array" ref="E17">IFERROR(INDEX('Cadastro Talhão'!F:F,MATCH(1,('Cadastro Talhão'!B:B='BDT''s'!G17)*('Cadastro Talhão'!C:C='BDT''s'!H17),0)),"-")</f>
        <v>0.16</v>
      </c>
      <c r="F17" s="12" t="str">
        <f>IFERROR(VLOOKUP(E17,VMI!A:B,2,FALSE),"-")</f>
        <v>0,16 a 0,20</v>
      </c>
      <c r="G17" s="3" t="s">
        <v>145</v>
      </c>
      <c r="H17" s="3">
        <v>25</v>
      </c>
      <c r="I17" s="4">
        <v>46024</v>
      </c>
      <c r="J17" s="3" t="s">
        <v>137</v>
      </c>
      <c r="K17" s="12" t="str">
        <f>IFERROR(VLOOKUP(J17,Cadastros!A:B,2,FALSE),"-")</f>
        <v>FELLER BUNCHER 2</v>
      </c>
      <c r="L17" s="12" t="str">
        <f>IFERROR(VLOOKUP(K17,Cadastros!B:D,3,FALSE),"-")</f>
        <v>CORTE</v>
      </c>
      <c r="M17" s="18" cm="1">
        <f t="array" ref="M17">IFERROR(INDEX(VMI!$A:$AAL,MATCH(1,(VMI!$A:$A=E17)*(VMI!$B:$B=F17),0),MATCH(L17,VMI!$1:$1,0)+1)*(AVERAGEIFS('Metas Produção'!I:I,'Metas Produção'!B:B,'BDT''s'!L17)),"-")</f>
        <v>125.23160472227366</v>
      </c>
      <c r="N17" s="3" t="s">
        <v>154</v>
      </c>
      <c r="O17" s="3" t="s">
        <v>158</v>
      </c>
      <c r="P17" s="12">
        <f>IFERROR(COUNTIFS(O:O,O17,N:N,N17,I:I,I17,J:J,J17,C:C,C17),"-")</f>
        <v>1</v>
      </c>
      <c r="Q17" s="15">
        <f>IFERROR(_xlfn.MAXIFS($R$1:R16,$K$1:K16,K17),"-")</f>
        <v>2030</v>
      </c>
      <c r="R17" s="19">
        <v>2040</v>
      </c>
      <c r="S17" s="15">
        <f t="shared" si="2"/>
        <v>10</v>
      </c>
      <c r="T17" s="15" cm="1">
        <f t="array" ref="T17">IFERROR(U17/INDEX('Cadastro Talhão'!F:F,MATCH(1,('Cadastro Talhão'!B:B='BDT''s'!G17)*('Cadastro Talhão'!C:C='BDT''s'!H17)*('Cadastro Talhão'!A:A='BDT''s'!C17),0)),"-")</f>
        <v>6250</v>
      </c>
      <c r="U17" s="44">
        <v>1000</v>
      </c>
      <c r="V17" s="33">
        <f>IF(U17="-",0,IFERROR(IF(AJ17="FINALIZADO",AI17/SUMIFS(AG:AG,G:G,G17,H:H,H17,L:L,L17,A:A,A17,B:B,B17)*AG17,U17),U17))</f>
        <v>1000</v>
      </c>
      <c r="W17" s="18">
        <f t="shared" si="3"/>
        <v>100</v>
      </c>
      <c r="X17" s="15" cm="1">
        <f t="array" ref="X17">IFERROR(U17/INDEX('Cadastro Talhão'!G:G,MATCH(1,('Cadastro Talhão'!B:B=G17)*('Cadastro Talhão'!C:C=H17),0))*INDEX('Cadastro Talhão'!D:D,MATCH(1,('Cadastro Talhão'!B:B=G17)*('Cadastro Talhão'!C:C=H17),0)),"-")</f>
        <v>0.76923076923076927</v>
      </c>
      <c r="Y17" s="34" cm="1">
        <f t="array" ref="Y17">IFERROR(V17/INDEX('Cadastro Talhão'!G:G,MATCH(1,('Cadastro Talhão'!B:B=G17)*('Cadastro Talhão'!C:C=H17),0))*INDEX('Cadastro Talhão'!D:D,MATCH(1,('Cadastro Talhão'!B:B=G17)*('Cadastro Talhão'!C:C=H17),0)),"-")</f>
        <v>0.76923076923076927</v>
      </c>
      <c r="Z17" s="18" cm="1">
        <f t="array" ref="Z17">IFERROR(INDEX('Metas Produção'!$A:$ZZ,MATCH(K17, 'Metas Produção'!$A:$A, 0),MATCH(F17, 'Metas Produção'!$1:$1, 0)+1)*12,"-")</f>
        <v>1477.1333130883693</v>
      </c>
      <c r="AA17" s="18">
        <f t="shared" si="4"/>
        <v>123.09444275736411</v>
      </c>
      <c r="AB17" s="18" cm="1">
        <f t="array" ref="AB17">IFERROR(INDEX('Metas Produção'!$A:$ZZ,MATCH(K17, 'Metas Produção'!$A:$A, 0),MATCH(F17, 'Metas Produção'!$1:$1, 0)+2)*12,"-")</f>
        <v>1464.4344428121058</v>
      </c>
      <c r="AC17" s="18">
        <f t="shared" si="5"/>
        <v>122.03620356767549</v>
      </c>
      <c r="AD17" s="18" cm="1">
        <f t="array" ref="AD17">IFERROR(INDEX('Metas Produção'!$A:$ZZ,MATCH(K17, 'Metas Produção'!$A:$A, 0),MATCH(F17, 'Metas Produção'!$1:$1, 0)+3)*12,"-")</f>
        <v>2022.4719101123387</v>
      </c>
      <c r="AE17" s="18">
        <f t="shared" si="6"/>
        <v>168.53932584269489</v>
      </c>
      <c r="AF17" s="12" t="str">
        <f t="shared" si="7"/>
        <v>BAIXO</v>
      </c>
      <c r="AG17" s="34">
        <f>IFERROR(U17/SUMIFS(U:U,G:G,G17,H:H,H17,L:L,L17,A:A,A17,B:B,B17),0)</f>
        <v>0.20408163265306123</v>
      </c>
      <c r="AH17" s="29" cm="1">
        <f t="array" ref="AH17">IFERROR(V17/INDEX('Cadastro Talhão'!G:G,MATCH(1,('Cadastro Talhão'!B:B=G17)*('Cadastro Talhão'!C:C=H17),0)),"-")</f>
        <v>7.6923076923076927E-2</v>
      </c>
      <c r="AI17" s="31" cm="1">
        <f t="array" ref="AI17">IFERROR(IF(AJ17="EM ANDAMENTO",U17,IF(AJ17="FINALIZADO",INDEX('Cadastro Talhão'!G:G,MATCH(1,('Cadastro Talhão'!B:B=G17)*('Cadastro Talhão'!C:C=H17),0)),"-")),"-")</f>
        <v>1000</v>
      </c>
      <c r="AJ17" s="12" t="str" cm="1">
        <f t="array" ref="AJ17">IFERROR(INDEX(Estoque!$A:$Z,MATCH(1,(Estoque!$E:$E='BDT''s'!G17)*(Estoque!$F:$F='BDT''s'!H17)*(Estoque!$B:$B='BDT''s'!B17),0),MATCH('BDT''s'!L17,Estoque!$1:$1,0)+4),"-")</f>
        <v>EM ANDAMENTO</v>
      </c>
    </row>
    <row r="18" spans="1:36" x14ac:dyDescent="0.3">
      <c r="A18" s="12">
        <f t="shared" ref="A18" si="24">IFERROR(YEAR(I18),"-")</f>
        <v>2026</v>
      </c>
      <c r="B18" s="13">
        <f t="shared" ref="B18" si="25">IFERROR(DATE(YEAR(I18),MONTH(I18),MONTH(I18)),"-")</f>
        <v>46023</v>
      </c>
      <c r="C18" s="12" t="str" cm="1">
        <f t="array" ref="C18">IFERROR(IF(INDEX('Cadastro Talhão'!A:A,MATCH(1,('Cadastro Talhão'!B:B='BDT''s'!G18)*('Cadastro Talhão'!C:C='BDT''s'!H18),0))=0,"-",INDEX('Cadastro Talhão'!A:A,MATCH(1,('Cadastro Talhão'!B:B='BDT''s'!G18)*('Cadastro Talhão'!C:C='BDT''s'!H18),0))),"-")</f>
        <v>CONTRATO 1</v>
      </c>
      <c r="D18" s="15" cm="1">
        <f t="array" ref="D18">IFERROR(INDEX('Cadastro Talhão'!H:H,MATCH(1,('Cadastro Talhão'!B:B='BDT''s'!G18)*('Cadastro Talhão'!C:C='BDT''s'!H18),0)),"-")</f>
        <v>1.9</v>
      </c>
      <c r="E18" s="15" cm="1">
        <f t="array" ref="E18">IFERROR(INDEX('Cadastro Talhão'!F:F,MATCH(1,('Cadastro Talhão'!B:B='BDT''s'!G18)*('Cadastro Talhão'!C:C='BDT''s'!H18),0)),"-")</f>
        <v>0.15</v>
      </c>
      <c r="F18" s="12" t="str">
        <f>IFERROR(VLOOKUP(E18,VMI!A:B,2,FALSE),"-")</f>
        <v>0,11 a 0,15</v>
      </c>
      <c r="G18" s="3" t="s">
        <v>145</v>
      </c>
      <c r="H18" s="3">
        <v>15</v>
      </c>
      <c r="I18" s="4">
        <v>46024</v>
      </c>
      <c r="J18" s="3" t="s">
        <v>140</v>
      </c>
      <c r="K18" s="12" t="str">
        <f>IFERROR(VLOOKUP(J18,Cadastros!A:B,2,FALSE),"-")</f>
        <v>SKIDDER 1</v>
      </c>
      <c r="L18" s="12" t="str">
        <f>IFERROR(VLOOKUP(K18,Cadastros!B:D,3,FALSE),"-")</f>
        <v>ARRASTE</v>
      </c>
      <c r="M18" s="18" cm="1">
        <f t="array" ref="M18">IFERROR(INDEX(VMI!$A:$AAL,MATCH(1,(VMI!$A:$A=E18)*(VMI!$B:$B=F18),0),MATCH(L18,VMI!$1:$1,0)+1)*(AVERAGEIFS('Metas Produção'!I:I,'Metas Produção'!B:B,'BDT''s'!L18)),"-")</f>
        <v>132.35446577920268</v>
      </c>
      <c r="N18" s="3" t="s">
        <v>155</v>
      </c>
      <c r="O18" s="3" t="s">
        <v>157</v>
      </c>
      <c r="P18" s="12">
        <f>IFERROR(COUNTIFS(O:O,O18,N:N,N18,I:I,I18,J:J,J18,C:C,C18),"-")</f>
        <v>1</v>
      </c>
      <c r="Q18" s="15">
        <f>IFERROR(_xlfn.MAXIFS($R$1:R17,$K$1:K17,K18),"-")</f>
        <v>1215</v>
      </c>
      <c r="R18" s="19">
        <v>1219</v>
      </c>
      <c r="S18" s="15">
        <f t="shared" ref="S18" si="26">IFERROR(IF(R18="-",0,IF(R18-Q18&lt;0,"-",R18-Q18)),"-")</f>
        <v>4</v>
      </c>
      <c r="T18" s="15" cm="1">
        <f t="array" ref="T18">IFERROR(U18/INDEX('Cadastro Talhão'!F:F,MATCH(1,('Cadastro Talhão'!B:B='BDT''s'!G18)*('Cadastro Talhão'!C:C='BDT''s'!H18)*('Cadastro Talhão'!A:A='BDT''s'!C18),0)),"-")</f>
        <v>4000</v>
      </c>
      <c r="U18" s="44">
        <v>600</v>
      </c>
      <c r="V18" s="33">
        <f>IF(U18="-",0,IFERROR(IF(AJ18="FINALIZADO",AI18/SUMIFS(AG:AG,G:G,G18,H:H,H18,L:L,L18,A:A,A18,B:B,B18)*AG18,U18),U18))</f>
        <v>600</v>
      </c>
      <c r="W18" s="18">
        <f t="shared" ref="W18" si="27">IFERROR(U18/S18,"-")</f>
        <v>150</v>
      </c>
      <c r="X18" s="15" cm="1">
        <f t="array" ref="X18">IFERROR(U18/INDEX('Cadastro Talhão'!G:G,MATCH(1,('Cadastro Talhão'!B:B=G18)*('Cadastro Talhão'!C:C=H18),0))*INDEX('Cadastro Talhão'!D:D,MATCH(1,('Cadastro Talhão'!B:B=G18)*('Cadastro Talhão'!C:C=H18),0)),"-")</f>
        <v>0.72</v>
      </c>
      <c r="Y18" s="34" cm="1">
        <f t="array" ref="Y18">IFERROR(V18/INDEX('Cadastro Talhão'!G:G,MATCH(1,('Cadastro Talhão'!B:B=G18)*('Cadastro Talhão'!C:C=H18),0))*INDEX('Cadastro Talhão'!D:D,MATCH(1,('Cadastro Talhão'!B:B=G18)*('Cadastro Talhão'!C:C=H18),0)),"-")</f>
        <v>0.72</v>
      </c>
      <c r="Z18" s="18" cm="1">
        <f t="array" ref="Z18">IFERROR(INDEX('Metas Produção'!$A:$ZZ,MATCH(K18, 'Metas Produção'!$A:$A, 0),MATCH(F18, 'Metas Produção'!$1:$1, 0)+1)*12,"-")</f>
        <v>1688.5714285714287</v>
      </c>
      <c r="AA18" s="18">
        <f t="shared" ref="AA18" si="28">IFERROR(Z18/12,"-")</f>
        <v>140.71428571428572</v>
      </c>
      <c r="AB18" s="18" cm="1">
        <f t="array" ref="AB18">IFERROR(INDEX('Metas Produção'!$A:$ZZ,MATCH(K18, 'Metas Produção'!$A:$A, 0),MATCH(F18, 'Metas Produção'!$1:$1, 0)+2)*12,"-")</f>
        <v>1918.6651560407868</v>
      </c>
      <c r="AC18" s="18">
        <f t="shared" ref="AC18" si="29">IFERROR(AB18/12,"-")</f>
        <v>159.88876300339891</v>
      </c>
      <c r="AD18" s="18" cm="1">
        <f t="array" ref="AD18">IFERROR(INDEX('Metas Produção'!$A:$ZZ,MATCH(K18, 'Metas Produção'!$A:$A, 0),MATCH(F18, 'Metas Produção'!$1:$1, 0)+3)*12,"-")</f>
        <v>2280</v>
      </c>
      <c r="AE18" s="18">
        <f t="shared" ref="AE18" si="30">IFERROR(AD18/12,"-")</f>
        <v>190</v>
      </c>
      <c r="AF18" s="12" t="str">
        <f t="shared" ref="AF18" si="31">IFERROR(IF(W18="-","-",IF(W18&lt;AA18,"BAIXO",IF(AND(W18&gt;=AA18,W18&lt;AC18),"MEDIO",IF(AND(W18&gt;=AC18,W18&lt;=AE18),"ALTO","-")))),"-")</f>
        <v>MEDIO</v>
      </c>
      <c r="AG18" s="34">
        <f>IFERROR(U18/SUMIFS(U:U,G:G,G18,H:H,H18,L:L,L18,A:A,A18,B:B,B18),0)</f>
        <v>0.23904382470119523</v>
      </c>
      <c r="AH18" s="29" cm="1">
        <f t="array" ref="AH18">IFERROR(V18/INDEX('Cadastro Talhão'!G:G,MATCH(1,('Cadastro Talhão'!B:B=G18)*('Cadastro Talhão'!C:C=H18),0)),"-")</f>
        <v>0.06</v>
      </c>
      <c r="AI18" s="31" cm="1">
        <f t="array" ref="AI18">IFERROR(IF(AJ18="EM ANDAMENTO",U18,IF(AJ18="FINALIZADO",INDEX('Cadastro Talhão'!G:G,MATCH(1,('Cadastro Talhão'!B:B=G18)*('Cadastro Talhão'!C:C=H18),0)),"-")),"-")</f>
        <v>600</v>
      </c>
      <c r="AJ18" s="12" t="str" cm="1">
        <f t="array" ref="AJ18">IFERROR(INDEX(Estoque!$A:$Z,MATCH(1,(Estoque!$E:$E='BDT''s'!G18)*(Estoque!$F:$F='BDT''s'!H18)*(Estoque!$B:$B='BDT''s'!B18),0),MATCH('BDT''s'!L18,Estoque!$1:$1,0)+4),"-")</f>
        <v>EM ANDAMENTO</v>
      </c>
    </row>
    <row r="19" spans="1:36" x14ac:dyDescent="0.3">
      <c r="A19" s="12">
        <f t="shared" si="0"/>
        <v>2026</v>
      </c>
      <c r="B19" s="13">
        <f t="shared" si="1"/>
        <v>46023</v>
      </c>
      <c r="C19" s="12" t="str" cm="1">
        <f t="array" ref="C19">IFERROR(IF(INDEX('Cadastro Talhão'!A:A,MATCH(1,('Cadastro Talhão'!B:B='BDT''s'!G19)*('Cadastro Talhão'!C:C='BDT''s'!H19),0))=0,"-",INDEX('Cadastro Talhão'!A:A,MATCH(1,('Cadastro Talhão'!B:B='BDT''s'!G19)*('Cadastro Talhão'!C:C='BDT''s'!H19),0))),"-")</f>
        <v>CONTRATO 1</v>
      </c>
      <c r="D19" s="15" cm="1">
        <f t="array" ref="D19">IFERROR(INDEX('Cadastro Talhão'!H:H,MATCH(1,('Cadastro Talhão'!B:B='BDT''s'!G19)*('Cadastro Talhão'!C:C='BDT''s'!H19),0)),"-")</f>
        <v>1.9</v>
      </c>
      <c r="E19" s="15" cm="1">
        <f t="array" ref="E19">IFERROR(INDEX('Cadastro Talhão'!F:F,MATCH(1,('Cadastro Talhão'!B:B='BDT''s'!G19)*('Cadastro Talhão'!C:C='BDT''s'!H19),0)),"-")</f>
        <v>0.15</v>
      </c>
      <c r="F19" s="12" t="str">
        <f>IFERROR(VLOOKUP(E19,VMI!A:B,2,FALSE),"-")</f>
        <v>0,11 a 0,15</v>
      </c>
      <c r="G19" s="3" t="s">
        <v>145</v>
      </c>
      <c r="H19" s="3">
        <v>15</v>
      </c>
      <c r="I19" s="4">
        <v>46024</v>
      </c>
      <c r="J19" s="3" t="s">
        <v>140</v>
      </c>
      <c r="K19" s="12" t="str">
        <f>IFERROR(VLOOKUP(J19,Cadastros!A:B,2,FALSE),"-")</f>
        <v>SKIDDER 1</v>
      </c>
      <c r="L19" s="12" t="str">
        <f>IFERROR(VLOOKUP(K19,Cadastros!B:D,3,FALSE),"-")</f>
        <v>ARRASTE</v>
      </c>
      <c r="M19" s="18" cm="1">
        <f t="array" ref="M19">IFERROR(INDEX(VMI!$A:$AAL,MATCH(1,(VMI!$A:$A=E19)*(VMI!$B:$B=F19),0),MATCH(L19,VMI!$1:$1,0)+1)*(AVERAGEIFS('Metas Produção'!I:I,'Metas Produção'!B:B,'BDT''s'!L19)),"-")</f>
        <v>132.35446577920268</v>
      </c>
      <c r="N19" s="3" t="s">
        <v>156</v>
      </c>
      <c r="O19" s="3" t="s">
        <v>158</v>
      </c>
      <c r="P19" s="12">
        <f>IFERROR(COUNTIFS(O:O,O19,N:N,N19,I:I,I19,J:J,J19,C:C,C19),"-")</f>
        <v>1</v>
      </c>
      <c r="Q19" s="15">
        <f>IFERROR(_xlfn.MAXIFS($R$1:R18,$K$1:K18,K19),"-")</f>
        <v>1219</v>
      </c>
      <c r="R19" s="19">
        <v>1223</v>
      </c>
      <c r="S19" s="15">
        <f t="shared" si="2"/>
        <v>4</v>
      </c>
      <c r="T19" s="15" cm="1">
        <f t="array" ref="T19">IFERROR(U19/INDEX('Cadastro Talhão'!F:F,MATCH(1,('Cadastro Talhão'!B:B='BDT''s'!G19)*('Cadastro Talhão'!C:C='BDT''s'!H19)*('Cadastro Talhão'!A:A='BDT''s'!C19),0)),"-")</f>
        <v>5066.666666666667</v>
      </c>
      <c r="U19" s="44">
        <v>760</v>
      </c>
      <c r="V19" s="33">
        <f>IF(U19="-",0,IFERROR(IF(AJ19="FINALIZADO",AI19/SUMIFS(AG:AG,G:G,G19,H:H,H19,L:L,L19,A:A,A19,B:B,B19)*AG19,U19),U19))</f>
        <v>760</v>
      </c>
      <c r="W19" s="18">
        <f t="shared" si="3"/>
        <v>190</v>
      </c>
      <c r="X19" s="15" cm="1">
        <f t="array" ref="X19">IFERROR(U19/INDEX('Cadastro Talhão'!G:G,MATCH(1,('Cadastro Talhão'!B:B=G19)*('Cadastro Talhão'!C:C=H19),0))*INDEX('Cadastro Talhão'!D:D,MATCH(1,('Cadastro Talhão'!B:B=G19)*('Cadastro Talhão'!C:C=H19),0)),"-")</f>
        <v>0.91199999999999992</v>
      </c>
      <c r="Y19" s="34" cm="1">
        <f t="array" ref="Y19">IFERROR(V19/INDEX('Cadastro Talhão'!G:G,MATCH(1,('Cadastro Talhão'!B:B=G19)*('Cadastro Talhão'!C:C=H19),0))*INDEX('Cadastro Talhão'!D:D,MATCH(1,('Cadastro Talhão'!B:B=G19)*('Cadastro Talhão'!C:C=H19),0)),"-")</f>
        <v>0.91199999999999992</v>
      </c>
      <c r="Z19" s="18" cm="1">
        <f t="array" ref="Z19">IFERROR(INDEX('Metas Produção'!$A:$ZZ,MATCH(K19, 'Metas Produção'!$A:$A, 0),MATCH(F19, 'Metas Produção'!$1:$1, 0)+1)*12,"-")</f>
        <v>1688.5714285714287</v>
      </c>
      <c r="AA19" s="18">
        <f t="shared" si="4"/>
        <v>140.71428571428572</v>
      </c>
      <c r="AB19" s="18" cm="1">
        <f t="array" ref="AB19">IFERROR(INDEX('Metas Produção'!$A:$ZZ,MATCH(K19, 'Metas Produção'!$A:$A, 0),MATCH(F19, 'Metas Produção'!$1:$1, 0)+2)*12,"-")</f>
        <v>1918.6651560407868</v>
      </c>
      <c r="AC19" s="18">
        <f t="shared" si="5"/>
        <v>159.88876300339891</v>
      </c>
      <c r="AD19" s="18" cm="1">
        <f t="array" ref="AD19">IFERROR(INDEX('Metas Produção'!$A:$ZZ,MATCH(K19, 'Metas Produção'!$A:$A, 0),MATCH(F19, 'Metas Produção'!$1:$1, 0)+3)*12,"-")</f>
        <v>2280</v>
      </c>
      <c r="AE19" s="18">
        <f t="shared" si="6"/>
        <v>190</v>
      </c>
      <c r="AF19" s="12" t="str">
        <f t="shared" si="7"/>
        <v>ALTO</v>
      </c>
      <c r="AG19" s="34">
        <f>IFERROR(U19/SUMIFS(U:U,G:G,G19,H:H,H19,L:L,L19,A:A,A19,B:B,B19),0)</f>
        <v>0.30278884462151395</v>
      </c>
      <c r="AH19" s="29" cm="1">
        <f t="array" ref="AH19">IFERROR(V19/INDEX('Cadastro Talhão'!G:G,MATCH(1,('Cadastro Talhão'!B:B=G19)*('Cadastro Talhão'!C:C=H19),0)),"-")</f>
        <v>7.5999999999999998E-2</v>
      </c>
      <c r="AI19" s="31" cm="1">
        <f t="array" ref="AI19">IFERROR(IF(AJ19="EM ANDAMENTO",U19,IF(AJ19="FINALIZADO",INDEX('Cadastro Talhão'!G:G,MATCH(1,('Cadastro Talhão'!B:B=G19)*('Cadastro Talhão'!C:C=H19),0)),"-")),"-")</f>
        <v>760</v>
      </c>
      <c r="AJ19" s="12" t="str" cm="1">
        <f t="array" ref="AJ19">IFERROR(INDEX(Estoque!$A:$Z,MATCH(1,(Estoque!$E:$E='BDT''s'!G19)*(Estoque!$F:$F='BDT''s'!H19)*(Estoque!$B:$B='BDT''s'!B19),0),MATCH('BDT''s'!L19,Estoque!$1:$1,0)+4),"-")</f>
        <v>EM ANDAMENTO</v>
      </c>
    </row>
    <row r="20" spans="1:36" x14ac:dyDescent="0.3">
      <c r="A20" s="12">
        <f t="shared" si="0"/>
        <v>2026</v>
      </c>
      <c r="B20" s="13">
        <f t="shared" si="1"/>
        <v>46023</v>
      </c>
      <c r="C20" s="12" t="str" cm="1">
        <f t="array" ref="C20">IFERROR(IF(INDEX('Cadastro Talhão'!A:A,MATCH(1,('Cadastro Talhão'!B:B='BDT''s'!G20)*('Cadastro Talhão'!C:C='BDT''s'!H20),0))=0,"-",INDEX('Cadastro Talhão'!A:A,MATCH(1,('Cadastro Talhão'!B:B='BDT''s'!G20)*('Cadastro Talhão'!C:C='BDT''s'!H20),0))),"-")</f>
        <v>CONTRATO 1</v>
      </c>
      <c r="D20" s="15" cm="1">
        <f t="array" ref="D20">IFERROR(INDEX('Cadastro Talhão'!H:H,MATCH(1,('Cadastro Talhão'!B:B='BDT''s'!G20)*('Cadastro Talhão'!C:C='BDT''s'!H20),0)),"-")</f>
        <v>1.9</v>
      </c>
      <c r="E20" s="15" cm="1">
        <f t="array" ref="E20">IFERROR(INDEX('Cadastro Talhão'!F:F,MATCH(1,('Cadastro Talhão'!B:B='BDT''s'!G20)*('Cadastro Talhão'!C:C='BDT''s'!H20),0)),"-")</f>
        <v>0.16</v>
      </c>
      <c r="F20" s="12" t="str">
        <f>IFERROR(VLOOKUP(E20,VMI!A:B,2,FALSE),"-")</f>
        <v>0,16 a 0,20</v>
      </c>
      <c r="G20" s="3" t="s">
        <v>145</v>
      </c>
      <c r="H20" s="3">
        <v>25</v>
      </c>
      <c r="I20" s="4">
        <v>46024</v>
      </c>
      <c r="J20" s="3" t="s">
        <v>141</v>
      </c>
      <c r="K20" s="12" t="str">
        <f>IFERROR(VLOOKUP(J20,Cadastros!A:B,2,FALSE),"-")</f>
        <v>SKIDDER 2</v>
      </c>
      <c r="L20" s="12" t="str">
        <f>IFERROR(VLOOKUP(K20,Cadastros!B:D,3,FALSE),"-")</f>
        <v>ARRASTE</v>
      </c>
      <c r="M20" s="18" cm="1">
        <f t="array" ref="M20">IFERROR(INDEX(VMI!$A:$AAL,MATCH(1,(VMI!$A:$A=E20)*(VMI!$B:$B=F20),0),MATCH(L20,VMI!$1:$1,0)+1)*(AVERAGEIFS('Metas Produção'!I:I,'Metas Produção'!B:B,'BDT''s'!L20)),"-")</f>
        <v>96.809137699999269</v>
      </c>
      <c r="N20" s="3" t="s">
        <v>159</v>
      </c>
      <c r="O20" s="3" t="s">
        <v>157</v>
      </c>
      <c r="P20" s="12">
        <f>IFERROR(COUNTIFS(O:O,O20,N:N,N20,I:I,I20,J:J,J20,C:C,C20),"-")</f>
        <v>1</v>
      </c>
      <c r="Q20" s="15">
        <f>IFERROR(_xlfn.MAXIFS($R$1:R19,$K$1:K19,K20),"-")</f>
        <v>2120</v>
      </c>
      <c r="R20" s="19">
        <v>2130</v>
      </c>
      <c r="S20" s="15">
        <f t="shared" si="2"/>
        <v>10</v>
      </c>
      <c r="T20" s="15" cm="1">
        <f t="array" ref="T20">IFERROR(U20/INDEX('Cadastro Talhão'!F:F,MATCH(1,('Cadastro Talhão'!B:B='BDT''s'!G20)*('Cadastro Talhão'!C:C='BDT''s'!H20)*('Cadastro Talhão'!A:A='BDT''s'!C20),0)),"-")</f>
        <v>5625</v>
      </c>
      <c r="U20" s="44">
        <v>900</v>
      </c>
      <c r="V20" s="33">
        <f>IF(U20="-",0,IFERROR(IF(AJ20="FINALIZADO",AI20/SUMIFS(AG:AG,G:G,G20,H:H,H20,L:L,L20,A:A,A20,B:B,B20)*AG20,U20),U20))</f>
        <v>900</v>
      </c>
      <c r="W20" s="18">
        <f t="shared" si="3"/>
        <v>90</v>
      </c>
      <c r="X20" s="15" cm="1">
        <f t="array" ref="X20">IFERROR(U20/INDEX('Cadastro Talhão'!G:G,MATCH(1,('Cadastro Talhão'!B:B=G20)*('Cadastro Talhão'!C:C=H20),0))*INDEX('Cadastro Talhão'!D:D,MATCH(1,('Cadastro Talhão'!B:B=G20)*('Cadastro Talhão'!C:C=H20),0)),"-")</f>
        <v>0.69230769230769229</v>
      </c>
      <c r="Y20" s="34" cm="1">
        <f t="array" ref="Y20">IFERROR(V20/INDEX('Cadastro Talhão'!G:G,MATCH(1,('Cadastro Talhão'!B:B=G20)*('Cadastro Talhão'!C:C=H20),0))*INDEX('Cadastro Talhão'!D:D,MATCH(1,('Cadastro Talhão'!B:B=G20)*('Cadastro Talhão'!C:C=H20),0)),"-")</f>
        <v>0.69230769230769229</v>
      </c>
      <c r="Z20" s="18" cm="1">
        <f t="array" ref="Z20">IFERROR(INDEX('Metas Produção'!$A:$ZZ,MATCH(K20, 'Metas Produção'!$A:$A, 0),MATCH(F20, 'Metas Produção'!$1:$1, 0)+1)*12,"-")</f>
        <v>1088.3333333333333</v>
      </c>
      <c r="AA20" s="18">
        <f t="shared" si="4"/>
        <v>90.694444444444443</v>
      </c>
      <c r="AB20" s="18" cm="1">
        <f t="array" ref="AB20">IFERROR(INDEX('Metas Produção'!$A:$ZZ,MATCH(K20, 'Metas Produção'!$A:$A, 0),MATCH(F20, 'Metas Produção'!$1:$1, 0)+2)*12,"-")</f>
        <v>1089.6986804200353</v>
      </c>
      <c r="AC20" s="18">
        <f t="shared" si="5"/>
        <v>90.808223368336272</v>
      </c>
      <c r="AD20" s="18" cm="1">
        <f t="array" ref="AD20">IFERROR(INDEX('Metas Produção'!$A:$ZZ,MATCH(K20, 'Metas Produção'!$A:$A, 0),MATCH(F20, 'Metas Produção'!$1:$1, 0)+3)*12,"-")</f>
        <v>1440</v>
      </c>
      <c r="AE20" s="18">
        <f t="shared" si="6"/>
        <v>120</v>
      </c>
      <c r="AF20" s="12" t="str">
        <f t="shared" si="7"/>
        <v>BAIXO</v>
      </c>
      <c r="AG20" s="34">
        <f>IFERROR(U20/SUMIFS(U:U,G:G,G20,H:H,H20,L:L,L20,A:A,A20,B:B,B20),0)</f>
        <v>0.29801324503311261</v>
      </c>
      <c r="AH20" s="29" cm="1">
        <f t="array" ref="AH20">IFERROR(V20/INDEX('Cadastro Talhão'!G:G,MATCH(1,('Cadastro Talhão'!B:B=G20)*('Cadastro Talhão'!C:C=H20),0)),"-")</f>
        <v>6.9230769230769235E-2</v>
      </c>
      <c r="AI20" s="31" cm="1">
        <f t="array" ref="AI20">IFERROR(IF(AJ20="EM ANDAMENTO",U20,IF(AJ20="FINALIZADO",INDEX('Cadastro Talhão'!G:G,MATCH(1,('Cadastro Talhão'!B:B=G20)*('Cadastro Talhão'!C:C=H20),0)),"-")),"-")</f>
        <v>900</v>
      </c>
      <c r="AJ20" s="12" t="str" cm="1">
        <f t="array" ref="AJ20">IFERROR(INDEX(Estoque!$A:$Z,MATCH(1,(Estoque!$E:$E='BDT''s'!G20)*(Estoque!$F:$F='BDT''s'!H20)*(Estoque!$B:$B='BDT''s'!B20),0),MATCH('BDT''s'!L20,Estoque!$1:$1,0)+4),"-")</f>
        <v>EM ANDAMENTO</v>
      </c>
    </row>
    <row r="21" spans="1:36" x14ac:dyDescent="0.3">
      <c r="A21" s="12">
        <f t="shared" si="0"/>
        <v>2026</v>
      </c>
      <c r="B21" s="13">
        <f t="shared" si="1"/>
        <v>46023</v>
      </c>
      <c r="C21" s="12" t="str" cm="1">
        <f t="array" ref="C21">IFERROR(IF(INDEX('Cadastro Talhão'!A:A,MATCH(1,('Cadastro Talhão'!B:B='BDT''s'!G21)*('Cadastro Talhão'!C:C='BDT''s'!H21),0))=0,"-",INDEX('Cadastro Talhão'!A:A,MATCH(1,('Cadastro Talhão'!B:B='BDT''s'!G21)*('Cadastro Talhão'!C:C='BDT''s'!H21),0))),"-")</f>
        <v>CONTRATO 1</v>
      </c>
      <c r="D21" s="15" cm="1">
        <f t="array" ref="D21">IFERROR(INDEX('Cadastro Talhão'!H:H,MATCH(1,('Cadastro Talhão'!B:B='BDT''s'!G21)*('Cadastro Talhão'!C:C='BDT''s'!H21),0)),"-")</f>
        <v>1.9</v>
      </c>
      <c r="E21" s="15" cm="1">
        <f t="array" ref="E21">IFERROR(INDEX('Cadastro Talhão'!F:F,MATCH(1,('Cadastro Talhão'!B:B='BDT''s'!G21)*('Cadastro Talhão'!C:C='BDT''s'!H21),0)),"-")</f>
        <v>0.16</v>
      </c>
      <c r="F21" s="12" t="str">
        <f>IFERROR(VLOOKUP(E21,VMI!A:B,2,FALSE),"-")</f>
        <v>0,16 a 0,20</v>
      </c>
      <c r="G21" s="3" t="s">
        <v>145</v>
      </c>
      <c r="H21" s="3">
        <v>25</v>
      </c>
      <c r="I21" s="4">
        <v>46024</v>
      </c>
      <c r="J21" s="3" t="s">
        <v>141</v>
      </c>
      <c r="K21" s="12" t="str">
        <f>IFERROR(VLOOKUP(J21,Cadastros!A:B,2,FALSE),"-")</f>
        <v>SKIDDER 2</v>
      </c>
      <c r="L21" s="12" t="str">
        <f>IFERROR(VLOOKUP(K21,Cadastros!B:D,3,FALSE),"-")</f>
        <v>ARRASTE</v>
      </c>
      <c r="M21" s="18" cm="1">
        <f t="array" ref="M21">IFERROR(INDEX(VMI!$A:$AAL,MATCH(1,(VMI!$A:$A=E21)*(VMI!$B:$B=F21),0),MATCH(L21,VMI!$1:$1,0)+1)*(AVERAGEIFS('Metas Produção'!I:I,'Metas Produção'!B:B,'BDT''s'!L21)),"-")</f>
        <v>96.809137699999269</v>
      </c>
      <c r="N21" s="3" t="s">
        <v>160</v>
      </c>
      <c r="O21" s="3" t="s">
        <v>158</v>
      </c>
      <c r="P21" s="12">
        <f>IFERROR(COUNTIFS(O:O,O21,N:N,N21,I:I,I21,J:J,J21,C:C,C21),"-")</f>
        <v>1</v>
      </c>
      <c r="Q21" s="15">
        <f>IFERROR(_xlfn.MAXIFS($R$1:R20,$K$1:K20,K21),"-")</f>
        <v>2130</v>
      </c>
      <c r="R21" s="19">
        <v>2135</v>
      </c>
      <c r="S21" s="15">
        <f t="shared" si="2"/>
        <v>5</v>
      </c>
      <c r="T21" s="15" cm="1">
        <f t="array" ref="T21">IFERROR(U21/INDEX('Cadastro Talhão'!F:F,MATCH(1,('Cadastro Talhão'!B:B='BDT''s'!G21)*('Cadastro Talhão'!C:C='BDT''s'!H21)*('Cadastro Talhão'!A:A='BDT''s'!C21),0)),"-")</f>
        <v>3750</v>
      </c>
      <c r="U21" s="44">
        <v>600</v>
      </c>
      <c r="V21" s="33">
        <f>IF(U21="-",0,IFERROR(IF(AJ21="FINALIZADO",AI21/SUMIFS(AG:AG,G:G,G21,H:H,H21,L:L,L21,A:A,A21,B:B,B21)*AG21,U21),U21))</f>
        <v>600</v>
      </c>
      <c r="W21" s="18">
        <f t="shared" si="3"/>
        <v>120</v>
      </c>
      <c r="X21" s="15" cm="1">
        <f t="array" ref="X21">IFERROR(U21/INDEX('Cadastro Talhão'!G:G,MATCH(1,('Cadastro Talhão'!B:B=G21)*('Cadastro Talhão'!C:C=H21),0))*INDEX('Cadastro Talhão'!D:D,MATCH(1,('Cadastro Talhão'!B:B=G21)*('Cadastro Talhão'!C:C=H21),0)),"-")</f>
        <v>0.46153846153846156</v>
      </c>
      <c r="Y21" s="34" cm="1">
        <f t="array" ref="Y21">IFERROR(V21/INDEX('Cadastro Talhão'!G:G,MATCH(1,('Cadastro Talhão'!B:B=G21)*('Cadastro Talhão'!C:C=H21),0))*INDEX('Cadastro Talhão'!D:D,MATCH(1,('Cadastro Talhão'!B:B=G21)*('Cadastro Talhão'!C:C=H21),0)),"-")</f>
        <v>0.46153846153846156</v>
      </c>
      <c r="Z21" s="18" cm="1">
        <f t="array" ref="Z21">IFERROR(INDEX('Metas Produção'!$A:$ZZ,MATCH(K21, 'Metas Produção'!$A:$A, 0),MATCH(F21, 'Metas Produção'!$1:$1, 0)+1)*12,"-")</f>
        <v>1088.3333333333333</v>
      </c>
      <c r="AA21" s="18">
        <f t="shared" si="4"/>
        <v>90.694444444444443</v>
      </c>
      <c r="AB21" s="18" cm="1">
        <f t="array" ref="AB21">IFERROR(INDEX('Metas Produção'!$A:$ZZ,MATCH(K21, 'Metas Produção'!$A:$A, 0),MATCH(F21, 'Metas Produção'!$1:$1, 0)+2)*12,"-")</f>
        <v>1089.6986804200353</v>
      </c>
      <c r="AC21" s="18">
        <f t="shared" si="5"/>
        <v>90.808223368336272</v>
      </c>
      <c r="AD21" s="18" cm="1">
        <f t="array" ref="AD21">IFERROR(INDEX('Metas Produção'!$A:$ZZ,MATCH(K21, 'Metas Produção'!$A:$A, 0),MATCH(F21, 'Metas Produção'!$1:$1, 0)+3)*12,"-")</f>
        <v>1440</v>
      </c>
      <c r="AE21" s="18">
        <f t="shared" si="6"/>
        <v>120</v>
      </c>
      <c r="AF21" s="12" t="str">
        <f t="shared" si="7"/>
        <v>ALTO</v>
      </c>
      <c r="AG21" s="34">
        <f>IFERROR(U21/SUMIFS(U:U,G:G,G21,H:H,H21,L:L,L21,A:A,A21,B:B,B21),0)</f>
        <v>0.19867549668874171</v>
      </c>
      <c r="AH21" s="29" cm="1">
        <f t="array" ref="AH21">IFERROR(V21/INDEX('Cadastro Talhão'!G:G,MATCH(1,('Cadastro Talhão'!B:B=G21)*('Cadastro Talhão'!C:C=H21),0)),"-")</f>
        <v>4.6153846153846156E-2</v>
      </c>
      <c r="AI21" s="31" cm="1">
        <f t="array" ref="AI21">IFERROR(IF(AJ21="EM ANDAMENTO",U21,IF(AJ21="FINALIZADO",INDEX('Cadastro Talhão'!G:G,MATCH(1,('Cadastro Talhão'!B:B=G21)*('Cadastro Talhão'!C:C=H21),0)),"-")),"-")</f>
        <v>600</v>
      </c>
      <c r="AJ21" s="12" t="str" cm="1">
        <f t="array" ref="AJ21">IFERROR(INDEX(Estoque!$A:$Z,MATCH(1,(Estoque!$E:$E='BDT''s'!G21)*(Estoque!$F:$F='BDT''s'!H21)*(Estoque!$B:$B='BDT''s'!B21),0),MATCH('BDT''s'!L21,Estoque!$1:$1,0)+4),"-")</f>
        <v>EM ANDAMENTO</v>
      </c>
    </row>
    <row r="22" spans="1:36" x14ac:dyDescent="0.3">
      <c r="A22" s="12">
        <f t="shared" si="0"/>
        <v>2026</v>
      </c>
      <c r="B22" s="13">
        <f t="shared" si="1"/>
        <v>46023</v>
      </c>
      <c r="C22" s="12" t="str" cm="1">
        <f t="array" ref="C22">IFERROR(IF(INDEX('Cadastro Talhão'!A:A,MATCH(1,('Cadastro Talhão'!B:B='BDT''s'!G22)*('Cadastro Talhão'!C:C='BDT''s'!H22),0))=0,"-",INDEX('Cadastro Talhão'!A:A,MATCH(1,('Cadastro Talhão'!B:B='BDT''s'!G22)*('Cadastro Talhão'!C:C='BDT''s'!H22),0))),"-")</f>
        <v>CONTRATO 1</v>
      </c>
      <c r="D22" s="15" cm="1">
        <f t="array" ref="D22">IFERROR(INDEX('Cadastro Talhão'!H:H,MATCH(1,('Cadastro Talhão'!B:B='BDT''s'!G22)*('Cadastro Talhão'!C:C='BDT''s'!H22),0)),"-")</f>
        <v>1.9</v>
      </c>
      <c r="E22" s="15" cm="1">
        <f t="array" ref="E22">IFERROR(INDEX('Cadastro Talhão'!F:F,MATCH(1,('Cadastro Talhão'!B:B='BDT''s'!G22)*('Cadastro Talhão'!C:C='BDT''s'!H22),0)),"-")</f>
        <v>0.15</v>
      </c>
      <c r="F22" s="12" t="str">
        <f>IFERROR(VLOOKUP(E22,VMI!A:B,2,FALSE),"-")</f>
        <v>0,11 a 0,15</v>
      </c>
      <c r="G22" s="3" t="s">
        <v>145</v>
      </c>
      <c r="H22" s="3">
        <v>15</v>
      </c>
      <c r="I22" s="4">
        <v>46024</v>
      </c>
      <c r="J22" s="3" t="s">
        <v>138</v>
      </c>
      <c r="K22" s="12" t="str">
        <f>IFERROR(VLOOKUP(J22,Cadastros!A:B,2,FALSE),"-")</f>
        <v>GARRA TRAÇADORA 1</v>
      </c>
      <c r="L22" s="12" t="str">
        <f>IFERROR(VLOOKUP(K22,Cadastros!B:D,3,FALSE),"-")</f>
        <v>TRAÇAMENTO</v>
      </c>
      <c r="M22" s="18" cm="1">
        <f t="array" ref="M22">IFERROR(INDEX(VMI!$A:$AAL,MATCH(1,(VMI!$A:$A=E22)*(VMI!$B:$B=F22),0),MATCH(L22,VMI!$1:$1,0)+1)*(AVERAGEIFS('Metas Produção'!I:I,'Metas Produção'!B:B,'BDT''s'!L22)),"-")</f>
        <v>64.881272401433691</v>
      </c>
      <c r="N22" s="3" t="s">
        <v>161</v>
      </c>
      <c r="O22" s="3" t="s">
        <v>157</v>
      </c>
      <c r="P22" s="12">
        <f>IFERROR(COUNTIFS(O:O,O22,N:N,N22,I:I,I22,J:J,J22,C:C,C22),"-")</f>
        <v>1</v>
      </c>
      <c r="Q22" s="15">
        <f>IFERROR(_xlfn.MAXIFS($R$1:R21,$K$1:K21,K22),"-")</f>
        <v>520</v>
      </c>
      <c r="R22" s="19">
        <v>529</v>
      </c>
      <c r="S22" s="15">
        <f t="shared" si="2"/>
        <v>9</v>
      </c>
      <c r="T22" s="15" cm="1">
        <f t="array" ref="T22">IFERROR(U22/INDEX('Cadastro Talhão'!F:F,MATCH(1,('Cadastro Talhão'!B:B='BDT''s'!G22)*('Cadastro Talhão'!C:C='BDT''s'!H22)*('Cadastro Talhão'!A:A='BDT''s'!C22),0)),"-")</f>
        <v>3933.3333333333335</v>
      </c>
      <c r="U22" s="44">
        <v>590</v>
      </c>
      <c r="V22" s="33">
        <f>IF(U22="-",0,IFERROR(IF(AJ22="FINALIZADO",AI22/SUMIFS(AG:AG,G:G,G22,H:H,H22,L:L,L22,A:A,A22,B:B,B22)*AG22,U22),U22))</f>
        <v>590</v>
      </c>
      <c r="W22" s="18">
        <f t="shared" si="3"/>
        <v>65.555555555555557</v>
      </c>
      <c r="X22" s="15" cm="1">
        <f t="array" ref="X22">IFERROR(U22/INDEX('Cadastro Talhão'!G:G,MATCH(1,('Cadastro Talhão'!B:B=G22)*('Cadastro Talhão'!C:C=H22),0))*INDEX('Cadastro Talhão'!D:D,MATCH(1,('Cadastro Talhão'!B:B=G22)*('Cadastro Talhão'!C:C=H22),0)),"-")</f>
        <v>0.70799999999999996</v>
      </c>
      <c r="Y22" s="34" cm="1">
        <f t="array" ref="Y22">IFERROR(V22/INDEX('Cadastro Talhão'!G:G,MATCH(1,('Cadastro Talhão'!B:B=G22)*('Cadastro Talhão'!C:C=H22),0))*INDEX('Cadastro Talhão'!D:D,MATCH(1,('Cadastro Talhão'!B:B=G22)*('Cadastro Talhão'!C:C=H22),0)),"-")</f>
        <v>0.70799999999999996</v>
      </c>
      <c r="Z22" s="18" cm="1">
        <f t="array" ref="Z22">IFERROR(INDEX('Metas Produção'!$A:$ZZ,MATCH(K22, 'Metas Produção'!$A:$A, 0),MATCH(F22, 'Metas Produção'!$1:$1, 0)+1)*12,"-")</f>
        <v>809.16666666666674</v>
      </c>
      <c r="AA22" s="18">
        <f t="shared" si="4"/>
        <v>67.430555555555557</v>
      </c>
      <c r="AB22" s="18" cm="1">
        <f t="array" ref="AB22">IFERROR(INDEX('Metas Produção'!$A:$ZZ,MATCH(K22, 'Metas Produção'!$A:$A, 0),MATCH(F22, 'Metas Produção'!$1:$1, 0)+2)*12,"-")</f>
        <v>897.94380952380936</v>
      </c>
      <c r="AC22" s="18">
        <f t="shared" si="5"/>
        <v>74.82865079365078</v>
      </c>
      <c r="AD22" s="18" cm="1">
        <f t="array" ref="AD22">IFERROR(INDEX('Metas Produção'!$A:$ZZ,MATCH(K22, 'Metas Produção'!$A:$A, 0),MATCH(F22, 'Metas Produção'!$1:$1, 0)+3)*12,"-")</f>
        <v>900</v>
      </c>
      <c r="AE22" s="18">
        <f t="shared" si="6"/>
        <v>75</v>
      </c>
      <c r="AF22" s="12" t="str">
        <f t="shared" si="7"/>
        <v>BAIXO</v>
      </c>
      <c r="AG22" s="34">
        <f>IFERROR(U22/SUMIFS(U:U,G:G,G22,H:H,H22,L:L,L22,A:A,A22,B:B,B22),0)</f>
        <v>0.29207920792079206</v>
      </c>
      <c r="AH22" s="29" cm="1">
        <f t="array" ref="AH22">IFERROR(V22/INDEX('Cadastro Talhão'!G:G,MATCH(1,('Cadastro Talhão'!B:B=G22)*('Cadastro Talhão'!C:C=H22),0)),"-")</f>
        <v>5.8999999999999997E-2</v>
      </c>
      <c r="AI22" s="31" cm="1">
        <f t="array" ref="AI22">IFERROR(IF(AJ22="EM ANDAMENTO",U22,IF(AJ22="FINALIZADO",INDEX('Cadastro Talhão'!G:G,MATCH(1,('Cadastro Talhão'!B:B=G22)*('Cadastro Talhão'!C:C=H22),0)),"-")),"-")</f>
        <v>590</v>
      </c>
      <c r="AJ22" s="12" t="str" cm="1">
        <f t="array" ref="AJ22">IFERROR(INDEX(Estoque!$A:$Z,MATCH(1,(Estoque!$E:$E='BDT''s'!G22)*(Estoque!$F:$F='BDT''s'!H22)*(Estoque!$B:$B='BDT''s'!B22),0),MATCH('BDT''s'!L22,Estoque!$1:$1,0)+4),"-")</f>
        <v>EM ANDAMENTO</v>
      </c>
    </row>
    <row r="23" spans="1:36" x14ac:dyDescent="0.3">
      <c r="A23" s="12">
        <f t="shared" si="0"/>
        <v>2026</v>
      </c>
      <c r="B23" s="13">
        <f t="shared" si="1"/>
        <v>46023</v>
      </c>
      <c r="C23" s="12" t="str" cm="1">
        <f t="array" ref="C23">IFERROR(IF(INDEX('Cadastro Talhão'!A:A,MATCH(1,('Cadastro Talhão'!B:B='BDT''s'!G23)*('Cadastro Talhão'!C:C='BDT''s'!H23),0))=0,"-",INDEX('Cadastro Talhão'!A:A,MATCH(1,('Cadastro Talhão'!B:B='BDT''s'!G23)*('Cadastro Talhão'!C:C='BDT''s'!H23),0))),"-")</f>
        <v>CONTRATO 1</v>
      </c>
      <c r="D23" s="15" cm="1">
        <f t="array" ref="D23">IFERROR(INDEX('Cadastro Talhão'!H:H,MATCH(1,('Cadastro Talhão'!B:B='BDT''s'!G23)*('Cadastro Talhão'!C:C='BDT''s'!H23),0)),"-")</f>
        <v>1.9</v>
      </c>
      <c r="E23" s="15" cm="1">
        <f t="array" ref="E23">IFERROR(INDEX('Cadastro Talhão'!F:F,MATCH(1,('Cadastro Talhão'!B:B='BDT''s'!G23)*('Cadastro Talhão'!C:C='BDT''s'!H23),0)),"-")</f>
        <v>0.15</v>
      </c>
      <c r="F23" s="12" t="str">
        <f>IFERROR(VLOOKUP(E23,VMI!A:B,2,FALSE),"-")</f>
        <v>0,11 a 0,15</v>
      </c>
      <c r="G23" s="3" t="s">
        <v>145</v>
      </c>
      <c r="H23" s="3">
        <v>15</v>
      </c>
      <c r="I23" s="4">
        <v>46024</v>
      </c>
      <c r="J23" s="3" t="s">
        <v>138</v>
      </c>
      <c r="K23" s="12" t="str">
        <f>IFERROR(VLOOKUP(J23,Cadastros!A:B,2,FALSE),"-")</f>
        <v>GARRA TRAÇADORA 1</v>
      </c>
      <c r="L23" s="12" t="str">
        <f>IFERROR(VLOOKUP(K23,Cadastros!B:D,3,FALSE),"-")</f>
        <v>TRAÇAMENTO</v>
      </c>
      <c r="M23" s="18" cm="1">
        <f t="array" ref="M23">IFERROR(INDEX(VMI!$A:$AAL,MATCH(1,(VMI!$A:$A=E23)*(VMI!$B:$B=F23),0),MATCH(L23,VMI!$1:$1,0)+1)*(AVERAGEIFS('Metas Produção'!I:I,'Metas Produção'!B:B,'BDT''s'!L23)),"-")</f>
        <v>64.881272401433691</v>
      </c>
      <c r="N23" s="3" t="s">
        <v>162</v>
      </c>
      <c r="O23" s="3" t="s">
        <v>158</v>
      </c>
      <c r="P23" s="12">
        <f>IFERROR(COUNTIFS(O:O,O23,N:N,N23,I:I,I23,J:J,J23,C:C,C23),"-")</f>
        <v>1</v>
      </c>
      <c r="Q23" s="15">
        <f>IFERROR(_xlfn.MAXIFS($R$1:R22,$K$1:K22,K23),"-")</f>
        <v>529</v>
      </c>
      <c r="R23" s="19">
        <v>535</v>
      </c>
      <c r="S23" s="15">
        <f t="shared" si="2"/>
        <v>6</v>
      </c>
      <c r="T23" s="15" cm="1">
        <f t="array" ref="T23">IFERROR(U23/INDEX('Cadastro Talhão'!F:F,MATCH(1,('Cadastro Talhão'!B:B='BDT''s'!G23)*('Cadastro Talhão'!C:C='BDT''s'!H23)*('Cadastro Talhão'!A:A='BDT''s'!C23),0)),"-")</f>
        <v>2666.666666666667</v>
      </c>
      <c r="U23" s="44">
        <v>400</v>
      </c>
      <c r="V23" s="33">
        <f>IF(U23="-",0,IFERROR(IF(AJ23="FINALIZADO",AI23/SUMIFS(AG:AG,G:G,G23,H:H,H23,L:L,L23,A:A,A23,B:B,B23)*AG23,U23),U23))</f>
        <v>400</v>
      </c>
      <c r="W23" s="18">
        <f t="shared" si="3"/>
        <v>66.666666666666671</v>
      </c>
      <c r="X23" s="15" cm="1">
        <f t="array" ref="X23">IFERROR(U23/INDEX('Cadastro Talhão'!G:G,MATCH(1,('Cadastro Talhão'!B:B=G23)*('Cadastro Talhão'!C:C=H23),0))*INDEX('Cadastro Talhão'!D:D,MATCH(1,('Cadastro Talhão'!B:B=G23)*('Cadastro Talhão'!C:C=H23),0)),"-")</f>
        <v>0.48</v>
      </c>
      <c r="Y23" s="34" cm="1">
        <f t="array" ref="Y23">IFERROR(V23/INDEX('Cadastro Talhão'!G:G,MATCH(1,('Cadastro Talhão'!B:B=G23)*('Cadastro Talhão'!C:C=H23),0))*INDEX('Cadastro Talhão'!D:D,MATCH(1,('Cadastro Talhão'!B:B=G23)*('Cadastro Talhão'!C:C=H23),0)),"-")</f>
        <v>0.48</v>
      </c>
      <c r="Z23" s="18" cm="1">
        <f t="array" ref="Z23">IFERROR(INDEX('Metas Produção'!$A:$ZZ,MATCH(K23, 'Metas Produção'!$A:$A, 0),MATCH(F23, 'Metas Produção'!$1:$1, 0)+1)*12,"-")</f>
        <v>809.16666666666674</v>
      </c>
      <c r="AA23" s="18">
        <f t="shared" si="4"/>
        <v>67.430555555555557</v>
      </c>
      <c r="AB23" s="18" cm="1">
        <f t="array" ref="AB23">IFERROR(INDEX('Metas Produção'!$A:$ZZ,MATCH(K23, 'Metas Produção'!$A:$A, 0),MATCH(F23, 'Metas Produção'!$1:$1, 0)+2)*12,"-")</f>
        <v>897.94380952380936</v>
      </c>
      <c r="AC23" s="18">
        <f t="shared" si="5"/>
        <v>74.82865079365078</v>
      </c>
      <c r="AD23" s="18" cm="1">
        <f t="array" ref="AD23">IFERROR(INDEX('Metas Produção'!$A:$ZZ,MATCH(K23, 'Metas Produção'!$A:$A, 0),MATCH(F23, 'Metas Produção'!$1:$1, 0)+3)*12,"-")</f>
        <v>900</v>
      </c>
      <c r="AE23" s="18">
        <f t="shared" si="6"/>
        <v>75</v>
      </c>
      <c r="AF23" s="12" t="str">
        <f t="shared" si="7"/>
        <v>BAIXO</v>
      </c>
      <c r="AG23" s="34">
        <f>IFERROR(U23/SUMIFS(U:U,G:G,G23,H:H,H23,L:L,L23,A:A,A23,B:B,B23),0)</f>
        <v>0.19801980198019803</v>
      </c>
      <c r="AH23" s="29" cm="1">
        <f t="array" ref="AH23">IFERROR(V23/INDEX('Cadastro Talhão'!G:G,MATCH(1,('Cadastro Talhão'!B:B=G23)*('Cadastro Talhão'!C:C=H23),0)),"-")</f>
        <v>0.04</v>
      </c>
      <c r="AI23" s="31" cm="1">
        <f t="array" ref="AI23">IFERROR(IF(AJ23="EM ANDAMENTO",U23,IF(AJ23="FINALIZADO",INDEX('Cadastro Talhão'!G:G,MATCH(1,('Cadastro Talhão'!B:B=G23)*('Cadastro Talhão'!C:C=H23),0)),"-")),"-")</f>
        <v>400</v>
      </c>
      <c r="AJ23" s="12" t="str" cm="1">
        <f t="array" ref="AJ23">IFERROR(INDEX(Estoque!$A:$Z,MATCH(1,(Estoque!$E:$E='BDT''s'!G23)*(Estoque!$F:$F='BDT''s'!H23)*(Estoque!$B:$B='BDT''s'!B23),0),MATCH('BDT''s'!L23,Estoque!$1:$1,0)+4),"-")</f>
        <v>EM ANDAMENTO</v>
      </c>
    </row>
    <row r="24" spans="1:36" x14ac:dyDescent="0.3">
      <c r="A24" s="12">
        <f t="shared" si="0"/>
        <v>2026</v>
      </c>
      <c r="B24" s="13">
        <f t="shared" si="1"/>
        <v>46023</v>
      </c>
      <c r="C24" s="12" t="str" cm="1">
        <f t="array" ref="C24">IFERROR(IF(INDEX('Cadastro Talhão'!A:A,MATCH(1,('Cadastro Talhão'!B:B='BDT''s'!G24)*('Cadastro Talhão'!C:C='BDT''s'!H24),0))=0,"-",INDEX('Cadastro Talhão'!A:A,MATCH(1,('Cadastro Talhão'!B:B='BDT''s'!G24)*('Cadastro Talhão'!C:C='BDT''s'!H24),0))),"-")</f>
        <v>CONTRATO 1</v>
      </c>
      <c r="D24" s="15" cm="1">
        <f t="array" ref="D24">IFERROR(INDEX('Cadastro Talhão'!H:H,MATCH(1,('Cadastro Talhão'!B:B='BDT''s'!G24)*('Cadastro Talhão'!C:C='BDT''s'!H24),0)),"-")</f>
        <v>1.9</v>
      </c>
      <c r="E24" s="15" cm="1">
        <f t="array" ref="E24">IFERROR(INDEX('Cadastro Talhão'!F:F,MATCH(1,('Cadastro Talhão'!B:B='BDT''s'!G24)*('Cadastro Talhão'!C:C='BDT''s'!H24),0)),"-")</f>
        <v>0.16</v>
      </c>
      <c r="F24" s="12" t="str">
        <f>IFERROR(VLOOKUP(E24,VMI!A:B,2,FALSE),"-")</f>
        <v>0,16 a 0,20</v>
      </c>
      <c r="G24" s="3" t="s">
        <v>145</v>
      </c>
      <c r="H24" s="3">
        <v>25</v>
      </c>
      <c r="I24" s="4">
        <v>46024</v>
      </c>
      <c r="J24" s="3" t="s">
        <v>139</v>
      </c>
      <c r="K24" s="12" t="str">
        <f>IFERROR(VLOOKUP(J24,Cadastros!A:B,2,FALSE),"-")</f>
        <v>GARRA TRAÇADORA 2</v>
      </c>
      <c r="L24" s="12" t="str">
        <f>IFERROR(VLOOKUP(K24,Cadastros!B:D,3,FALSE),"-")</f>
        <v>TRAÇAMENTO</v>
      </c>
      <c r="M24" s="18" cm="1">
        <f t="array" ref="M24">IFERROR(INDEX(VMI!$A:$AAL,MATCH(1,(VMI!$A:$A=E24)*(VMI!$B:$B=F24),0),MATCH(L24,VMI!$1:$1,0)+1)*(AVERAGEIFS('Metas Produção'!I:I,'Metas Produção'!B:B,'BDT''s'!L24)),"-")</f>
        <v>82.751428571428562</v>
      </c>
      <c r="N24" s="3" t="s">
        <v>163</v>
      </c>
      <c r="O24" s="3" t="s">
        <v>157</v>
      </c>
      <c r="P24" s="12">
        <f>IFERROR(COUNTIFS(O:O,O24,N:N,N24,I:I,I24,J:J,J24,C:C,C24),"-")</f>
        <v>1</v>
      </c>
      <c r="Q24" s="15">
        <f>IFERROR(_xlfn.MAXIFS($R$1:R23,$K$1:K23,K24),"-")</f>
        <v>715</v>
      </c>
      <c r="R24" s="19">
        <v>720</v>
      </c>
      <c r="S24" s="15">
        <f t="shared" ref="S24:S25" si="32">IFERROR(IF(R24="-",0,IF(R24-Q24&lt;0,"-",R24-Q24)),"-")</f>
        <v>5</v>
      </c>
      <c r="T24" s="15" cm="1">
        <f t="array" ref="T24">IFERROR(U24/INDEX('Cadastro Talhão'!F:F,MATCH(1,('Cadastro Talhão'!B:B='BDT''s'!G24)*('Cadastro Talhão'!C:C='BDT''s'!H24)*('Cadastro Talhão'!A:A='BDT''s'!C24),0)),"-")</f>
        <v>3000</v>
      </c>
      <c r="U24" s="44">
        <v>480</v>
      </c>
      <c r="V24" s="33">
        <f>IF(U24="-",0,IFERROR(IF(AJ24="FINALIZADO",AI24/SUMIFS(AG:AG,G:G,G24,H:H,H24,L:L,L24,A:A,A24,B:B,B24)*AG24,U24),U24))</f>
        <v>480</v>
      </c>
      <c r="W24" s="18">
        <f t="shared" si="3"/>
        <v>96</v>
      </c>
      <c r="X24" s="15" cm="1">
        <f t="array" ref="X24">IFERROR(U24/INDEX('Cadastro Talhão'!G:G,MATCH(1,('Cadastro Talhão'!B:B=G24)*('Cadastro Talhão'!C:C=H24),0))*INDEX('Cadastro Talhão'!D:D,MATCH(1,('Cadastro Talhão'!B:B=G24)*('Cadastro Talhão'!C:C=H24),0)),"-")</f>
        <v>0.36923076923076925</v>
      </c>
      <c r="Y24" s="34" cm="1">
        <f t="array" ref="Y24">IFERROR(V24/INDEX('Cadastro Talhão'!G:G,MATCH(1,('Cadastro Talhão'!B:B=G24)*('Cadastro Talhão'!C:C=H24),0))*INDEX('Cadastro Talhão'!D:D,MATCH(1,('Cadastro Talhão'!B:B=G24)*('Cadastro Talhão'!C:C=H24),0)),"-")</f>
        <v>0.36923076923076925</v>
      </c>
      <c r="Z24" s="18" cm="1">
        <f t="array" ref="Z24">IFERROR(INDEX('Metas Produção'!$A:$ZZ,MATCH(K24, 'Metas Produção'!$A:$A, 0),MATCH(F24, 'Metas Produção'!$1:$1, 0)+1)*12,"-")</f>
        <v>954</v>
      </c>
      <c r="AA24" s="18">
        <f t="shared" si="4"/>
        <v>79.5</v>
      </c>
      <c r="AB24" s="18" cm="1">
        <f t="array" ref="AB24">IFERROR(INDEX('Metas Produção'!$A:$ZZ,MATCH(K24, 'Metas Produção'!$A:$A, 0),MATCH(F24, 'Metas Produção'!$1:$1, 0)+2)*12,"-")</f>
        <v>978.6193548387098</v>
      </c>
      <c r="AC24" s="18">
        <f t="shared" si="5"/>
        <v>81.551612903225816</v>
      </c>
      <c r="AD24" s="18" cm="1">
        <f t="array" ref="AD24">IFERROR(INDEX('Metas Produção'!$A:$ZZ,MATCH(K24, 'Metas Produção'!$A:$A, 0),MATCH(F24, 'Metas Produção'!$1:$1, 0)+3)*12,"-")</f>
        <v>1152</v>
      </c>
      <c r="AE24" s="18">
        <f t="shared" si="6"/>
        <v>96</v>
      </c>
      <c r="AF24" s="12" t="str">
        <f t="shared" si="7"/>
        <v>ALTO</v>
      </c>
      <c r="AG24" s="34">
        <f>IFERROR(U24/SUMIFS(U:U,G:G,G24,H:H,H24,L:L,L24,A:A,A24,B:B,B24),0)</f>
        <v>0.24615384615384617</v>
      </c>
      <c r="AH24" s="29" cm="1">
        <f t="array" ref="AH24">IFERROR(V24/INDEX('Cadastro Talhão'!G:G,MATCH(1,('Cadastro Talhão'!B:B=G24)*('Cadastro Talhão'!C:C=H24),0)),"-")</f>
        <v>3.6923076923076927E-2</v>
      </c>
      <c r="AI24" s="31" cm="1">
        <f t="array" ref="AI24">IFERROR(IF(AJ24="EM ANDAMENTO",U24,IF(AJ24="FINALIZADO",INDEX('Cadastro Talhão'!G:G,MATCH(1,('Cadastro Talhão'!B:B=G24)*('Cadastro Talhão'!C:C=H24),0)),"-")),"-")</f>
        <v>480</v>
      </c>
      <c r="AJ24" s="12" t="str" cm="1">
        <f t="array" ref="AJ24">IFERROR(INDEX(Estoque!$A:$Z,MATCH(1,(Estoque!$E:$E='BDT''s'!G24)*(Estoque!$F:$F='BDT''s'!H24)*(Estoque!$B:$B='BDT''s'!B24),0),MATCH('BDT''s'!L24,Estoque!$1:$1,0)+4),"-")</f>
        <v>EM ANDAMENTO</v>
      </c>
    </row>
    <row r="25" spans="1:36" x14ac:dyDescent="0.3">
      <c r="A25" s="12">
        <f t="shared" si="0"/>
        <v>2026</v>
      </c>
      <c r="B25" s="13">
        <f t="shared" si="1"/>
        <v>46023</v>
      </c>
      <c r="C25" s="12" t="str" cm="1">
        <f t="array" ref="C25">IFERROR(IF(INDEX('Cadastro Talhão'!A:A,MATCH(1,('Cadastro Talhão'!B:B='BDT''s'!G25)*('Cadastro Talhão'!C:C='BDT''s'!H25),0))=0,"-",INDEX('Cadastro Talhão'!A:A,MATCH(1,('Cadastro Talhão'!B:B='BDT''s'!G25)*('Cadastro Talhão'!C:C='BDT''s'!H25),0))),"-")</f>
        <v>CONTRATO 1</v>
      </c>
      <c r="D25" s="15" cm="1">
        <f t="array" ref="D25">IFERROR(INDEX('Cadastro Talhão'!H:H,MATCH(1,('Cadastro Talhão'!B:B='BDT''s'!G25)*('Cadastro Talhão'!C:C='BDT''s'!H25),0)),"-")</f>
        <v>1.9</v>
      </c>
      <c r="E25" s="15" cm="1">
        <f t="array" ref="E25">IFERROR(INDEX('Cadastro Talhão'!F:F,MATCH(1,('Cadastro Talhão'!B:B='BDT''s'!G25)*('Cadastro Talhão'!C:C='BDT''s'!H25),0)),"-")</f>
        <v>0.16</v>
      </c>
      <c r="F25" s="12" t="str">
        <f>IFERROR(VLOOKUP(E25,VMI!A:B,2,FALSE),"-")</f>
        <v>0,16 a 0,20</v>
      </c>
      <c r="G25" s="3" t="s">
        <v>145</v>
      </c>
      <c r="H25" s="3">
        <v>25</v>
      </c>
      <c r="I25" s="4">
        <v>46024</v>
      </c>
      <c r="J25" s="3" t="s">
        <v>139</v>
      </c>
      <c r="K25" s="12" t="str">
        <f>IFERROR(VLOOKUP(J25,Cadastros!A:B,2,FALSE),"-")</f>
        <v>GARRA TRAÇADORA 2</v>
      </c>
      <c r="L25" s="12" t="str">
        <f>IFERROR(VLOOKUP(K25,Cadastros!B:D,3,FALSE),"-")</f>
        <v>TRAÇAMENTO</v>
      </c>
      <c r="M25" s="18" cm="1">
        <f t="array" ref="M25">IFERROR(INDEX(VMI!$A:$AAL,MATCH(1,(VMI!$A:$A=E25)*(VMI!$B:$B=F25),0),MATCH(L25,VMI!$1:$1,0)+1)*(AVERAGEIFS('Metas Produção'!I:I,'Metas Produção'!B:B,'BDT''s'!L25)),"-")</f>
        <v>82.751428571428562</v>
      </c>
      <c r="N25" s="3" t="s">
        <v>164</v>
      </c>
      <c r="O25" s="3" t="s">
        <v>158</v>
      </c>
      <c r="P25" s="12">
        <f>IFERROR(COUNTIFS(O:O,O25,N:N,N25,I:I,I25,J:J,J25,C:C,C25),"-")</f>
        <v>1</v>
      </c>
      <c r="Q25" s="15">
        <f>IFERROR(_xlfn.MAXIFS($R$1:R24,$K$1:K24,K25),"-")</f>
        <v>720</v>
      </c>
      <c r="R25" s="19">
        <v>725</v>
      </c>
      <c r="S25" s="15">
        <f t="shared" si="32"/>
        <v>5</v>
      </c>
      <c r="T25" s="15" cm="1">
        <f t="array" ref="T25">IFERROR(U25/INDEX('Cadastro Talhão'!F:F,MATCH(1,('Cadastro Talhão'!B:B='BDT''s'!G25)*('Cadastro Talhão'!C:C='BDT''s'!H25)*('Cadastro Talhão'!A:A='BDT''s'!C25),0)),"-")</f>
        <v>2000</v>
      </c>
      <c r="U25" s="44">
        <v>320</v>
      </c>
      <c r="V25" s="33">
        <f>IF(U25="-",0,IFERROR(IF(AJ25="FINALIZADO",AI25/SUMIFS(AG:AG,G:G,G25,H:H,H25,L:L,L25,A:A,A25,B:B,B25)*AG25,U25),U25))</f>
        <v>320</v>
      </c>
      <c r="W25" s="18">
        <f t="shared" si="3"/>
        <v>64</v>
      </c>
      <c r="X25" s="15" cm="1">
        <f t="array" ref="X25">IFERROR(U25/INDEX('Cadastro Talhão'!G:G,MATCH(1,('Cadastro Talhão'!B:B=G25)*('Cadastro Talhão'!C:C=H25),0))*INDEX('Cadastro Talhão'!D:D,MATCH(1,('Cadastro Talhão'!B:B=G25)*('Cadastro Talhão'!C:C=H25),0)),"-")</f>
        <v>0.24615384615384617</v>
      </c>
      <c r="Y25" s="34" cm="1">
        <f t="array" ref="Y25">IFERROR(V25/INDEX('Cadastro Talhão'!G:G,MATCH(1,('Cadastro Talhão'!B:B=G25)*('Cadastro Talhão'!C:C=H25),0))*INDEX('Cadastro Talhão'!D:D,MATCH(1,('Cadastro Talhão'!B:B=G25)*('Cadastro Talhão'!C:C=H25),0)),"-")</f>
        <v>0.24615384615384617</v>
      </c>
      <c r="Z25" s="18" cm="1">
        <f t="array" ref="Z25">IFERROR(INDEX('Metas Produção'!$A:$ZZ,MATCH(K25, 'Metas Produção'!$A:$A, 0),MATCH(F25, 'Metas Produção'!$1:$1, 0)+1)*12,"-")</f>
        <v>954</v>
      </c>
      <c r="AA25" s="18">
        <f t="shared" si="4"/>
        <v>79.5</v>
      </c>
      <c r="AB25" s="18" cm="1">
        <f t="array" ref="AB25">IFERROR(INDEX('Metas Produção'!$A:$ZZ,MATCH(K25, 'Metas Produção'!$A:$A, 0),MATCH(F25, 'Metas Produção'!$1:$1, 0)+2)*12,"-")</f>
        <v>978.6193548387098</v>
      </c>
      <c r="AC25" s="18">
        <f t="shared" si="5"/>
        <v>81.551612903225816</v>
      </c>
      <c r="AD25" s="18" cm="1">
        <f t="array" ref="AD25">IFERROR(INDEX('Metas Produção'!$A:$ZZ,MATCH(K25, 'Metas Produção'!$A:$A, 0),MATCH(F25, 'Metas Produção'!$1:$1, 0)+3)*12,"-")</f>
        <v>1152</v>
      </c>
      <c r="AE25" s="18">
        <f t="shared" si="6"/>
        <v>96</v>
      </c>
      <c r="AF25" s="12" t="str">
        <f t="shared" si="7"/>
        <v>BAIXO</v>
      </c>
      <c r="AG25" s="34">
        <f>IFERROR(U25/SUMIFS(U:U,G:G,G25,H:H,H25,L:L,L25,A:A,A25,B:B,B25),0)</f>
        <v>0.1641025641025641</v>
      </c>
      <c r="AH25" s="29" cm="1">
        <f t="array" ref="AH25">IFERROR(V25/INDEX('Cadastro Talhão'!G:G,MATCH(1,('Cadastro Talhão'!B:B=G25)*('Cadastro Talhão'!C:C=H25),0)),"-")</f>
        <v>2.4615384615384615E-2</v>
      </c>
      <c r="AI25" s="31" cm="1">
        <f t="array" ref="AI25">IFERROR(IF(AJ25="EM ANDAMENTO",U25,IF(AJ25="FINALIZADO",INDEX('Cadastro Talhão'!G:G,MATCH(1,('Cadastro Talhão'!B:B=G25)*('Cadastro Talhão'!C:C=H25),0)),"-")),"-")</f>
        <v>320</v>
      </c>
      <c r="AJ25" s="12" t="str" cm="1">
        <f t="array" ref="AJ25">IFERROR(INDEX(Estoque!$A:$Z,MATCH(1,(Estoque!$E:$E='BDT''s'!G25)*(Estoque!$F:$F='BDT''s'!H25)*(Estoque!$B:$B='BDT''s'!B25),0),MATCH('BDT''s'!L25,Estoque!$1:$1,0)+4),"-")</f>
        <v>EM ANDAMENTO</v>
      </c>
    </row>
  </sheetData>
  <autoFilter ref="A1:AJ25" xr:uid="{00000000-0001-0000-0000-000000000000}"/>
  <phoneticPr fontId="2" type="noConversion"/>
  <conditionalFormatting sqref="AF1:AF1048576">
    <cfRule type="cellIs" dxfId="35" priority="1" operator="equal">
      <formula>"ALTO"</formula>
    </cfRule>
    <cfRule type="cellIs" dxfId="34" priority="2" operator="equal">
      <formula>"MEDIO"</formula>
    </cfRule>
    <cfRule type="cellIs" dxfId="33" priority="3" operator="equal">
      <formula>"BAIXO"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CDED-D7E1-4BBC-B117-D79815ECBB60}">
  <dimension ref="A1:Z7"/>
  <sheetViews>
    <sheetView zoomScale="85" zoomScaleNormal="85" workbookViewId="0">
      <pane ySplit="1" topLeftCell="A2" activePane="bottomLeft" state="frozen"/>
      <selection pane="bottomLeft" activeCell="V8" sqref="V8"/>
    </sheetView>
  </sheetViews>
  <sheetFormatPr defaultColWidth="8.88671875" defaultRowHeight="14.4" x14ac:dyDescent="0.3"/>
  <cols>
    <col min="1" max="1" width="8.88671875" style="12"/>
    <col min="2" max="2" width="15.88671875" style="26" customWidth="1"/>
    <col min="3" max="3" width="17.5546875" style="21" customWidth="1"/>
    <col min="4" max="4" width="13.88671875" style="12" customWidth="1"/>
    <col min="5" max="5" width="19.5546875" style="3" customWidth="1"/>
    <col min="6" max="6" width="11.6640625" style="3" customWidth="1"/>
    <col min="7" max="7" width="8.88671875" style="15"/>
    <col min="8" max="8" width="11.88671875" style="34" customWidth="1"/>
    <col min="9" max="9" width="14.88671875" style="15" customWidth="1"/>
    <col min="10" max="10" width="13.44140625" style="15" customWidth="1"/>
    <col min="11" max="11" width="10.6640625" style="15" customWidth="1"/>
    <col min="12" max="12" width="16.5546875" style="3" customWidth="1"/>
    <col min="13" max="13" width="12.33203125" style="32" customWidth="1"/>
    <col min="14" max="14" width="18.33203125" style="15" customWidth="1"/>
    <col min="15" max="15" width="16.33203125" style="15" customWidth="1"/>
    <col min="16" max="16" width="11.6640625" style="15" customWidth="1"/>
    <col min="17" max="17" width="16.5546875" style="3" customWidth="1"/>
    <col min="18" max="18" width="16.5546875" style="32" customWidth="1"/>
    <col min="19" max="19" width="16.33203125" style="15" customWidth="1"/>
    <col min="20" max="20" width="16" style="15" customWidth="1"/>
    <col min="21" max="21" width="15.6640625" style="15" customWidth="1"/>
    <col min="22" max="22" width="16.5546875" style="3" customWidth="1"/>
    <col min="23" max="23" width="8.88671875" style="3"/>
    <col min="24" max="25" width="14.109375" style="27" customWidth="1"/>
    <col min="26" max="26" width="16.88671875" style="27" customWidth="1"/>
    <col min="27" max="16384" width="8.88671875" style="3"/>
  </cols>
  <sheetData>
    <row r="1" spans="1:26" s="1" customFormat="1" ht="36" customHeight="1" x14ac:dyDescent="0.3">
      <c r="A1" s="1" t="s">
        <v>0</v>
      </c>
      <c r="B1" s="25" t="s">
        <v>1</v>
      </c>
      <c r="C1" s="5" t="s">
        <v>87</v>
      </c>
      <c r="D1" s="1" t="s">
        <v>2</v>
      </c>
      <c r="E1" s="1" t="s">
        <v>3</v>
      </c>
      <c r="F1" s="1" t="s">
        <v>4</v>
      </c>
      <c r="G1" s="14" t="s">
        <v>9</v>
      </c>
      <c r="H1" s="14" t="s">
        <v>18</v>
      </c>
      <c r="I1" s="14" t="s">
        <v>89</v>
      </c>
      <c r="J1" s="14" t="s">
        <v>90</v>
      </c>
      <c r="K1" s="14" t="s">
        <v>80</v>
      </c>
      <c r="L1" s="1" t="s">
        <v>73</v>
      </c>
      <c r="M1" s="1" t="s">
        <v>19</v>
      </c>
      <c r="N1" s="14" t="s">
        <v>88</v>
      </c>
      <c r="O1" s="14" t="s">
        <v>81</v>
      </c>
      <c r="P1" s="14" t="s">
        <v>82</v>
      </c>
      <c r="Q1" s="1" t="s">
        <v>74</v>
      </c>
      <c r="R1" s="1" t="s">
        <v>20</v>
      </c>
      <c r="S1" s="14" t="s">
        <v>91</v>
      </c>
      <c r="T1" s="14" t="s">
        <v>92</v>
      </c>
      <c r="U1" s="14" t="s">
        <v>83</v>
      </c>
      <c r="V1" s="1" t="s">
        <v>75</v>
      </c>
      <c r="X1" s="28" t="s">
        <v>84</v>
      </c>
      <c r="Y1" s="28" t="s">
        <v>85</v>
      </c>
      <c r="Z1" s="28" t="s">
        <v>86</v>
      </c>
    </row>
    <row r="2" spans="1:26" x14ac:dyDescent="0.3">
      <c r="A2" s="12">
        <f t="shared" ref="A2" si="0">IFERROR(YEAR(C2),"-")</f>
        <v>2026</v>
      </c>
      <c r="B2" s="26">
        <v>46023</v>
      </c>
      <c r="C2" s="21">
        <f>IFERROR(IF(_xlfn.MINIFS('BDT''s'!I:I,'BDT''s'!G:G,E2,'BDT''s'!H:H,F2,'BDT''s'!B:B,B2)=0,"-",_xlfn.MINIFS('BDT''s'!I:I,'BDT''s'!G:G,E2,'BDT''s'!H:H,F2,'BDT''s'!B:B,B2)),"-")</f>
        <v>46023</v>
      </c>
      <c r="D2" s="12" t="str" cm="1">
        <f t="array" ref="D2">IFERROR(IF(INDEX('Cadastro Talhão'!A:A,MATCH(1,('Cadastro Talhão'!B:B=E2)*('Cadastro Talhão'!C:C=F2),0))=0,"-",INDEX('Cadastro Talhão'!A:A,MATCH(1,('Cadastro Talhão'!B:B=E2)*('Cadastro Talhão'!C:C=F2),0))),"-")</f>
        <v>CONTRATO 1</v>
      </c>
      <c r="E2" s="3" t="s">
        <v>145</v>
      </c>
      <c r="F2" s="3">
        <v>15</v>
      </c>
      <c r="G2" s="15" cm="1">
        <f t="array" ref="G2">IFERROR(INDEX('Cadastro Talhão'!F:F,MATCH(1,('Cadastro Talhão'!B:B=E2)*('Cadastro Talhão'!C:C=F2),0)),"-")</f>
        <v>0.15</v>
      </c>
      <c r="H2" s="34" t="s">
        <v>18</v>
      </c>
      <c r="I2" s="15" cm="1">
        <f t="array" ref="I2">IFERROR(INDEX('Cadastro Talhão'!G:G,MATCH(1,('Cadastro Talhão'!B:B=E2)*('Cadastro Talhão'!C:C=F2),0)),"-")</f>
        <v>10000</v>
      </c>
      <c r="J2" s="15">
        <f>IFERROR(SUMIFS('BDT''s'!V:V,'BDT''s'!G:G,E2,'BDT''s'!H:H,F2,'BDT''s'!L:L,H2,'BDT''s'!B:B,B2,'BDT''s'!A:A,A2,'BDT''s'!C:C,D2),"-")</f>
        <v>2930</v>
      </c>
      <c r="K2" s="15">
        <f>IFERROR(SUMIFS('BDT''s'!S:S,'BDT''s'!G:G,E2,'BDT''s'!H:H,F2,'BDT''s'!L:L,H2,'BDT''s'!B:B,B2,'BDT''s'!A:A,A2,'BDT''s'!C:C,D2),"-")</f>
        <v>35.200000000000045</v>
      </c>
      <c r="L2" s="3" t="s">
        <v>126</v>
      </c>
      <c r="M2" s="32" t="s">
        <v>19</v>
      </c>
      <c r="N2" s="15" cm="1">
        <f t="array" ref="N2">IFERROR(INDEX('Cadastro Talhão'!G:G,MATCH(1,('Cadastro Talhão'!B:B=E2)*('Cadastro Talhão'!C:C=F2),0)),"-")</f>
        <v>10000</v>
      </c>
      <c r="O2" s="15">
        <f>IFERROR(SUMIFS('BDT''s'!V:V,'BDT''s'!G:G,E2,'BDT''s'!H:H,F2,'BDT''s'!L:L,M2,'BDT''s'!B:B,B2,'BDT''s'!A:A,A2,'BDT''s'!C:C,D2),"-")</f>
        <v>2510</v>
      </c>
      <c r="P2" s="15">
        <f>IFERROR(SUMIFS('BDT''s'!S:S,'BDT''s'!G:G,E2,'BDT''s'!H:H,F2,'BDT''s'!L:L,M2,'BDT''s'!B:B,B2,'BDT''s'!A:A,A2,'BDT''s'!C:C,D2),"-")</f>
        <v>23</v>
      </c>
      <c r="Q2" s="3" t="s">
        <v>126</v>
      </c>
      <c r="R2" s="32" t="s">
        <v>20</v>
      </c>
      <c r="S2" s="15" cm="1">
        <f t="array" ref="S2">IFERROR(INDEX('Cadastro Talhão'!G:G,MATCH(1,('Cadastro Talhão'!B:B=E2)*('Cadastro Talhão'!C:C=F2),0)),"-")</f>
        <v>10000</v>
      </c>
      <c r="T2" s="15">
        <f>IFERROR(SUMIFS('BDT''s'!V:V,'BDT''s'!G:G,E2,'BDT''s'!H:H,F2,'BDT''s'!L:L,R2,'BDT''s'!B:B,B2,'BDT''s'!A:A,A2,'BDT''s'!C:C,D2),"-")</f>
        <v>2020</v>
      </c>
      <c r="U2" s="15">
        <f>IFERROR(SUMIFS('BDT''s'!S:S,'BDT''s'!G:G,E2,'BDT''s'!H:H,F2,'BDT''s'!L:L,R2,'BDT''s'!B:B,B2,'BDT''s'!A:A,A2,'BDT''s'!C:C,D2),"-")</f>
        <v>35</v>
      </c>
      <c r="V2" s="3" t="s">
        <v>126</v>
      </c>
      <c r="X2" s="27">
        <f t="shared" ref="X2" si="1">IFERROR(J2/I2,0)</f>
        <v>0.29299999999999998</v>
      </c>
      <c r="Y2" s="27">
        <f t="shared" ref="Y2" si="2">IFERROR(O2/N2,0)</f>
        <v>0.251</v>
      </c>
      <c r="Z2" s="27">
        <f t="shared" ref="Z2" si="3">IFERROR(T2/S2,0)</f>
        <v>0.20200000000000001</v>
      </c>
    </row>
    <row r="3" spans="1:26" x14ac:dyDescent="0.3">
      <c r="A3" s="12">
        <f t="shared" ref="A3:A6" si="4">IFERROR(YEAR(C3),"-")</f>
        <v>2026</v>
      </c>
      <c r="B3" s="26">
        <v>46023</v>
      </c>
      <c r="C3" s="21">
        <f>IFERROR(IF(_xlfn.MINIFS('BDT''s'!I:I,'BDT''s'!G:G,E3,'BDT''s'!H:H,F3,'BDT''s'!B:B,B3)=0,"-",_xlfn.MINIFS('BDT''s'!I:I,'BDT''s'!G:G,E3,'BDT''s'!H:H,F3,'BDT''s'!B:B,B3)),"-")</f>
        <v>46023</v>
      </c>
      <c r="D3" s="12" t="str" cm="1">
        <f t="array" ref="D3">IFERROR(IF(INDEX('Cadastro Talhão'!A:A,MATCH(1,('Cadastro Talhão'!B:B=E3)*('Cadastro Talhão'!C:C=F3),0))=0,"-",INDEX('Cadastro Talhão'!A:A,MATCH(1,('Cadastro Talhão'!B:B=E3)*('Cadastro Talhão'!C:C=F3),0))),"-")</f>
        <v>CONTRATO 1</v>
      </c>
      <c r="E3" s="3" t="s">
        <v>145</v>
      </c>
      <c r="F3" s="3">
        <v>25</v>
      </c>
      <c r="G3" s="15" cm="1">
        <f t="array" ref="G3">IFERROR(INDEX('Cadastro Talhão'!F:F,MATCH(1,('Cadastro Talhão'!B:B=E3)*('Cadastro Talhão'!C:C=F3),0)),"-")</f>
        <v>0.16</v>
      </c>
      <c r="H3" s="34" t="s">
        <v>18</v>
      </c>
      <c r="I3" s="15" cm="1">
        <f t="array" ref="I3">IFERROR(INDEX('Cadastro Talhão'!G:G,MATCH(1,('Cadastro Talhão'!B:B=E3)*('Cadastro Talhão'!C:C=F3),0)),"-")</f>
        <v>13000</v>
      </c>
      <c r="J3" s="15">
        <f>IFERROR(SUMIFS('BDT''s'!V:V,'BDT''s'!G:G,E3,'BDT''s'!H:H,F3,'BDT''s'!L:L,H3,'BDT''s'!B:B,B3,'BDT''s'!A:A,A3,'BDT''s'!C:C,D3),"-")</f>
        <v>4900</v>
      </c>
      <c r="K3" s="15">
        <f>IFERROR(SUMIFS('BDT''s'!S:S,'BDT''s'!G:G,E3,'BDT''s'!H:H,F3,'BDT''s'!L:L,H3,'BDT''s'!B:B,B3,'BDT''s'!A:A,A3,'BDT''s'!C:C,D3),"-")</f>
        <v>40</v>
      </c>
      <c r="L3" s="3" t="s">
        <v>126</v>
      </c>
      <c r="M3" s="32" t="s">
        <v>19</v>
      </c>
      <c r="N3" s="15" cm="1">
        <f t="array" ref="N3">IFERROR(INDEX('Cadastro Talhão'!G:G,MATCH(1,('Cadastro Talhão'!B:B=E3)*('Cadastro Talhão'!C:C=F3),0)),"-")</f>
        <v>13000</v>
      </c>
      <c r="O3" s="15">
        <f>IFERROR(SUMIFS('BDT''s'!V:V,'BDT''s'!G:G,E3,'BDT''s'!H:H,F3,'BDT''s'!L:L,M3,'BDT''s'!B:B,B3,'BDT''s'!A:A,A3,'BDT''s'!C:C,D3),"-")</f>
        <v>3020</v>
      </c>
      <c r="P3" s="15">
        <f>IFERROR(SUMIFS('BDT''s'!S:S,'BDT''s'!G:G,E3,'BDT''s'!H:H,F3,'BDT''s'!L:L,M3,'BDT''s'!B:B,B3,'BDT''s'!A:A,A3,'BDT''s'!C:C,D3),"-")</f>
        <v>35</v>
      </c>
      <c r="Q3" s="3" t="s">
        <v>126</v>
      </c>
      <c r="R3" s="32" t="s">
        <v>20</v>
      </c>
      <c r="S3" s="15" cm="1">
        <f t="array" ref="S3">IFERROR(INDEX('Cadastro Talhão'!G:G,MATCH(1,('Cadastro Talhão'!B:B=E3)*('Cadastro Talhão'!C:C=F3),0)),"-")</f>
        <v>13000</v>
      </c>
      <c r="T3" s="15">
        <f>IFERROR(SUMIFS('BDT''s'!V:V,'BDT''s'!G:G,E3,'BDT''s'!H:H,F3,'BDT''s'!L:L,R3,'BDT''s'!B:B,B3,'BDT''s'!A:A,A3,'BDT''s'!C:C,D3),"-")</f>
        <v>1950</v>
      </c>
      <c r="U3" s="15">
        <f>IFERROR(SUMIFS('BDT''s'!S:S,'BDT''s'!G:G,E3,'BDT''s'!H:H,F3,'BDT''s'!L:L,R3,'BDT''s'!B:B,B3,'BDT''s'!A:A,A3,'BDT''s'!C:C,D3),"-")</f>
        <v>25</v>
      </c>
      <c r="V3" s="3" t="s">
        <v>126</v>
      </c>
      <c r="X3" s="27">
        <f t="shared" ref="X3:X6" si="5">IFERROR(J3/I3,0)</f>
        <v>0.37692307692307692</v>
      </c>
      <c r="Y3" s="27">
        <f t="shared" ref="Y3:Y6" si="6">IFERROR(O3/N3,0)</f>
        <v>0.2323076923076923</v>
      </c>
      <c r="Z3" s="27">
        <f t="shared" ref="Z3:Z6" si="7">IFERROR(T3/S3,0)</f>
        <v>0.15</v>
      </c>
    </row>
    <row r="4" spans="1:26" x14ac:dyDescent="0.3">
      <c r="A4" s="12" t="str">
        <f t="shared" ref="A4" si="8">IFERROR(YEAR(C4),"-")</f>
        <v>-</v>
      </c>
      <c r="B4" s="26">
        <v>46023</v>
      </c>
      <c r="C4" s="21" t="str">
        <f>IFERROR(IF(_xlfn.MINIFS('BDT''s'!I:I,'BDT''s'!G:G,E4,'BDT''s'!H:H,F4,'BDT''s'!B:B,B4)=0,"-",_xlfn.MINIFS('BDT''s'!I:I,'BDT''s'!G:G,E4,'BDT''s'!H:H,F4,'BDT''s'!B:B,B4)),"-")</f>
        <v>-</v>
      </c>
      <c r="D4" s="12" t="str" cm="1">
        <f t="array" ref="D4">IFERROR(IF(INDEX('Cadastro Talhão'!A:A,MATCH(1,('Cadastro Talhão'!B:B=E4)*('Cadastro Talhão'!C:C=F4),0))=0,"-",INDEX('Cadastro Talhão'!A:A,MATCH(1,('Cadastro Talhão'!B:B=E4)*('Cadastro Talhão'!C:C=F4),0))),"-")</f>
        <v>CONTRATO 2</v>
      </c>
      <c r="E4" s="3" t="s">
        <v>146</v>
      </c>
      <c r="F4" s="3" t="s">
        <v>148</v>
      </c>
      <c r="G4" s="15" cm="1">
        <f t="array" ref="G4">IFERROR(INDEX('Cadastro Talhão'!F:F,MATCH(1,('Cadastro Talhão'!B:B=E4)*('Cadastro Talhão'!C:C=F4),0)),"-")</f>
        <v>0.1</v>
      </c>
      <c r="H4" s="34" t="s">
        <v>18</v>
      </c>
      <c r="I4" s="15" cm="1">
        <f t="array" ref="I4">IFERROR(INDEX('Cadastro Talhão'!G:G,MATCH(1,('Cadastro Talhão'!B:B=E4)*('Cadastro Talhão'!C:C=F4),0)),"-")</f>
        <v>6000</v>
      </c>
      <c r="J4" s="15">
        <f>IFERROR(SUMIFS('BDT''s'!V:V,'BDT''s'!G:G,E4,'BDT''s'!H:H,F4,'BDT''s'!L:L,H4,'BDT''s'!B:B,B4,'BDT''s'!A:A,A4,'BDT''s'!C:C,D4),"-")</f>
        <v>0</v>
      </c>
      <c r="K4" s="15">
        <f>IFERROR(SUMIFS('BDT''s'!S:S,'BDT''s'!G:G,E4,'BDT''s'!H:H,F4,'BDT''s'!L:L,H4,'BDT''s'!B:B,B4,'BDT''s'!A:A,A4,'BDT''s'!C:C,D4),"-")</f>
        <v>0</v>
      </c>
      <c r="L4" s="3" t="s">
        <v>126</v>
      </c>
      <c r="M4" s="32" t="s">
        <v>19</v>
      </c>
      <c r="N4" s="15" cm="1">
        <f t="array" ref="N4">IFERROR(INDEX('Cadastro Talhão'!G:G,MATCH(1,('Cadastro Talhão'!B:B=E4)*('Cadastro Talhão'!C:C=F4),0)),"-")</f>
        <v>6000</v>
      </c>
      <c r="O4" s="15">
        <f>IFERROR(SUMIFS('BDT''s'!V:V,'BDT''s'!G:G,E4,'BDT''s'!H:H,F4,'BDT''s'!L:L,M4,'BDT''s'!B:B,B4,'BDT''s'!A:A,A4,'BDT''s'!C:C,D4),"-")</f>
        <v>0</v>
      </c>
      <c r="P4" s="15">
        <f>IFERROR(SUMIFS('BDT''s'!S:S,'BDT''s'!G:G,E4,'BDT''s'!H:H,F4,'BDT''s'!L:L,M4,'BDT''s'!B:B,B4,'BDT''s'!A:A,A4,'BDT''s'!C:C,D4),"-")</f>
        <v>0</v>
      </c>
      <c r="Q4" s="3" t="s">
        <v>126</v>
      </c>
      <c r="R4" s="32" t="s">
        <v>20</v>
      </c>
      <c r="S4" s="15" cm="1">
        <f t="array" ref="S4">IFERROR(INDEX('Cadastro Talhão'!G:G,MATCH(1,('Cadastro Talhão'!B:B=E4)*('Cadastro Talhão'!C:C=F4),0)),"-")</f>
        <v>6000</v>
      </c>
      <c r="T4" s="15">
        <f>IFERROR(SUMIFS('BDT''s'!V:V,'BDT''s'!G:G,E4,'BDT''s'!H:H,F4,'BDT''s'!L:L,R4,'BDT''s'!B:B,B4,'BDT''s'!A:A,A4,'BDT''s'!C:C,D4),"-")</f>
        <v>0</v>
      </c>
      <c r="U4" s="15">
        <f>IFERROR(SUMIFS('BDT''s'!S:S,'BDT''s'!G:G,E4,'BDT''s'!H:H,F4,'BDT''s'!L:L,R4,'BDT''s'!B:B,B4,'BDT''s'!A:A,A4,'BDT''s'!C:C,D4),"-")</f>
        <v>0</v>
      </c>
      <c r="V4" s="3" t="s">
        <v>126</v>
      </c>
      <c r="X4" s="27">
        <f t="shared" ref="X4" si="9">IFERROR(J4/I4,0)</f>
        <v>0</v>
      </c>
      <c r="Y4" s="27">
        <f t="shared" ref="Y4" si="10">IFERROR(O4/N4,0)</f>
        <v>0</v>
      </c>
      <c r="Z4" s="27">
        <f t="shared" ref="Z4" si="11">IFERROR(T4/S4,0)</f>
        <v>0</v>
      </c>
    </row>
    <row r="5" spans="1:26" x14ac:dyDescent="0.3">
      <c r="A5" s="12" t="str">
        <f t="shared" si="4"/>
        <v>-</v>
      </c>
      <c r="B5" s="26">
        <v>46023</v>
      </c>
      <c r="C5" s="21" t="str">
        <f>IFERROR(IF(_xlfn.MINIFS('BDT''s'!I:I,'BDT''s'!G:G,E5,'BDT''s'!H:H,F5,'BDT''s'!B:B,B5)=0,"-",_xlfn.MINIFS('BDT''s'!I:I,'BDT''s'!G:G,E5,'BDT''s'!H:H,F5,'BDT''s'!B:B,B5)),"-")</f>
        <v>-</v>
      </c>
      <c r="D5" s="12" t="str" cm="1">
        <f t="array" ref="D5">IFERROR(IF(INDEX('Cadastro Talhão'!A:A,MATCH(1,('Cadastro Talhão'!B:B=E5)*('Cadastro Talhão'!C:C=F5),0))=0,"-",INDEX('Cadastro Talhão'!A:A,MATCH(1,('Cadastro Talhão'!B:B=E5)*('Cadastro Talhão'!C:C=F5),0))),"-")</f>
        <v>CONTRATO 2</v>
      </c>
      <c r="E5" s="3" t="s">
        <v>146</v>
      </c>
      <c r="F5" s="3" t="s">
        <v>149</v>
      </c>
      <c r="G5" s="15" cm="1">
        <f t="array" ref="G5">IFERROR(INDEX('Cadastro Talhão'!F:F,MATCH(1,('Cadastro Talhão'!B:B=E5)*('Cadastro Talhão'!C:C=F5),0)),"-")</f>
        <v>0.11</v>
      </c>
      <c r="H5" s="34" t="s">
        <v>18</v>
      </c>
      <c r="I5" s="15" cm="1">
        <f t="array" ref="I5">IFERROR(INDEX('Cadastro Talhão'!G:G,MATCH(1,('Cadastro Talhão'!B:B=E5)*('Cadastro Talhão'!C:C=F5),0)),"-")</f>
        <v>8500</v>
      </c>
      <c r="J5" s="15">
        <f>IFERROR(SUMIFS('BDT''s'!V:V,'BDT''s'!G:G,E5,'BDT''s'!H:H,F5,'BDT''s'!L:L,H5,'BDT''s'!B:B,B5,'BDT''s'!A:A,A5,'BDT''s'!C:C,D5),"-")</f>
        <v>0</v>
      </c>
      <c r="K5" s="15">
        <f>IFERROR(SUMIFS('BDT''s'!S:S,'BDT''s'!G:G,E5,'BDT''s'!H:H,F5,'BDT''s'!L:L,H5,'BDT''s'!B:B,B5,'BDT''s'!A:A,A5,'BDT''s'!C:C,D5),"-")</f>
        <v>0</v>
      </c>
      <c r="L5" s="3" t="s">
        <v>126</v>
      </c>
      <c r="M5" s="32" t="s">
        <v>19</v>
      </c>
      <c r="N5" s="15" cm="1">
        <f t="array" ref="N5">IFERROR(INDEX('Cadastro Talhão'!G:G,MATCH(1,('Cadastro Talhão'!B:B=E5)*('Cadastro Talhão'!C:C=F5),0)),"-")</f>
        <v>8500</v>
      </c>
      <c r="O5" s="15">
        <f>IFERROR(SUMIFS('BDT''s'!V:V,'BDT''s'!G:G,E5,'BDT''s'!H:H,F5,'BDT''s'!L:L,M5,'BDT''s'!B:B,B5,'BDT''s'!A:A,A5,'BDT''s'!C:C,D5),"-")</f>
        <v>0</v>
      </c>
      <c r="P5" s="15">
        <f>IFERROR(SUMIFS('BDT''s'!S:S,'BDT''s'!G:G,E5,'BDT''s'!H:H,F5,'BDT''s'!L:L,M5,'BDT''s'!B:B,B5,'BDT''s'!A:A,A5,'BDT''s'!C:C,D5),"-")</f>
        <v>0</v>
      </c>
      <c r="Q5" s="3" t="s">
        <v>126</v>
      </c>
      <c r="R5" s="32" t="s">
        <v>20</v>
      </c>
      <c r="S5" s="15" cm="1">
        <f t="array" ref="S5">IFERROR(INDEX('Cadastro Talhão'!G:G,MATCH(1,('Cadastro Talhão'!B:B=E5)*('Cadastro Talhão'!C:C=F5),0)),"-")</f>
        <v>8500</v>
      </c>
      <c r="T5" s="15">
        <f>IFERROR(SUMIFS('BDT''s'!V:V,'BDT''s'!G:G,E5,'BDT''s'!H:H,F5,'BDT''s'!L:L,R5,'BDT''s'!B:B,B5,'BDT''s'!A:A,A5,'BDT''s'!C:C,D5),"-")</f>
        <v>0</v>
      </c>
      <c r="U5" s="15">
        <f>IFERROR(SUMIFS('BDT''s'!S:S,'BDT''s'!G:G,E5,'BDT''s'!H:H,F5,'BDT''s'!L:L,R5,'BDT''s'!B:B,B5,'BDT''s'!A:A,A5,'BDT''s'!C:C,D5),"-")</f>
        <v>0</v>
      </c>
      <c r="V5" s="3" t="s">
        <v>126</v>
      </c>
      <c r="X5" s="27">
        <f t="shared" si="5"/>
        <v>0</v>
      </c>
      <c r="Y5" s="27">
        <f t="shared" si="6"/>
        <v>0</v>
      </c>
      <c r="Z5" s="27">
        <f t="shared" si="7"/>
        <v>0</v>
      </c>
    </row>
    <row r="6" spans="1:26" x14ac:dyDescent="0.3">
      <c r="A6" s="12" t="str">
        <f t="shared" si="4"/>
        <v>-</v>
      </c>
      <c r="B6" s="26">
        <v>46023</v>
      </c>
      <c r="C6" s="21" t="str">
        <f>IFERROR(IF(_xlfn.MINIFS('BDT''s'!I:I,'BDT''s'!G:G,E6,'BDT''s'!H:H,F6,'BDT''s'!B:B,B6)=0,"-",_xlfn.MINIFS('BDT''s'!I:I,'BDT''s'!G:G,E6,'BDT''s'!H:H,F6,'BDT''s'!B:B,B6)),"-")</f>
        <v>-</v>
      </c>
      <c r="D6" s="12" t="str" cm="1">
        <f t="array" ref="D6">IFERROR(IF(INDEX('Cadastro Talhão'!A:A,MATCH(1,('Cadastro Talhão'!B:B=E6)*('Cadastro Talhão'!C:C=F6),0))=0,"-",INDEX('Cadastro Talhão'!A:A,MATCH(1,('Cadastro Talhão'!B:B=E6)*('Cadastro Talhão'!C:C=F6),0))),"-")</f>
        <v>CONTRATO 3</v>
      </c>
      <c r="E6" s="3" t="s">
        <v>147</v>
      </c>
      <c r="F6" s="3" t="s">
        <v>72</v>
      </c>
      <c r="G6" s="15" cm="1">
        <f t="array" ref="G6">IFERROR(INDEX('Cadastro Talhão'!F:F,MATCH(1,('Cadastro Talhão'!B:B=E6)*('Cadastro Talhão'!C:C=F6),0)),"-")</f>
        <v>0.16</v>
      </c>
      <c r="H6" s="34" t="s">
        <v>18</v>
      </c>
      <c r="I6" s="15" cm="1">
        <f t="array" ref="I6">IFERROR(INDEX('Cadastro Talhão'!G:G,MATCH(1,('Cadastro Talhão'!B:B=E6)*('Cadastro Talhão'!C:C=F6),0)),"-")</f>
        <v>15000</v>
      </c>
      <c r="J6" s="15">
        <f>IFERROR(SUMIFS('BDT''s'!V:V,'BDT''s'!G:G,E6,'BDT''s'!H:H,F6,'BDT''s'!L:L,H6,'BDT''s'!B:B,B6,'BDT''s'!A:A,A6,'BDT''s'!C:C,D6),"-")</f>
        <v>0</v>
      </c>
      <c r="K6" s="15">
        <f>IFERROR(SUMIFS('BDT''s'!S:S,'BDT''s'!G:G,E6,'BDT''s'!H:H,F6,'BDT''s'!L:L,H6,'BDT''s'!B:B,B6,'BDT''s'!A:A,A6,'BDT''s'!C:C,D6),"-")</f>
        <v>0</v>
      </c>
      <c r="L6" s="3" t="s">
        <v>126</v>
      </c>
      <c r="M6" s="32" t="s">
        <v>19</v>
      </c>
      <c r="N6" s="15" cm="1">
        <f t="array" ref="N6">IFERROR(INDEX('Cadastro Talhão'!G:G,MATCH(1,('Cadastro Talhão'!B:B=E6)*('Cadastro Talhão'!C:C=F6),0)),"-")</f>
        <v>15000</v>
      </c>
      <c r="O6" s="15">
        <f>IFERROR(SUMIFS('BDT''s'!V:V,'BDT''s'!G:G,E6,'BDT''s'!H:H,F6,'BDT''s'!L:L,M6,'BDT''s'!B:B,B6,'BDT''s'!A:A,A6,'BDT''s'!C:C,D6),"-")</f>
        <v>0</v>
      </c>
      <c r="P6" s="15">
        <f>IFERROR(SUMIFS('BDT''s'!S:S,'BDT''s'!G:G,E6,'BDT''s'!H:H,F6,'BDT''s'!L:L,M6,'BDT''s'!B:B,B6,'BDT''s'!A:A,A6,'BDT''s'!C:C,D6),"-")</f>
        <v>0</v>
      </c>
      <c r="Q6" s="3" t="s">
        <v>126</v>
      </c>
      <c r="R6" s="32" t="s">
        <v>20</v>
      </c>
      <c r="S6" s="15" cm="1">
        <f t="array" ref="S6">IFERROR(INDEX('Cadastro Talhão'!G:G,MATCH(1,('Cadastro Talhão'!B:B=E6)*('Cadastro Talhão'!C:C=F6),0)),"-")</f>
        <v>15000</v>
      </c>
      <c r="T6" s="15">
        <f>IFERROR(SUMIFS('BDT''s'!V:V,'BDT''s'!G:G,E6,'BDT''s'!H:H,F6,'BDT''s'!L:L,R6,'BDT''s'!B:B,B6,'BDT''s'!A:A,A6,'BDT''s'!C:C,D6),"-")</f>
        <v>0</v>
      </c>
      <c r="U6" s="15">
        <f>IFERROR(SUMIFS('BDT''s'!S:S,'BDT''s'!G:G,E6,'BDT''s'!H:H,F6,'BDT''s'!L:L,R6,'BDT''s'!B:B,B6,'BDT''s'!A:A,A6,'BDT''s'!C:C,D6),"-")</f>
        <v>0</v>
      </c>
      <c r="V6" s="3" t="s">
        <v>126</v>
      </c>
      <c r="X6" s="27">
        <f t="shared" si="5"/>
        <v>0</v>
      </c>
      <c r="Y6" s="27">
        <f t="shared" si="6"/>
        <v>0</v>
      </c>
      <c r="Z6" s="27">
        <f t="shared" si="7"/>
        <v>0</v>
      </c>
    </row>
    <row r="7" spans="1:26" x14ac:dyDescent="0.3">
      <c r="A7" s="12" t="str">
        <f t="shared" ref="A7" si="12">IFERROR(YEAR(C7),"-")</f>
        <v>-</v>
      </c>
      <c r="B7" s="26">
        <v>46023</v>
      </c>
      <c r="C7" s="21" t="str">
        <f>IFERROR(IF(_xlfn.MINIFS('BDT''s'!I:I,'BDT''s'!G:G,E7,'BDT''s'!H:H,F7,'BDT''s'!B:B,B7)=0,"-",_xlfn.MINIFS('BDT''s'!I:I,'BDT''s'!G:G,E7,'BDT''s'!H:H,F7,'BDT''s'!B:B,B7)),"-")</f>
        <v>-</v>
      </c>
      <c r="D7" s="12" t="str" cm="1">
        <f t="array" ref="D7">IFERROR(IF(INDEX('Cadastro Talhão'!A:A,MATCH(1,('Cadastro Talhão'!B:B=E7)*('Cadastro Talhão'!C:C=F7),0))=0,"-",INDEX('Cadastro Talhão'!A:A,MATCH(1,('Cadastro Talhão'!B:B=E7)*('Cadastro Talhão'!C:C=F7),0))),"-")</f>
        <v>CONTRATO 3</v>
      </c>
      <c r="E7" s="3" t="s">
        <v>147</v>
      </c>
      <c r="F7" s="3" t="s">
        <v>150</v>
      </c>
      <c r="G7" s="15" cm="1">
        <f t="array" ref="G7">IFERROR(INDEX('Cadastro Talhão'!F:F,MATCH(1,('Cadastro Talhão'!B:B=E7)*('Cadastro Talhão'!C:C=F7),0)),"-")</f>
        <v>0.14000000000000001</v>
      </c>
      <c r="H7" s="34" t="s">
        <v>18</v>
      </c>
      <c r="I7" s="15" cm="1">
        <f t="array" ref="I7">IFERROR(INDEX('Cadastro Talhão'!G:G,MATCH(1,('Cadastro Talhão'!B:B=E7)*('Cadastro Talhão'!C:C=F7),0)),"-")</f>
        <v>18000</v>
      </c>
      <c r="J7" s="15">
        <f>IFERROR(SUMIFS('BDT''s'!V:V,'BDT''s'!G:G,E7,'BDT''s'!H:H,F7,'BDT''s'!L:L,H7,'BDT''s'!B:B,B7,'BDT''s'!A:A,A7,'BDT''s'!C:C,D7),"-")</f>
        <v>0</v>
      </c>
      <c r="K7" s="15">
        <f>IFERROR(SUMIFS('BDT''s'!S:S,'BDT''s'!G:G,E7,'BDT''s'!H:H,F7,'BDT''s'!L:L,H7,'BDT''s'!B:B,B7,'BDT''s'!A:A,A7,'BDT''s'!C:C,D7),"-")</f>
        <v>0</v>
      </c>
      <c r="L7" s="3" t="s">
        <v>126</v>
      </c>
      <c r="M7" s="32" t="s">
        <v>19</v>
      </c>
      <c r="N7" s="15" cm="1">
        <f t="array" ref="N7">IFERROR(INDEX('Cadastro Talhão'!G:G,MATCH(1,('Cadastro Talhão'!B:B=E7)*('Cadastro Talhão'!C:C=F7),0)),"-")</f>
        <v>18000</v>
      </c>
      <c r="O7" s="15">
        <f>IFERROR(SUMIFS('BDT''s'!V:V,'BDT''s'!G:G,E7,'BDT''s'!H:H,F7,'BDT''s'!L:L,M7,'BDT''s'!B:B,B7,'BDT''s'!A:A,A7,'BDT''s'!C:C,D7),"-")</f>
        <v>0</v>
      </c>
      <c r="P7" s="15">
        <f>IFERROR(SUMIFS('BDT''s'!S:S,'BDT''s'!G:G,E7,'BDT''s'!H:H,F7,'BDT''s'!L:L,M7,'BDT''s'!B:B,B7,'BDT''s'!A:A,A7,'BDT''s'!C:C,D7),"-")</f>
        <v>0</v>
      </c>
      <c r="Q7" s="3" t="s">
        <v>126</v>
      </c>
      <c r="R7" s="32" t="s">
        <v>20</v>
      </c>
      <c r="S7" s="15" cm="1">
        <f t="array" ref="S7">IFERROR(INDEX('Cadastro Talhão'!G:G,MATCH(1,('Cadastro Talhão'!B:B=E7)*('Cadastro Talhão'!C:C=F7),0)),"-")</f>
        <v>18000</v>
      </c>
      <c r="T7" s="15">
        <f>IFERROR(SUMIFS('BDT''s'!V:V,'BDT''s'!G:G,E7,'BDT''s'!H:H,F7,'BDT''s'!L:L,R7,'BDT''s'!B:B,B7,'BDT''s'!A:A,A7,'BDT''s'!C:C,D7),"-")</f>
        <v>0</v>
      </c>
      <c r="U7" s="15">
        <f>IFERROR(SUMIFS('BDT''s'!S:S,'BDT''s'!G:G,E7,'BDT''s'!H:H,F7,'BDT''s'!L:L,R7,'BDT''s'!B:B,B7,'BDT''s'!A:A,A7,'BDT''s'!C:C,D7),"-")</f>
        <v>0</v>
      </c>
      <c r="V7" s="3" t="s">
        <v>126</v>
      </c>
      <c r="X7" s="27">
        <f t="shared" ref="X7" si="13">IFERROR(J7/I7,0)</f>
        <v>0</v>
      </c>
      <c r="Y7" s="27">
        <f t="shared" ref="Y7" si="14">IFERROR(O7/N7,0)</f>
        <v>0</v>
      </c>
      <c r="Z7" s="27">
        <f t="shared" ref="Z7" si="15">IFERROR(T7/S7,0)</f>
        <v>0</v>
      </c>
    </row>
  </sheetData>
  <autoFilter ref="A1:V7" xr:uid="{A072CDED-D7E1-4BBC-B117-D79815ECBB60}"/>
  <sortState xmlns:xlrd2="http://schemas.microsoft.com/office/spreadsheetml/2017/richdata2" ref="A2:V7">
    <sortCondition ref="D2:D7"/>
    <sortCondition ref="E2:E7"/>
    <sortCondition ref="F2:F7"/>
  </sortState>
  <phoneticPr fontId="2" type="noConversion"/>
  <conditionalFormatting sqref="X2:Z1048576">
    <cfRule type="cellIs" dxfId="32" priority="1" operator="greaterThan">
      <formula>100%</formula>
    </cfRule>
    <cfRule type="cellIs" dxfId="31" priority="2" operator="equal">
      <formula>1</formula>
    </cfRule>
    <cfRule type="cellIs" dxfId="30" priority="3" operator="between">
      <formula>1%</formula>
      <formula>99%</formula>
    </cfRule>
    <cfRule type="cellIs" dxfId="29" priority="4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BD10-585B-4A19-9F80-D42FC2567050}">
  <dimension ref="A1:P7"/>
  <sheetViews>
    <sheetView zoomScale="85" zoomScaleNormal="85" workbookViewId="0">
      <pane ySplit="1" topLeftCell="A2" activePane="bottomLeft" state="frozen"/>
      <selection pane="bottomLeft" activeCell="K11" sqref="K11"/>
    </sheetView>
  </sheetViews>
  <sheetFormatPr defaultColWidth="9.109375" defaultRowHeight="14.4" x14ac:dyDescent="0.3"/>
  <cols>
    <col min="1" max="1" width="24.5546875" style="12" bestFit="1" customWidth="1"/>
    <col min="2" max="2" width="8.109375" style="12" bestFit="1" customWidth="1"/>
    <col min="3" max="3" width="8.33203125" style="12" bestFit="1" customWidth="1"/>
    <col min="4" max="5" width="11.44140625" style="12" customWidth="1"/>
    <col min="6" max="6" width="8.6640625" style="12" bestFit="1" customWidth="1"/>
    <col min="7" max="7" width="14.109375" style="12" bestFit="1" customWidth="1"/>
    <col min="8" max="8" width="14.109375" style="32" customWidth="1"/>
    <col min="9" max="9" width="12.109375" style="32" customWidth="1"/>
    <col min="10" max="10" width="12" style="32" bestFit="1" customWidth="1"/>
    <col min="11" max="11" width="12" style="32" customWidth="1"/>
    <col min="12" max="12" width="11.6640625" style="32" customWidth="1"/>
    <col min="13" max="13" width="12" style="32" bestFit="1" customWidth="1"/>
    <col min="14" max="14" width="14.44140625" style="32" customWidth="1"/>
    <col min="15" max="15" width="14.88671875" style="32" customWidth="1"/>
    <col min="16" max="16" width="12" style="32" bestFit="1" customWidth="1"/>
    <col min="17" max="16384" width="9.109375" style="3"/>
  </cols>
  <sheetData>
    <row r="1" spans="1:16" s="1" customFormat="1" ht="36" customHeight="1" x14ac:dyDescent="0.3">
      <c r="A1" s="1" t="str" cm="1">
        <f t="array" ref="A1:A7">_xlfn._xlws.FILTER('Cadastro Talhão'!B:B,'Cadastro Talhão'!B:B&lt;&gt;"")</f>
        <v>FAZENDA</v>
      </c>
      <c r="B1" s="1" t="str" cm="1">
        <f t="array" ref="B1:B7">_xlfn._xlws.FILTER('Cadastro Talhão'!C:C,'Cadastro Talhão'!C:C&lt;&gt;"")</f>
        <v>TALHÃO</v>
      </c>
      <c r="C1" s="37" t="s">
        <v>9</v>
      </c>
      <c r="D1" s="14" t="s">
        <v>103</v>
      </c>
      <c r="E1" s="14" t="s">
        <v>25</v>
      </c>
      <c r="F1" s="14" t="s">
        <v>8</v>
      </c>
      <c r="G1" s="39" t="s">
        <v>104</v>
      </c>
      <c r="H1" s="39" t="s">
        <v>18</v>
      </c>
      <c r="I1" s="1" t="s">
        <v>127</v>
      </c>
      <c r="J1" s="14" t="s">
        <v>59</v>
      </c>
      <c r="K1" s="14" t="s">
        <v>19</v>
      </c>
      <c r="L1" s="1" t="s">
        <v>128</v>
      </c>
      <c r="M1" s="14" t="s">
        <v>59</v>
      </c>
      <c r="N1" s="14" t="s">
        <v>20</v>
      </c>
      <c r="O1" s="1" t="s">
        <v>129</v>
      </c>
      <c r="P1" s="14" t="s">
        <v>59</v>
      </c>
    </row>
    <row r="2" spans="1:16" x14ac:dyDescent="0.3">
      <c r="A2" s="12" t="str">
        <v>FAZENDA 1</v>
      </c>
      <c r="B2" s="12">
        <v>15</v>
      </c>
      <c r="C2" s="38" cm="1">
        <f t="array" ref="C2">IFERROR(INDEX('Cadastro Talhão'!F:F,MATCH(1,('Cadastro Talhão'!B:B=A2)*('Cadastro Talhão'!C:C=B2),0)),"-")</f>
        <v>0.15</v>
      </c>
      <c r="D2" s="15">
        <f>IFERROR(ROUND(C2,2),"-")</f>
        <v>0.15</v>
      </c>
      <c r="E2" s="15" t="str">
        <f>IFERROR(VLOOKUP(D2,VMI!A:B,2,FALSE),"-")</f>
        <v>0,11 a 0,15</v>
      </c>
      <c r="F2" s="15" cm="1">
        <f t="array" ref="F2">IFERROR(INDEX('Cadastro Talhão'!H:H,MATCH(1,('Cadastro Talhão'!B:B='Controle Estoque'!A2)*('Cadastro Talhão'!C:C='Controle Estoque'!B2),0)),"-")</f>
        <v>1.9</v>
      </c>
      <c r="G2" s="35" cm="1">
        <f t="array" ref="G2">IFERROR(INDEX('Cadastro Talhão'!G:G,MATCH(1,('Cadastro Talhão'!B:B='Controle Estoque'!A2)*('Cadastro Talhão'!C:C='Controle Estoque'!B2),0)),"-")</f>
        <v>10000</v>
      </c>
      <c r="H2" s="32" t="s">
        <v>18</v>
      </c>
      <c r="I2" s="43">
        <f>SUMIFS(Estoque!X:X, Estoque!E:E, A2, Estoque!F:F, B2)</f>
        <v>0.29299999999999998</v>
      </c>
      <c r="J2" s="32" t="str">
        <f t="shared" ref="J2:J7" si="0">IF(I2&gt;1,"DIVERGENTE","OK")</f>
        <v>OK</v>
      </c>
      <c r="K2" s="32" t="s">
        <v>19</v>
      </c>
      <c r="L2" s="43">
        <f>SUMIFS(Estoque!Y:Y, Estoque!E:E, A2, Estoque!F:F, B2)</f>
        <v>0.251</v>
      </c>
      <c r="M2" s="32" t="str">
        <f t="shared" ref="M2:M7" si="1">IF(L2&gt;1,"DIVERGENTE","OK")</f>
        <v>OK</v>
      </c>
      <c r="N2" s="32" t="s">
        <v>20</v>
      </c>
      <c r="O2" s="43">
        <f>SUMIFS(Estoque!Z:Z, Estoque!E:E, A2, Estoque!F:F, B2)</f>
        <v>0.20200000000000001</v>
      </c>
      <c r="P2" s="32" t="str">
        <f t="shared" ref="P2:P7" si="2">IF(O2&gt;1,"DIVERGENTE","OK")</f>
        <v>OK</v>
      </c>
    </row>
    <row r="3" spans="1:16" x14ac:dyDescent="0.3">
      <c r="A3" s="12" t="str">
        <v>FAZENDA 1</v>
      </c>
      <c r="B3" s="12">
        <v>25</v>
      </c>
      <c r="C3" s="38" cm="1">
        <f t="array" ref="C3">IFERROR(INDEX('Cadastro Talhão'!F:F,MATCH(1,('Cadastro Talhão'!B:B=A3)*('Cadastro Talhão'!C:C=B3),0)),"-")</f>
        <v>0.16</v>
      </c>
      <c r="D3" s="15">
        <f t="shared" ref="D3:D7" si="3">IFERROR(ROUND(C3,2),"-")</f>
        <v>0.16</v>
      </c>
      <c r="E3" s="15" t="str">
        <f>IFERROR(VLOOKUP(D3,VMI!A:B,2,FALSE),"-")</f>
        <v>0,16 a 0,20</v>
      </c>
      <c r="F3" s="15" cm="1">
        <f t="array" ref="F3">IFERROR(INDEX('Cadastro Talhão'!H:H,MATCH(1,('Cadastro Talhão'!B:B='Controle Estoque'!A3)*('Cadastro Talhão'!C:C='Controle Estoque'!B3),0)),"-")</f>
        <v>1.9</v>
      </c>
      <c r="G3" s="35" cm="1">
        <f t="array" ref="G3">IFERROR(INDEX('Cadastro Talhão'!G:G,MATCH(1,('Cadastro Talhão'!B:B='Controle Estoque'!A3)*('Cadastro Talhão'!C:C='Controle Estoque'!B3),0)),"-")</f>
        <v>13000</v>
      </c>
      <c r="H3" s="32" t="s">
        <v>18</v>
      </c>
      <c r="I3" s="43">
        <f>SUMIFS(Estoque!X:X, Estoque!E:E, A3, Estoque!F:F, B3)</f>
        <v>0.37692307692307692</v>
      </c>
      <c r="J3" s="32" t="str">
        <f t="shared" si="0"/>
        <v>OK</v>
      </c>
      <c r="K3" s="32" t="s">
        <v>19</v>
      </c>
      <c r="L3" s="43">
        <f>SUMIFS(Estoque!Y:Y, Estoque!E:E, A3, Estoque!F:F, B3)</f>
        <v>0.2323076923076923</v>
      </c>
      <c r="M3" s="32" t="str">
        <f t="shared" si="1"/>
        <v>OK</v>
      </c>
      <c r="N3" s="32" t="s">
        <v>20</v>
      </c>
      <c r="O3" s="43">
        <f>SUMIFS(Estoque!Z:Z, Estoque!E:E, A3, Estoque!F:F, B3)</f>
        <v>0.15</v>
      </c>
      <c r="P3" s="32" t="str">
        <f t="shared" si="2"/>
        <v>OK</v>
      </c>
    </row>
    <row r="4" spans="1:16" x14ac:dyDescent="0.3">
      <c r="A4" s="12" t="str">
        <v>FAZENDA 2</v>
      </c>
      <c r="B4" s="12" t="str">
        <v>2A</v>
      </c>
      <c r="C4" s="38" cm="1">
        <f t="array" ref="C4">IFERROR(INDEX('Cadastro Talhão'!F:F,MATCH(1,('Cadastro Talhão'!B:B=A4)*('Cadastro Talhão'!C:C=B4),0)),"-")</f>
        <v>0.1</v>
      </c>
      <c r="D4" s="15">
        <f t="shared" si="3"/>
        <v>0.1</v>
      </c>
      <c r="E4" s="15" t="str">
        <f>IFERROR(VLOOKUP(D4,VMI!A:B,2,FALSE),"-")</f>
        <v>0,06 a 0,10</v>
      </c>
      <c r="F4" s="15" cm="1">
        <f t="array" ref="F4">IFERROR(INDEX('Cadastro Talhão'!H:H,MATCH(1,('Cadastro Talhão'!B:B='Controle Estoque'!A4)*('Cadastro Talhão'!C:C='Controle Estoque'!B4),0)),"-")</f>
        <v>1.9</v>
      </c>
      <c r="G4" s="35" cm="1">
        <f t="array" ref="G4">IFERROR(INDEX('Cadastro Talhão'!G:G,MATCH(1,('Cadastro Talhão'!B:B='Controle Estoque'!A4)*('Cadastro Talhão'!C:C='Controle Estoque'!B4),0)),"-")</f>
        <v>6000</v>
      </c>
      <c r="H4" s="32" t="s">
        <v>18</v>
      </c>
      <c r="I4" s="43">
        <f>SUMIFS(Estoque!X:X, Estoque!E:E, A4, Estoque!F:F, B4)</f>
        <v>0</v>
      </c>
      <c r="J4" s="32" t="str">
        <f t="shared" si="0"/>
        <v>OK</v>
      </c>
      <c r="K4" s="32" t="s">
        <v>19</v>
      </c>
      <c r="L4" s="43">
        <f>SUMIFS(Estoque!Y:Y, Estoque!E:E, A4, Estoque!F:F, B4)</f>
        <v>0</v>
      </c>
      <c r="M4" s="32" t="str">
        <f t="shared" si="1"/>
        <v>OK</v>
      </c>
      <c r="N4" s="32" t="s">
        <v>20</v>
      </c>
      <c r="O4" s="43">
        <f>SUMIFS(Estoque!Z:Z, Estoque!E:E, A4, Estoque!F:F, B4)</f>
        <v>0</v>
      </c>
      <c r="P4" s="32" t="str">
        <f t="shared" si="2"/>
        <v>OK</v>
      </c>
    </row>
    <row r="5" spans="1:16" x14ac:dyDescent="0.3">
      <c r="A5" s="12" t="str">
        <v>FAZENDA 2</v>
      </c>
      <c r="B5" s="12" t="str">
        <v>2B</v>
      </c>
      <c r="C5" s="38" cm="1">
        <f t="array" ref="C5">IFERROR(INDEX('Cadastro Talhão'!F:F,MATCH(1,('Cadastro Talhão'!B:B=A5)*('Cadastro Talhão'!C:C=B5),0)),"-")</f>
        <v>0.11</v>
      </c>
      <c r="D5" s="15">
        <f t="shared" si="3"/>
        <v>0.11</v>
      </c>
      <c r="E5" s="15" t="str">
        <f>IFERROR(VLOOKUP(D5,VMI!A:B,2,FALSE),"-")</f>
        <v>0,11 a 0,15</v>
      </c>
      <c r="F5" s="15" cm="1">
        <f t="array" ref="F5">IFERROR(INDEX('Cadastro Talhão'!H:H,MATCH(1,('Cadastro Talhão'!B:B='Controle Estoque'!A5)*('Cadastro Talhão'!C:C='Controle Estoque'!B5),0)),"-")</f>
        <v>1.9</v>
      </c>
      <c r="G5" s="35" cm="1">
        <f t="array" ref="G5">IFERROR(INDEX('Cadastro Talhão'!G:G,MATCH(1,('Cadastro Talhão'!B:B='Controle Estoque'!A5)*('Cadastro Talhão'!C:C='Controle Estoque'!B5),0)),"-")</f>
        <v>8500</v>
      </c>
      <c r="H5" s="32" t="s">
        <v>18</v>
      </c>
      <c r="I5" s="43">
        <f>SUMIFS(Estoque!X:X, Estoque!E:E, A5, Estoque!F:F, B5)</f>
        <v>0</v>
      </c>
      <c r="J5" s="32" t="str">
        <f t="shared" si="0"/>
        <v>OK</v>
      </c>
      <c r="K5" s="32" t="s">
        <v>19</v>
      </c>
      <c r="L5" s="43">
        <f>SUMIFS(Estoque!Y:Y, Estoque!E:E, A5, Estoque!F:F, B5)</f>
        <v>0</v>
      </c>
      <c r="M5" s="32" t="str">
        <f t="shared" si="1"/>
        <v>OK</v>
      </c>
      <c r="N5" s="32" t="s">
        <v>20</v>
      </c>
      <c r="O5" s="43">
        <f>SUMIFS(Estoque!Z:Z, Estoque!E:E, A5, Estoque!F:F, B5)</f>
        <v>0</v>
      </c>
      <c r="P5" s="32" t="str">
        <f t="shared" si="2"/>
        <v>OK</v>
      </c>
    </row>
    <row r="6" spans="1:16" x14ac:dyDescent="0.3">
      <c r="A6" s="12" t="str">
        <v>FAZENDA 3</v>
      </c>
      <c r="B6" s="12" t="str">
        <v>35A</v>
      </c>
      <c r="C6" s="38" cm="1">
        <f t="array" ref="C6">IFERROR(INDEX('Cadastro Talhão'!F:F,MATCH(1,('Cadastro Talhão'!B:B=A6)*('Cadastro Talhão'!C:C=B6),0)),"-")</f>
        <v>0.16</v>
      </c>
      <c r="D6" s="15">
        <f t="shared" si="3"/>
        <v>0.16</v>
      </c>
      <c r="E6" s="15" t="str">
        <f>IFERROR(VLOOKUP(D6,VMI!A:B,2,FALSE),"-")</f>
        <v>0,16 a 0,20</v>
      </c>
      <c r="F6" s="15" cm="1">
        <f t="array" ref="F6">IFERROR(INDEX('Cadastro Talhão'!H:H,MATCH(1,('Cadastro Talhão'!B:B='Controle Estoque'!A6)*('Cadastro Talhão'!C:C='Controle Estoque'!B6),0)),"-")</f>
        <v>1.9</v>
      </c>
      <c r="G6" s="35" cm="1">
        <f t="array" ref="G6">IFERROR(INDEX('Cadastro Talhão'!G:G,MATCH(1,('Cadastro Talhão'!B:B='Controle Estoque'!A6)*('Cadastro Talhão'!C:C='Controle Estoque'!B6),0)),"-")</f>
        <v>15000</v>
      </c>
      <c r="H6" s="32" t="s">
        <v>18</v>
      </c>
      <c r="I6" s="43">
        <f>SUMIFS(Estoque!X:X, Estoque!E:E, A6, Estoque!F:F, B6)</f>
        <v>0</v>
      </c>
      <c r="J6" s="32" t="str">
        <f t="shared" si="0"/>
        <v>OK</v>
      </c>
      <c r="K6" s="32" t="s">
        <v>19</v>
      </c>
      <c r="L6" s="43">
        <f>SUMIFS(Estoque!Y:Y, Estoque!E:E, A6, Estoque!F:F, B6)</f>
        <v>0</v>
      </c>
      <c r="M6" s="32" t="str">
        <f t="shared" si="1"/>
        <v>OK</v>
      </c>
      <c r="N6" s="32" t="s">
        <v>20</v>
      </c>
      <c r="O6" s="43">
        <f>SUMIFS(Estoque!Z:Z, Estoque!E:E, A6, Estoque!F:F, B6)</f>
        <v>0</v>
      </c>
      <c r="P6" s="32" t="str">
        <f t="shared" si="2"/>
        <v>OK</v>
      </c>
    </row>
    <row r="7" spans="1:16" x14ac:dyDescent="0.3">
      <c r="A7" s="12" t="str">
        <v>FAZENDA 3</v>
      </c>
      <c r="B7" s="12" t="str">
        <v>36B</v>
      </c>
      <c r="C7" s="38" cm="1">
        <f t="array" ref="C7">IFERROR(INDEX('Cadastro Talhão'!F:F,MATCH(1,('Cadastro Talhão'!B:B=A7)*('Cadastro Talhão'!C:C=B7),0)),"-")</f>
        <v>0.14000000000000001</v>
      </c>
      <c r="D7" s="15">
        <f t="shared" si="3"/>
        <v>0.14000000000000001</v>
      </c>
      <c r="E7" s="15" t="str">
        <f>IFERROR(VLOOKUP(D7,VMI!A:B,2,FALSE),"-")</f>
        <v>0,11 a 0,15</v>
      </c>
      <c r="F7" s="15" cm="1">
        <f t="array" ref="F7">IFERROR(INDEX('Cadastro Talhão'!H:H,MATCH(1,('Cadastro Talhão'!B:B='Controle Estoque'!A7)*('Cadastro Talhão'!C:C='Controle Estoque'!B7),0)),"-")</f>
        <v>1.9</v>
      </c>
      <c r="G7" s="35" cm="1">
        <f t="array" ref="G7">IFERROR(INDEX('Cadastro Talhão'!G:G,MATCH(1,('Cadastro Talhão'!B:B='Controle Estoque'!A7)*('Cadastro Talhão'!C:C='Controle Estoque'!B7),0)),"-")</f>
        <v>18000</v>
      </c>
      <c r="H7" s="32" t="s">
        <v>18</v>
      </c>
      <c r="I7" s="43">
        <f>SUMIFS(Estoque!X:X, Estoque!E:E, A7, Estoque!F:F, B7)</f>
        <v>0</v>
      </c>
      <c r="J7" s="32" t="str">
        <f t="shared" si="0"/>
        <v>OK</v>
      </c>
      <c r="K7" s="32" t="s">
        <v>19</v>
      </c>
      <c r="L7" s="43">
        <f>SUMIFS(Estoque!Y:Y, Estoque!E:E, A7, Estoque!F:F, B7)</f>
        <v>0</v>
      </c>
      <c r="M7" s="32" t="str">
        <f t="shared" si="1"/>
        <v>OK</v>
      </c>
      <c r="N7" s="32" t="s">
        <v>20</v>
      </c>
      <c r="O7" s="43">
        <f>SUMIFS(Estoque!Z:Z, Estoque!E:E, A7, Estoque!F:F, B7)</f>
        <v>0</v>
      </c>
      <c r="P7" s="32" t="str">
        <f t="shared" si="2"/>
        <v>OK</v>
      </c>
    </row>
  </sheetData>
  <autoFilter ref="A1:P7" xr:uid="{9E62BD10-585B-4A19-9F80-D42FC2567050}"/>
  <conditionalFormatting sqref="I2:I7">
    <cfRule type="cellIs" dxfId="28" priority="23" operator="greaterThan">
      <formula>100%</formula>
    </cfRule>
    <cfRule type="cellIs" dxfId="27" priority="24" operator="equal">
      <formula>1</formula>
    </cfRule>
    <cfRule type="cellIs" dxfId="26" priority="25" operator="between">
      <formula>1%</formula>
      <formula>99%</formula>
    </cfRule>
    <cfRule type="cellIs" dxfId="25" priority="26" operator="equal">
      <formula>0</formula>
    </cfRule>
  </conditionalFormatting>
  <conditionalFormatting sqref="J1:K7 M1:N7 P1:P7">
    <cfRule type="cellIs" dxfId="24" priority="21" operator="equal">
      <formula>"DIVERGENTE"</formula>
    </cfRule>
    <cfRule type="cellIs" dxfId="23" priority="22" operator="equal">
      <formula>"OK"</formula>
    </cfRule>
  </conditionalFormatting>
  <conditionalFormatting sqref="L2:L7">
    <cfRule type="cellIs" dxfId="22" priority="1" operator="greaterThan">
      <formula>100%</formula>
    </cfRule>
    <cfRule type="cellIs" dxfId="21" priority="2" operator="equal">
      <formula>1</formula>
    </cfRule>
    <cfRule type="cellIs" dxfId="20" priority="3" operator="between">
      <formula>1%</formula>
      <formula>99%</formula>
    </cfRule>
    <cfRule type="cellIs" dxfId="19" priority="4" operator="equal">
      <formula>0</formula>
    </cfRule>
  </conditionalFormatting>
  <conditionalFormatting sqref="O2:O7">
    <cfRule type="cellIs" dxfId="18" priority="5" operator="greaterThan">
      <formula>100%</formula>
    </cfRule>
    <cfRule type="cellIs" dxfId="17" priority="6" operator="equal">
      <formula>1</formula>
    </cfRule>
    <cfRule type="cellIs" dxfId="16" priority="7" operator="between">
      <formula>1%</formula>
      <formula>99%</formula>
    </cfRule>
    <cfRule type="cellIs" dxfId="15" priority="8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BDBB-B45A-4191-994B-772D5B387FF4}">
  <dimension ref="A1:Y7"/>
  <sheetViews>
    <sheetView zoomScale="85" zoomScaleNormal="85" workbookViewId="0">
      <pane ySplit="1" topLeftCell="A2" activePane="bottomLeft" state="frozen"/>
      <selection pane="bottomLeft" activeCell="E9" sqref="E9"/>
    </sheetView>
  </sheetViews>
  <sheetFormatPr defaultColWidth="8.88671875" defaultRowHeight="14.4" x14ac:dyDescent="0.3"/>
  <cols>
    <col min="1" max="1" width="16" style="3" customWidth="1"/>
    <col min="2" max="2" width="25.109375" style="3" customWidth="1"/>
    <col min="3" max="3" width="13.44140625" style="3" customWidth="1"/>
    <col min="4" max="4" width="10.6640625" style="19" customWidth="1"/>
    <col min="5" max="5" width="17" style="24" customWidth="1"/>
    <col min="6" max="6" width="11.5546875" style="19" customWidth="1"/>
    <col min="7" max="7" width="11.33203125" style="22" customWidth="1"/>
    <col min="8" max="8" width="12.5546875" style="19" customWidth="1"/>
    <col min="9" max="14" width="16.33203125" style="21" customWidth="1"/>
    <col min="15" max="16384" width="8.88671875" style="3"/>
  </cols>
  <sheetData>
    <row r="1" spans="1:25" s="1" customFormat="1" ht="36" customHeight="1" x14ac:dyDescent="0.3">
      <c r="A1" s="1" t="s">
        <v>2</v>
      </c>
      <c r="B1" s="1" t="s">
        <v>3</v>
      </c>
      <c r="C1" s="1" t="s">
        <v>4</v>
      </c>
      <c r="D1" s="14" t="s">
        <v>63</v>
      </c>
      <c r="E1" s="23" t="s">
        <v>15</v>
      </c>
      <c r="F1" s="14" t="s">
        <v>9</v>
      </c>
      <c r="G1" s="23" t="s">
        <v>64</v>
      </c>
      <c r="H1" s="14" t="s">
        <v>8</v>
      </c>
      <c r="I1" s="5" t="s">
        <v>66</v>
      </c>
      <c r="J1" s="5" t="s">
        <v>67</v>
      </c>
      <c r="K1" s="5" t="s">
        <v>68</v>
      </c>
      <c r="L1" s="5" t="s">
        <v>69</v>
      </c>
      <c r="M1" s="5" t="s">
        <v>70</v>
      </c>
      <c r="N1" s="5" t="s">
        <v>71</v>
      </c>
      <c r="Q1" s="14"/>
      <c r="R1" s="14"/>
      <c r="S1" s="14"/>
      <c r="U1" s="17"/>
      <c r="V1" s="17"/>
      <c r="W1" s="17"/>
      <c r="X1" s="17"/>
      <c r="Y1" s="17"/>
    </row>
    <row r="2" spans="1:25" x14ac:dyDescent="0.3">
      <c r="A2" s="3" t="s">
        <v>142</v>
      </c>
      <c r="B2" s="3" t="s">
        <v>145</v>
      </c>
      <c r="C2" s="3">
        <v>15</v>
      </c>
      <c r="D2" s="19">
        <v>12</v>
      </c>
      <c r="E2" s="24">
        <f t="shared" ref="E2:E6" si="0">IFERROR(G2/F2,"-")</f>
        <v>66666.666666666672</v>
      </c>
      <c r="F2" s="19">
        <v>0.15</v>
      </c>
      <c r="G2" s="22">
        <v>10000</v>
      </c>
      <c r="H2" s="19">
        <v>1.9</v>
      </c>
      <c r="I2" s="21">
        <f>IF(_xlfn.MINIFS('BDT''s'!I:I,'BDT''s'!G:G,'Cadastro Talhão'!B2,'BDT''s'!H:H,'Cadastro Talhão'!C2,'BDT''s'!L:L,"CORTE")=0,"-",_xlfn.MINIFS('BDT''s'!I:I,'BDT''s'!G:G,'Cadastro Talhão'!B2,'BDT''s'!H:H,'Cadastro Talhão'!C2,'BDT''s'!L:L,"CORTE"))</f>
        <v>46023</v>
      </c>
      <c r="J2" s="21">
        <f>IF(_xlfn.MAXIFS('BDT''s'!I:I,'BDT''s'!G:G,'Cadastro Talhão'!B2,'BDT''s'!H:H,'Cadastro Talhão'!C2,'BDT''s'!L:L,"CORTE")=0,"-",_xlfn.MAXIFS('BDT''s'!I:I,'BDT''s'!G:G,'Cadastro Talhão'!B2,'BDT''s'!H:H,'Cadastro Talhão'!C2,'BDT''s'!L:L,"CORTE"))</f>
        <v>46024</v>
      </c>
      <c r="K2" s="21">
        <f>IF(_xlfn.MINIFS('BDT''s'!I:I,'BDT''s'!G:G,'Cadastro Talhão'!B2,'BDT''s'!H:H,'Cadastro Talhão'!C2,'BDT''s'!L:L,"ARRASTE")=0,"-",_xlfn.MINIFS('BDT''s'!I:I,'BDT''s'!G:G,'Cadastro Talhão'!B2,'BDT''s'!H:H,'Cadastro Talhão'!C2,'BDT''s'!L:L,"ARRASTE"))</f>
        <v>46023</v>
      </c>
      <c r="L2" s="21">
        <f>IF(_xlfn.MAXIFS('BDT''s'!I:I,'BDT''s'!G:G,'Cadastro Talhão'!B2,'BDT''s'!H:H,'Cadastro Talhão'!C2,'BDT''s'!L:L,"ARRASTE")=0,"-",_xlfn.MAXIFS('BDT''s'!I:I,'BDT''s'!G:G,'Cadastro Talhão'!B2,'BDT''s'!H:H,'Cadastro Talhão'!C2,'BDT''s'!L:L,"ARRASTE"))</f>
        <v>46024</v>
      </c>
      <c r="M2" s="21">
        <f>IF(_xlfn.MINIFS('BDT''s'!I:I,'BDT''s'!G:G,'Cadastro Talhão'!B2,'BDT''s'!H:H,'Cadastro Talhão'!C2,'BDT''s'!L:L,"TRAÇAMENTO")=0,"-",_xlfn.MINIFS('BDT''s'!I:I,'BDT''s'!G:G,'Cadastro Talhão'!B2,'BDT''s'!H:H,'Cadastro Talhão'!C2,'BDT''s'!L:L,"TRAÇAMENTO"))</f>
        <v>46023</v>
      </c>
      <c r="N2" s="21">
        <f>IF(_xlfn.MAXIFS('BDT''s'!I:I,'BDT''s'!G:G,'Cadastro Talhão'!B2,'BDT''s'!H:H,'Cadastro Talhão'!C2,'BDT''s'!L:L,"TRAÇAMENTO")=0,"-",_xlfn.MAXIFS('BDT''s'!I:I,'BDT''s'!G:G,'Cadastro Talhão'!B2,'BDT''s'!H:H,'Cadastro Talhão'!C2,'BDT''s'!L:L,"TRAÇAMENTO"))</f>
        <v>46024</v>
      </c>
    </row>
    <row r="3" spans="1:25" x14ac:dyDescent="0.3">
      <c r="A3" s="3" t="s">
        <v>142</v>
      </c>
      <c r="B3" s="3" t="s">
        <v>145</v>
      </c>
      <c r="C3" s="3">
        <v>25</v>
      </c>
      <c r="D3" s="19">
        <v>10</v>
      </c>
      <c r="E3" s="24">
        <f t="shared" si="0"/>
        <v>81250</v>
      </c>
      <c r="F3" s="19">
        <v>0.16</v>
      </c>
      <c r="G3" s="22">
        <v>13000</v>
      </c>
      <c r="H3" s="19">
        <v>1.9</v>
      </c>
      <c r="I3" s="21">
        <f>IF(_xlfn.MINIFS('BDT''s'!I:I,'BDT''s'!G:G,'Cadastro Talhão'!B3,'BDT''s'!H:H,'Cadastro Talhão'!C3,'BDT''s'!L:L,"CORTE")=0,"-",_xlfn.MINIFS('BDT''s'!I:I,'BDT''s'!G:G,'Cadastro Talhão'!B3,'BDT''s'!H:H,'Cadastro Talhão'!C3,'BDT''s'!L:L,"CORTE"))</f>
        <v>46023</v>
      </c>
      <c r="J3" s="21">
        <f>IF(_xlfn.MAXIFS('BDT''s'!I:I,'BDT''s'!G:G,'Cadastro Talhão'!B3,'BDT''s'!H:H,'Cadastro Talhão'!C3,'BDT''s'!L:L,"CORTE")=0,"-",_xlfn.MAXIFS('BDT''s'!I:I,'BDT''s'!G:G,'Cadastro Talhão'!B3,'BDT''s'!H:H,'Cadastro Talhão'!C3,'BDT''s'!L:L,"CORTE"))</f>
        <v>46024</v>
      </c>
      <c r="K3" s="21">
        <f>IF(_xlfn.MINIFS('BDT''s'!I:I,'BDT''s'!G:G,'Cadastro Talhão'!B3,'BDT''s'!H:H,'Cadastro Talhão'!C3,'BDT''s'!L:L,"ARRASTE")=0,"-",_xlfn.MINIFS('BDT''s'!I:I,'BDT''s'!G:G,'Cadastro Talhão'!B3,'BDT''s'!H:H,'Cadastro Talhão'!C3,'BDT''s'!L:L,"ARRASTE"))</f>
        <v>46023</v>
      </c>
      <c r="L3" s="21">
        <f>IF(_xlfn.MAXIFS('BDT''s'!I:I,'BDT''s'!G:G,'Cadastro Talhão'!B3,'BDT''s'!H:H,'Cadastro Talhão'!C3,'BDT''s'!L:L,"ARRASTE")=0,"-",_xlfn.MAXIFS('BDT''s'!I:I,'BDT''s'!G:G,'Cadastro Talhão'!B3,'BDT''s'!H:H,'Cadastro Talhão'!C3,'BDT''s'!L:L,"ARRASTE"))</f>
        <v>46024</v>
      </c>
      <c r="M3" s="21">
        <f>IF(_xlfn.MINIFS('BDT''s'!I:I,'BDT''s'!G:G,'Cadastro Talhão'!B3,'BDT''s'!H:H,'Cadastro Talhão'!C3,'BDT''s'!L:L,"TRAÇAMENTO")=0,"-",_xlfn.MINIFS('BDT''s'!I:I,'BDT''s'!G:G,'Cadastro Talhão'!B3,'BDT''s'!H:H,'Cadastro Talhão'!C3,'BDT''s'!L:L,"TRAÇAMENTO"))</f>
        <v>46023</v>
      </c>
      <c r="N3" s="21">
        <f>IF(_xlfn.MAXIFS('BDT''s'!I:I,'BDT''s'!G:G,'Cadastro Talhão'!B3,'BDT''s'!H:H,'Cadastro Talhão'!C3,'BDT''s'!L:L,"TRAÇAMENTO")=0,"-",_xlfn.MAXIFS('BDT''s'!I:I,'BDT''s'!G:G,'Cadastro Talhão'!B3,'BDT''s'!H:H,'Cadastro Talhão'!C3,'BDT''s'!L:L,"TRAÇAMENTO"))</f>
        <v>46024</v>
      </c>
    </row>
    <row r="4" spans="1:25" x14ac:dyDescent="0.3">
      <c r="A4" s="3" t="s">
        <v>143</v>
      </c>
      <c r="B4" s="3" t="s">
        <v>146</v>
      </c>
      <c r="C4" s="3" t="s">
        <v>148</v>
      </c>
      <c r="D4" s="19">
        <v>5</v>
      </c>
      <c r="E4" s="24">
        <f t="shared" si="0"/>
        <v>60000</v>
      </c>
      <c r="F4" s="19">
        <v>0.1</v>
      </c>
      <c r="G4" s="22">
        <v>6000</v>
      </c>
      <c r="H4" s="19">
        <v>1.9</v>
      </c>
      <c r="I4" s="21" t="str">
        <f>IF(_xlfn.MINIFS('BDT''s'!I:I,'BDT''s'!G:G,'Cadastro Talhão'!B4,'BDT''s'!H:H,'Cadastro Talhão'!C4,'BDT''s'!L:L,"CORTE")=0,"-",_xlfn.MINIFS('BDT''s'!I:I,'BDT''s'!G:G,'Cadastro Talhão'!B4,'BDT''s'!H:H,'Cadastro Talhão'!C4,'BDT''s'!L:L,"CORTE"))</f>
        <v>-</v>
      </c>
      <c r="J4" s="21" t="str">
        <f>IF(_xlfn.MAXIFS('BDT''s'!I:I,'BDT''s'!G:G,'Cadastro Talhão'!B4,'BDT''s'!H:H,'Cadastro Talhão'!C4,'BDT''s'!L:L,"CORTE")=0,"-",_xlfn.MAXIFS('BDT''s'!I:I,'BDT''s'!G:G,'Cadastro Talhão'!B4,'BDT''s'!H:H,'Cadastro Talhão'!C4,'BDT''s'!L:L,"CORTE"))</f>
        <v>-</v>
      </c>
      <c r="K4" s="21" t="str">
        <f>IF(_xlfn.MINIFS('BDT''s'!I:I,'BDT''s'!G:G,'Cadastro Talhão'!B4,'BDT''s'!H:H,'Cadastro Talhão'!C4,'BDT''s'!L:L,"ARRASTE")=0,"-",_xlfn.MINIFS('BDT''s'!I:I,'BDT''s'!G:G,'Cadastro Talhão'!B4,'BDT''s'!H:H,'Cadastro Talhão'!C4,'BDT''s'!L:L,"ARRASTE"))</f>
        <v>-</v>
      </c>
      <c r="L4" s="21" t="str">
        <f>IF(_xlfn.MAXIFS('BDT''s'!I:I,'BDT''s'!G:G,'Cadastro Talhão'!B4,'BDT''s'!H:H,'Cadastro Talhão'!C4,'BDT''s'!L:L,"ARRASTE")=0,"-",_xlfn.MAXIFS('BDT''s'!I:I,'BDT''s'!G:G,'Cadastro Talhão'!B4,'BDT''s'!H:H,'Cadastro Talhão'!C4,'BDT''s'!L:L,"ARRASTE"))</f>
        <v>-</v>
      </c>
      <c r="M4" s="21" t="str">
        <f>IF(_xlfn.MINIFS('BDT''s'!I:I,'BDT''s'!G:G,'Cadastro Talhão'!B4,'BDT''s'!H:H,'Cadastro Talhão'!C4,'BDT''s'!L:L,"TRAÇAMENTO")=0,"-",_xlfn.MINIFS('BDT''s'!I:I,'BDT''s'!G:G,'Cadastro Talhão'!B4,'BDT''s'!H:H,'Cadastro Talhão'!C4,'BDT''s'!L:L,"TRAÇAMENTO"))</f>
        <v>-</v>
      </c>
      <c r="N4" s="21" t="str">
        <f>IF(_xlfn.MAXIFS('BDT''s'!I:I,'BDT''s'!G:G,'Cadastro Talhão'!B4,'BDT''s'!H:H,'Cadastro Talhão'!C4,'BDT''s'!L:L,"TRAÇAMENTO")=0,"-",_xlfn.MAXIFS('BDT''s'!I:I,'BDT''s'!G:G,'Cadastro Talhão'!B4,'BDT''s'!H:H,'Cadastro Talhão'!C4,'BDT''s'!L:L,"TRAÇAMENTO"))</f>
        <v>-</v>
      </c>
    </row>
    <row r="5" spans="1:25" x14ac:dyDescent="0.3">
      <c r="A5" s="3" t="s">
        <v>143</v>
      </c>
      <c r="B5" s="3" t="s">
        <v>146</v>
      </c>
      <c r="C5" s="3" t="s">
        <v>149</v>
      </c>
      <c r="D5" s="19">
        <v>9</v>
      </c>
      <c r="E5" s="24">
        <f t="shared" si="0"/>
        <v>77272.727272727279</v>
      </c>
      <c r="F5" s="19">
        <v>0.11</v>
      </c>
      <c r="G5" s="22">
        <v>8500</v>
      </c>
      <c r="H5" s="19">
        <v>1.9</v>
      </c>
      <c r="I5" s="21" t="str">
        <f>IF(_xlfn.MINIFS('BDT''s'!I:I,'BDT''s'!G:G,'Cadastro Talhão'!B5,'BDT''s'!H:H,'Cadastro Talhão'!C5,'BDT''s'!L:L,"CORTE")=0,"-",_xlfn.MINIFS('BDT''s'!I:I,'BDT''s'!G:G,'Cadastro Talhão'!B5,'BDT''s'!H:H,'Cadastro Talhão'!C5,'BDT''s'!L:L,"CORTE"))</f>
        <v>-</v>
      </c>
      <c r="J5" s="21" t="str">
        <f>IF(_xlfn.MAXIFS('BDT''s'!I:I,'BDT''s'!G:G,'Cadastro Talhão'!B5,'BDT''s'!H:H,'Cadastro Talhão'!C5,'BDT''s'!L:L,"CORTE")=0,"-",_xlfn.MAXIFS('BDT''s'!I:I,'BDT''s'!G:G,'Cadastro Talhão'!B5,'BDT''s'!H:H,'Cadastro Talhão'!C5,'BDT''s'!L:L,"CORTE"))</f>
        <v>-</v>
      </c>
      <c r="K5" s="21" t="str">
        <f>IF(_xlfn.MINIFS('BDT''s'!I:I,'BDT''s'!G:G,'Cadastro Talhão'!B5,'BDT''s'!H:H,'Cadastro Talhão'!C5,'BDT''s'!L:L,"ARRASTE")=0,"-",_xlfn.MINIFS('BDT''s'!I:I,'BDT''s'!G:G,'Cadastro Talhão'!B5,'BDT''s'!H:H,'Cadastro Talhão'!C5,'BDT''s'!L:L,"ARRASTE"))</f>
        <v>-</v>
      </c>
      <c r="L5" s="21" t="str">
        <f>IF(_xlfn.MAXIFS('BDT''s'!I:I,'BDT''s'!G:G,'Cadastro Talhão'!B5,'BDT''s'!H:H,'Cadastro Talhão'!C5,'BDT''s'!L:L,"ARRASTE")=0,"-",_xlfn.MAXIFS('BDT''s'!I:I,'BDT''s'!G:G,'Cadastro Talhão'!B5,'BDT''s'!H:H,'Cadastro Talhão'!C5,'BDT''s'!L:L,"ARRASTE"))</f>
        <v>-</v>
      </c>
      <c r="M5" s="21" t="str">
        <f>IF(_xlfn.MINIFS('BDT''s'!I:I,'BDT''s'!G:G,'Cadastro Talhão'!B5,'BDT''s'!H:H,'Cadastro Talhão'!C5,'BDT''s'!L:L,"TRAÇAMENTO")=0,"-",_xlfn.MINIFS('BDT''s'!I:I,'BDT''s'!G:G,'Cadastro Talhão'!B5,'BDT''s'!H:H,'Cadastro Talhão'!C5,'BDT''s'!L:L,"TRAÇAMENTO"))</f>
        <v>-</v>
      </c>
      <c r="N5" s="21" t="str">
        <f>IF(_xlfn.MAXIFS('BDT''s'!I:I,'BDT''s'!G:G,'Cadastro Talhão'!B5,'BDT''s'!H:H,'Cadastro Talhão'!C5,'BDT''s'!L:L,"TRAÇAMENTO")=0,"-",_xlfn.MAXIFS('BDT''s'!I:I,'BDT''s'!G:G,'Cadastro Talhão'!B5,'BDT''s'!H:H,'Cadastro Talhão'!C5,'BDT''s'!L:L,"TRAÇAMENTO"))</f>
        <v>-</v>
      </c>
    </row>
    <row r="6" spans="1:25" x14ac:dyDescent="0.3">
      <c r="A6" s="3" t="s">
        <v>144</v>
      </c>
      <c r="B6" s="3" t="s">
        <v>147</v>
      </c>
      <c r="C6" s="3" t="s">
        <v>72</v>
      </c>
      <c r="D6" s="19">
        <v>20</v>
      </c>
      <c r="E6" s="24">
        <f t="shared" si="0"/>
        <v>93750</v>
      </c>
      <c r="F6" s="19">
        <v>0.16</v>
      </c>
      <c r="G6" s="22">
        <v>15000</v>
      </c>
      <c r="H6" s="19">
        <v>1.9</v>
      </c>
      <c r="I6" s="21" t="str">
        <f>IF(_xlfn.MINIFS('BDT''s'!I:I,'BDT''s'!G:G,'Cadastro Talhão'!B6,'BDT''s'!H:H,'Cadastro Talhão'!C6,'BDT''s'!L:L,"CORTE")=0,"-",_xlfn.MINIFS('BDT''s'!I:I,'BDT''s'!G:G,'Cadastro Talhão'!B6,'BDT''s'!H:H,'Cadastro Talhão'!C6,'BDT''s'!L:L,"CORTE"))</f>
        <v>-</v>
      </c>
      <c r="J6" s="21" t="str">
        <f>IF(_xlfn.MAXIFS('BDT''s'!I:I,'BDT''s'!G:G,'Cadastro Talhão'!B6,'BDT''s'!H:H,'Cadastro Talhão'!C6,'BDT''s'!L:L,"CORTE")=0,"-",_xlfn.MAXIFS('BDT''s'!I:I,'BDT''s'!G:G,'Cadastro Talhão'!B6,'BDT''s'!H:H,'Cadastro Talhão'!C6,'BDT''s'!L:L,"CORTE"))</f>
        <v>-</v>
      </c>
      <c r="K6" s="21" t="str">
        <f>IF(_xlfn.MINIFS('BDT''s'!I:I,'BDT''s'!G:G,'Cadastro Talhão'!B6,'BDT''s'!H:H,'Cadastro Talhão'!C6,'BDT''s'!L:L,"ARRASTE")=0,"-",_xlfn.MINIFS('BDT''s'!I:I,'BDT''s'!G:G,'Cadastro Talhão'!B6,'BDT''s'!H:H,'Cadastro Talhão'!C6,'BDT''s'!L:L,"ARRASTE"))</f>
        <v>-</v>
      </c>
      <c r="L6" s="21" t="str">
        <f>IF(_xlfn.MAXIFS('BDT''s'!I:I,'BDT''s'!G:G,'Cadastro Talhão'!B6,'BDT''s'!H:H,'Cadastro Talhão'!C6,'BDT''s'!L:L,"ARRASTE")=0,"-",_xlfn.MAXIFS('BDT''s'!I:I,'BDT''s'!G:G,'Cadastro Talhão'!B6,'BDT''s'!H:H,'Cadastro Talhão'!C6,'BDT''s'!L:L,"ARRASTE"))</f>
        <v>-</v>
      </c>
      <c r="M6" s="21" t="str">
        <f>IF(_xlfn.MINIFS('BDT''s'!I:I,'BDT''s'!G:G,'Cadastro Talhão'!B6,'BDT''s'!H:H,'Cadastro Talhão'!C6,'BDT''s'!L:L,"TRAÇAMENTO")=0,"-",_xlfn.MINIFS('BDT''s'!I:I,'BDT''s'!G:G,'Cadastro Talhão'!B6,'BDT''s'!H:H,'Cadastro Talhão'!C6,'BDT''s'!L:L,"TRAÇAMENTO"))</f>
        <v>-</v>
      </c>
      <c r="N6" s="21" t="str">
        <f>IF(_xlfn.MAXIFS('BDT''s'!I:I,'BDT''s'!G:G,'Cadastro Talhão'!B6,'BDT''s'!H:H,'Cadastro Talhão'!C6,'BDT''s'!L:L,"TRAÇAMENTO")=0,"-",_xlfn.MAXIFS('BDT''s'!I:I,'BDT''s'!G:G,'Cadastro Talhão'!B6,'BDT''s'!H:H,'Cadastro Talhão'!C6,'BDT''s'!L:L,"TRAÇAMENTO"))</f>
        <v>-</v>
      </c>
    </row>
    <row r="7" spans="1:25" x14ac:dyDescent="0.3">
      <c r="A7" s="3" t="s">
        <v>144</v>
      </c>
      <c r="B7" s="3" t="s">
        <v>147</v>
      </c>
      <c r="C7" s="3" t="s">
        <v>150</v>
      </c>
      <c r="D7" s="19">
        <v>15</v>
      </c>
      <c r="E7" s="24">
        <f t="shared" ref="E7" si="1">IFERROR(G7/F7,"-")</f>
        <v>128571.42857142857</v>
      </c>
      <c r="F7" s="19">
        <v>0.14000000000000001</v>
      </c>
      <c r="G7" s="22">
        <v>18000</v>
      </c>
      <c r="H7" s="19">
        <v>1.9</v>
      </c>
      <c r="I7" s="21" t="str">
        <f>IF(_xlfn.MINIFS('BDT''s'!I:I,'BDT''s'!G:G,'Cadastro Talhão'!B7,'BDT''s'!H:H,'Cadastro Talhão'!C7,'BDT''s'!L:L,"CORTE")=0,"-",_xlfn.MINIFS('BDT''s'!I:I,'BDT''s'!G:G,'Cadastro Talhão'!B7,'BDT''s'!H:H,'Cadastro Talhão'!C7,'BDT''s'!L:L,"CORTE"))</f>
        <v>-</v>
      </c>
      <c r="J7" s="21" t="str">
        <f>IF(_xlfn.MAXIFS('BDT''s'!I:I,'BDT''s'!G:G,'Cadastro Talhão'!B7,'BDT''s'!H:H,'Cadastro Talhão'!C7,'BDT''s'!L:L,"CORTE")=0,"-",_xlfn.MAXIFS('BDT''s'!I:I,'BDT''s'!G:G,'Cadastro Talhão'!B7,'BDT''s'!H:H,'Cadastro Talhão'!C7,'BDT''s'!L:L,"CORTE"))</f>
        <v>-</v>
      </c>
      <c r="K7" s="21" t="str">
        <f>IF(_xlfn.MINIFS('BDT''s'!I:I,'BDT''s'!G:G,'Cadastro Talhão'!B7,'BDT''s'!H:H,'Cadastro Talhão'!C7,'BDT''s'!L:L,"ARRASTE")=0,"-",_xlfn.MINIFS('BDT''s'!I:I,'BDT''s'!G:G,'Cadastro Talhão'!B7,'BDT''s'!H:H,'Cadastro Talhão'!C7,'BDT''s'!L:L,"ARRASTE"))</f>
        <v>-</v>
      </c>
      <c r="L7" s="21" t="str">
        <f>IF(_xlfn.MAXIFS('BDT''s'!I:I,'BDT''s'!G:G,'Cadastro Talhão'!B7,'BDT''s'!H:H,'Cadastro Talhão'!C7,'BDT''s'!L:L,"ARRASTE")=0,"-",_xlfn.MAXIFS('BDT''s'!I:I,'BDT''s'!G:G,'Cadastro Talhão'!B7,'BDT''s'!H:H,'Cadastro Talhão'!C7,'BDT''s'!L:L,"ARRASTE"))</f>
        <v>-</v>
      </c>
      <c r="M7" s="21" t="str">
        <f>IF(_xlfn.MINIFS('BDT''s'!I:I,'BDT''s'!G:G,'Cadastro Talhão'!B7,'BDT''s'!H:H,'Cadastro Talhão'!C7,'BDT''s'!L:L,"TRAÇAMENTO")=0,"-",_xlfn.MINIFS('BDT''s'!I:I,'BDT''s'!G:G,'Cadastro Talhão'!B7,'BDT''s'!H:H,'Cadastro Talhão'!C7,'BDT''s'!L:L,"TRAÇAMENTO"))</f>
        <v>-</v>
      </c>
      <c r="N7" s="21" t="str">
        <f>IF(_xlfn.MAXIFS('BDT''s'!I:I,'BDT''s'!G:G,'Cadastro Talhão'!B7,'BDT''s'!H:H,'Cadastro Talhão'!C7,'BDT''s'!L:L,"TRAÇAMENTO")=0,"-",_xlfn.MAXIFS('BDT''s'!I:I,'BDT''s'!G:G,'Cadastro Talhão'!B7,'BDT''s'!H:H,'Cadastro Talhão'!C7,'BDT''s'!L:L,"TRAÇAMENTO"))</f>
        <v>-</v>
      </c>
    </row>
  </sheetData>
  <autoFilter ref="A1:Y7" xr:uid="{5569BDBB-B45A-4191-994B-772D5B387FF4}"/>
  <sortState xmlns:xlrd2="http://schemas.microsoft.com/office/spreadsheetml/2017/richdata2" ref="A2:N7">
    <sortCondition ref="B2:B7"/>
    <sortCondition ref="C2:C7"/>
  </sortState>
  <phoneticPr fontId="2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FDFE-0282-4151-8532-DF22E38DF238}">
  <dimension ref="A1:AK5"/>
  <sheetViews>
    <sheetView zoomScale="85" zoomScaleNormal="85" workbookViewId="0">
      <pane xSplit="6" ySplit="1" topLeftCell="G2" activePane="bottomRight" state="frozen"/>
      <selection pane="topRight" activeCell="F1" sqref="F1"/>
      <selection pane="bottomLeft" activeCell="A2" sqref="A2"/>
      <selection pane="bottomRight" activeCell="C7" sqref="C7"/>
    </sheetView>
  </sheetViews>
  <sheetFormatPr defaultColWidth="9.109375" defaultRowHeight="14.4" x14ac:dyDescent="0.3"/>
  <cols>
    <col min="1" max="1" width="24.109375" style="12" customWidth="1"/>
    <col min="2" max="2" width="8.33203125" style="38" bestFit="1" customWidth="1"/>
    <col min="3" max="4" width="11.44140625" style="15" customWidth="1"/>
    <col min="5" max="5" width="8.6640625" style="15" bestFit="1" customWidth="1"/>
    <col min="6" max="6" width="14.109375" style="35" bestFit="1" customWidth="1"/>
    <col min="7" max="7" width="8.33203125" style="32" bestFit="1" customWidth="1"/>
    <col min="8" max="8" width="11.5546875" style="12" bestFit="1" customWidth="1"/>
    <col min="9" max="9" width="12.88671875" style="12" bestFit="1" customWidth="1"/>
    <col min="10" max="10" width="12.5546875" style="12" bestFit="1" customWidth="1"/>
    <col min="11" max="11" width="14.33203125" style="12" bestFit="1" customWidth="1"/>
    <col min="12" max="12" width="20" style="12" bestFit="1" customWidth="1"/>
    <col min="13" max="13" width="17.88671875" style="12" bestFit="1" customWidth="1"/>
    <col min="14" max="14" width="26.44140625" style="12" bestFit="1" customWidth="1"/>
    <col min="15" max="15" width="14.44140625" style="12" bestFit="1" customWidth="1"/>
    <col min="16" max="16" width="11" style="32" bestFit="1" customWidth="1"/>
    <col min="17" max="17" width="12" style="12" bestFit="1" customWidth="1"/>
    <col min="18" max="18" width="12.88671875" style="12" bestFit="1" customWidth="1"/>
    <col min="19" max="19" width="19.6640625" style="12" bestFit="1" customWidth="1"/>
    <col min="20" max="20" width="13.109375" style="12" bestFit="1" customWidth="1"/>
    <col min="21" max="21" width="11.5546875" style="12" bestFit="1" customWidth="1"/>
    <col min="22" max="22" width="22.88671875" style="12" bestFit="1" customWidth="1"/>
    <col min="23" max="23" width="17.88671875" style="12" bestFit="1" customWidth="1"/>
    <col min="24" max="24" width="26.44140625" style="12" bestFit="1" customWidth="1"/>
    <col min="25" max="25" width="14.44140625" style="12" bestFit="1" customWidth="1"/>
    <col min="26" max="26" width="15.33203125" style="32" bestFit="1" customWidth="1"/>
    <col min="27" max="28" width="12.88671875" style="12" bestFit="1" customWidth="1"/>
    <col min="29" max="29" width="33.33203125" style="12" customWidth="1"/>
    <col min="30" max="30" width="14.44140625" style="12" bestFit="1" customWidth="1"/>
    <col min="31" max="31" width="11.5546875" style="12" bestFit="1" customWidth="1"/>
    <col min="32" max="32" width="23.5546875" style="12" bestFit="1" customWidth="1"/>
    <col min="33" max="33" width="17.88671875" style="12" bestFit="1" customWidth="1"/>
    <col min="34" max="34" width="27.33203125" style="12" bestFit="1" customWidth="1"/>
    <col min="35" max="35" width="15.33203125" style="12" bestFit="1" customWidth="1"/>
    <col min="36" max="36" width="31.5546875" style="12" bestFit="1" customWidth="1"/>
    <col min="37" max="37" width="37.44140625" style="21" bestFit="1" customWidth="1"/>
    <col min="38" max="16384" width="9.109375" style="3"/>
  </cols>
  <sheetData>
    <row r="1" spans="1:37" s="1" customFormat="1" ht="36" customHeight="1" x14ac:dyDescent="0.3">
      <c r="A1" s="1" t="str" cm="1">
        <f t="array" ref="A1:A5">_xlfn.UNIQUE('Cadastro Talhão'!B:B,FALSE,FALSE)</f>
        <v>FAZENDA</v>
      </c>
      <c r="B1" s="37" t="s">
        <v>9</v>
      </c>
      <c r="C1" s="14" t="s">
        <v>103</v>
      </c>
      <c r="D1" s="14" t="s">
        <v>25</v>
      </c>
      <c r="E1" s="14" t="s">
        <v>8</v>
      </c>
      <c r="F1" s="39" t="s">
        <v>104</v>
      </c>
      <c r="G1" s="1" t="s">
        <v>18</v>
      </c>
      <c r="H1" s="1" t="s">
        <v>14</v>
      </c>
      <c r="I1" s="1" t="s">
        <v>105</v>
      </c>
      <c r="J1" s="1" t="s">
        <v>106</v>
      </c>
      <c r="K1" s="1" t="s">
        <v>107</v>
      </c>
      <c r="L1" s="17" t="s">
        <v>108</v>
      </c>
      <c r="M1" s="1" t="s">
        <v>109</v>
      </c>
      <c r="N1" s="1" t="s">
        <v>110</v>
      </c>
      <c r="O1" s="1" t="s">
        <v>111</v>
      </c>
      <c r="P1" s="14" t="s">
        <v>19</v>
      </c>
      <c r="Q1" s="14" t="s">
        <v>14</v>
      </c>
      <c r="R1" s="14" t="s">
        <v>105</v>
      </c>
      <c r="S1" s="17" t="s">
        <v>112</v>
      </c>
      <c r="T1" s="17" t="s">
        <v>113</v>
      </c>
      <c r="U1" s="17" t="s">
        <v>114</v>
      </c>
      <c r="V1" s="14" t="s">
        <v>115</v>
      </c>
      <c r="W1" s="14" t="s">
        <v>116</v>
      </c>
      <c r="X1" s="17" t="s">
        <v>117</v>
      </c>
      <c r="Y1" s="17" t="s">
        <v>118</v>
      </c>
      <c r="Z1" s="17" t="s">
        <v>20</v>
      </c>
      <c r="AA1" s="17" t="s">
        <v>14</v>
      </c>
      <c r="AB1" s="17" t="s">
        <v>105</v>
      </c>
      <c r="AC1" s="14" t="s">
        <v>125</v>
      </c>
      <c r="AD1" s="14" t="s">
        <v>113</v>
      </c>
      <c r="AE1" s="28" t="s">
        <v>114</v>
      </c>
      <c r="AF1" s="30" t="s">
        <v>119</v>
      </c>
      <c r="AG1" s="1" t="s">
        <v>120</v>
      </c>
      <c r="AH1" s="1" t="s">
        <v>121</v>
      </c>
      <c r="AI1" s="1" t="s">
        <v>122</v>
      </c>
      <c r="AJ1" s="1" t="s">
        <v>123</v>
      </c>
      <c r="AK1" s="1" t="s">
        <v>124</v>
      </c>
    </row>
    <row r="2" spans="1:37" x14ac:dyDescent="0.3">
      <c r="A2" s="15" t="str">
        <v>FAZENDA 1</v>
      </c>
      <c r="B2" s="38">
        <f>IFERROR(AVERAGEIFS('Cadastro Talhão'!F:F,'Cadastro Talhão'!B:B,'Volume X Ritmo'!A2),"-")</f>
        <v>0.155</v>
      </c>
      <c r="C2" s="15">
        <f>IFERROR(ROUND(B2,2),"-")</f>
        <v>0.16</v>
      </c>
      <c r="D2" s="15" t="str">
        <f>IFERROR(VLOOKUP(C2,VMI!A:B,2,FALSE),"-")</f>
        <v>0,16 a 0,20</v>
      </c>
      <c r="E2" s="15">
        <f>IFERROR(AVERAGEIFS('Cadastro Talhão'!H:H,'Cadastro Talhão'!B:B,'Volume X Ritmo'!A2),"-")</f>
        <v>1.9</v>
      </c>
      <c r="F2" s="35">
        <f>IFERROR(SUMIFS('Cadastro Talhão'!G:G,'Cadastro Talhão'!B:B,'Volume X Ritmo'!A2),"-")</f>
        <v>23000</v>
      </c>
      <c r="G2" s="32" t="s">
        <v>18</v>
      </c>
      <c r="H2" s="36">
        <f>IFERROR(SUMIFS('BDT''s'!S:S,'BDT''s'!G:G,'Volume X Ritmo'!A2,'BDT''s'!L:L,'Volume X Ritmo'!G2),"-")</f>
        <v>75.200000000000045</v>
      </c>
      <c r="I2" s="35">
        <f>IFERROR(SUMIFS('BDT''s'!V:V,'BDT''s'!G:G,'Volume X Ritmo'!A2,'BDT''s'!L:L,'Volume X Ritmo'!G2),"-")</f>
        <v>7830</v>
      </c>
      <c r="J2" s="35">
        <f>IFERROR($F2-$I2,0)</f>
        <v>15170</v>
      </c>
      <c r="K2" s="35">
        <f>IFERROR($I2/$H2,0)</f>
        <v>104.12234042553185</v>
      </c>
      <c r="L2" s="21">
        <f>IF(_xlfn.MINIFS('BDT''s'!I:I,'BDT''s'!G:G,'Volume X Ritmo'!A2,'BDT''s'!L:L,'Volume X Ritmo'!G2)=0,"-",_xlfn.MINIFS('BDT''s'!I:I,'BDT''s'!G:G,'Volume X Ritmo'!A2,'BDT''s'!L:L,'Volume X Ritmo'!G2))</f>
        <v>46023</v>
      </c>
      <c r="M2" s="21">
        <f>IF(_xlfn.MAXIFS('BDT''s'!I:I,'BDT''s'!G:G,'Volume X Ritmo'!A2,'BDT''s'!L:L,'Volume X Ritmo'!G2)=0,"-",_xlfn.MINIFS('BDT''s'!I:I,'BDT''s'!G:G,'Volume X Ritmo'!A2,'BDT''s'!L:L,'Volume X Ritmo'!G2))</f>
        <v>46023</v>
      </c>
      <c r="N2" s="21">
        <f>IFERROR(IF(IF((L2+(H2/16))&lt;M2,(M2+(H2/16)),(L2+(H2/16)))=0,"-",IF((L2+(H2/16))&lt;M2,(M2+(H2/16)),(L2+(H2/16)))),"-")</f>
        <v>46027.7</v>
      </c>
      <c r="O2" s="21" t="str">
        <f>IFERROR(IF(INT(N2)=INT(M2),"SIM","NÃO"),"-")</f>
        <v>NÃO</v>
      </c>
      <c r="P2" s="32" t="s">
        <v>19</v>
      </c>
      <c r="Q2" s="36">
        <f>IFERROR(SUMIFS('BDT''s'!S:S,'BDT''s'!G:G,'Volume X Ritmo'!A2,'BDT''s'!L:L,'Volume X Ritmo'!P2),"-")</f>
        <v>58</v>
      </c>
      <c r="R2" s="35">
        <f>IFERROR(SUMIFS('BDT''s'!V:V,'BDT''s'!G:G,'Volume X Ritmo'!A2,'BDT''s'!L:L,'Volume X Ritmo'!P2),"-")</f>
        <v>5530</v>
      </c>
      <c r="S2" s="35">
        <f>IFERROR(IF((I2-R2&lt;0),0,(I2-R2)),"-")</f>
        <v>2300</v>
      </c>
      <c r="T2" s="35">
        <f>IFERROR(R2/Q2,0)</f>
        <v>95.34482758620689</v>
      </c>
      <c r="U2" s="35" t="str" cm="1">
        <f t="array" ref="U2">IFERROR(INDEX(VMI!$A:$AAL,MATCH(1,(VMI!$A:$A=C2)*(VMI!$B:$B=D2),0),MATCH(P2,VMI!$1:$1,0)+1)*(AVERAGEIFS('Metas Produção'!I:I,'Metas Produção'!B:B,'BDT''s'!#REF!)),"-")</f>
        <v>-</v>
      </c>
      <c r="V2" s="21">
        <f>IF(_xlfn.MINIFS('BDT''s'!I:I,'BDT''s'!G:G,'Volume X Ritmo'!A2,'BDT''s'!L:L,'Volume X Ritmo'!P2)=0,"-",_xlfn.MINIFS('BDT''s'!I:I,'BDT''s'!G:G,'Volume X Ritmo'!A2,'BDT''s'!L:L,'Volume X Ritmo'!P2))</f>
        <v>46023</v>
      </c>
      <c r="W2" s="21">
        <f>IF(_xlfn.MAXIFS('BDT''s'!I:I,'BDT''s'!G:G,'Volume X Ritmo'!A2,'BDT''s'!L:L,'Volume X Ritmo'!P2)=0,"-",_xlfn.MINIFS('BDT''s'!I:I,'BDT''s'!G:G,'Volume X Ritmo'!A2,'BDT''s'!L:L,'Volume X Ritmo'!P2))</f>
        <v>46023</v>
      </c>
      <c r="X2" s="21">
        <f>IFERROR(IF(IF(IF(S2=0, V2+(S2/U2), V2+(S2/T2)) &lt; W2, IF(S2=0, W2+(S2/U2), W2+(S2/T2)), IF(S2=0, V2+(S2/U2), V2+(S2/T2)))=0,"-",IF(IF(S2=0, V2+(S2/U2), V2+(S2/T2)) &lt; W2, IF(S2=0, W2+(S2/U2), W2+(S2/T2)), IF(S2=0, V2+(S2/U2), V2+(S2/T2)))),"-")</f>
        <v>46047.122965641953</v>
      </c>
      <c r="Y2" s="21" t="str">
        <f>IFERROR(IF(INT(X2)=INT(W2),"SIM","NÃO"),"-")</f>
        <v>NÃO</v>
      </c>
      <c r="Z2" s="32" t="s">
        <v>20</v>
      </c>
      <c r="AA2" s="36">
        <f>IFERROR(SUMIFS('BDT''s'!S:S,'BDT''s'!G:G,'Volume X Ritmo'!A2,'BDT''s'!L:L,'Volume X Ritmo'!Z2),"-")</f>
        <v>60</v>
      </c>
      <c r="AB2" s="35">
        <f>IFERROR(SUMIFS('BDT''s'!V:V,'BDT''s'!G:G,'Volume X Ritmo'!A2,'BDT''s'!L:L,'Volume X Ritmo'!Z2),"-")</f>
        <v>3970</v>
      </c>
      <c r="AC2" s="35">
        <f>IF((R2-AB2&lt;0),0,(R2-AB2))</f>
        <v>1560</v>
      </c>
      <c r="AD2" s="35">
        <f>IFERROR(AB2/AA2,0)</f>
        <v>66.166666666666671</v>
      </c>
      <c r="AE2" s="35" t="str" cm="1">
        <f t="array" ref="AE2">IFERROR(INDEX(VMI!$A:$AAL,MATCH(1,(VMI!$A:$A=C2)*(VMI!$B:$B=D2),0),MATCH(Z2,VMI!$1:$1,0)+1)*(AVERAGEIFS('Metas Produção'!I:I,'Metas Produção'!B:B,'BDT''s'!#REF!)),"-")</f>
        <v>-</v>
      </c>
      <c r="AF2" s="21">
        <f>IF(_xlfn.MINIFS('BDT''s'!I:I,'BDT''s'!G:G,'Volume X Ritmo'!A2,'BDT''s'!L:L,'Volume X Ritmo'!Z2)=0,"-",_xlfn.MINIFS('BDT''s'!I:I,'BDT''s'!G:G,'Volume X Ritmo'!A2,'BDT''s'!L:L,'Volume X Ritmo'!Z2))</f>
        <v>46023</v>
      </c>
      <c r="AG2" s="21">
        <f>IF(_xlfn.MAXIFS('BDT''s'!I:I,'BDT''s'!G:G,'Volume X Ritmo'!A2,'BDT''s'!L:L,'Volume X Ritmo'!Z2)=0,"-",_xlfn.MINIFS('BDT''s'!I:I,'BDT''s'!G:G,'Volume X Ritmo'!A2,'BDT''s'!L:L,'Volume X Ritmo'!Z2))</f>
        <v>46023</v>
      </c>
      <c r="AH2" s="21">
        <f>IFERROR(IF(IF(IF(AC2=0, AF2+(AC2/AE2), AF2+(AC2/AD2)) &lt; AG2, IF(AC2=0, AG2+(AC2/AE2), AG2+(AC2/AD2)), IF(AC2=0, AF2+(AC2/AE2), AF2+(AC2/AD2)))=0,"-",IF(IF(AC2=0, AF2+(AC2/AE2), AF2+(AC2/AD2)) &lt; AG2, IF(AC2=0, AG2+(AC2/AE2), AG2+(AC2/AD2)), IF(AC2=0, AF2+(AC2/AE2), AF2+(AC2/AD2)))),"-")</f>
        <v>46046.576826196477</v>
      </c>
      <c r="AI2" s="21" t="str">
        <f>IFERROR(IF(INT(AH2)=INT(AG2),"SIM","NÃO"),"-")</f>
        <v>NÃO</v>
      </c>
      <c r="AJ2" s="35">
        <f>IF((I2-AB2)&lt;0,0,(I2-AB2))</f>
        <v>3860</v>
      </c>
      <c r="AK2" s="21">
        <f ca="1">IFERROR(IF(IF(OR(AF2=0,AG2=0),TODAY()+AJ2/IF(AJ2=0,1,IF(AE2=0,1,AE2)),IF(AF2+AJ2/IF(AJ2=0,1,IF(AD2=0,1,AD2))&lt;AG2,AG2+AJ2/IF(AJ2=0,1,IF(AD2=0,1,AD2)),AF2+AJ2/IF(AJ2=0,1,IF(AD2=0,1,AD2))))=0,"-",IF(OR(AF2=0,AG2=0),TODAY()+AJ2/IF(AJ2=0,1,IF(AE2=0,1,AE2)),IF(AF2+AJ2/IF(AJ2=0,1,IF(AD2=0,1,AD2))&lt;AG2,AG2+AJ2/IF(AJ2=0,1,IF(AD2=0,1,AD2)),AF2+AJ2/IF(AJ2=0,1,IF(AD2=0,1,AD2))))),"-")</f>
        <v>46081.337531486148</v>
      </c>
    </row>
    <row r="3" spans="1:37" x14ac:dyDescent="0.3">
      <c r="A3" s="15" t="str">
        <v>FAZENDA 2</v>
      </c>
      <c r="B3" s="38">
        <f>IFERROR(AVERAGEIFS('Cadastro Talhão'!F:F,'Cadastro Talhão'!B:B,'Volume X Ritmo'!A3),"-")</f>
        <v>0.10500000000000001</v>
      </c>
      <c r="C3" s="15">
        <f t="shared" ref="C3:C4" si="0">IFERROR(ROUND(B3,2),"-")</f>
        <v>0.11</v>
      </c>
      <c r="D3" s="15" t="str">
        <f>IFERROR(VLOOKUP(C3,VMI!A:B,2,FALSE),"-")</f>
        <v>0,11 a 0,15</v>
      </c>
      <c r="E3" s="15">
        <f>IFERROR(AVERAGEIFS('Cadastro Talhão'!H:H,'Cadastro Talhão'!B:B,'Volume X Ritmo'!A3),"-")</f>
        <v>1.9</v>
      </c>
      <c r="F3" s="35">
        <f>IFERROR(SUMIFS('Cadastro Talhão'!G:G,'Cadastro Talhão'!B:B,'Volume X Ritmo'!A3),"-")</f>
        <v>14500</v>
      </c>
      <c r="G3" s="32" t="s">
        <v>18</v>
      </c>
      <c r="H3" s="36">
        <f>IFERROR(SUMIFS('BDT''s'!S:S,'BDT''s'!G:G,'Volume X Ritmo'!A3,'BDT''s'!L:L,'Volume X Ritmo'!G3),"-")</f>
        <v>0</v>
      </c>
      <c r="I3" s="35">
        <f>IFERROR(SUMIFS('BDT''s'!V:V,'BDT''s'!G:G,'Volume X Ritmo'!A3,'BDT''s'!L:L,'Volume X Ritmo'!G3),"-")</f>
        <v>0</v>
      </c>
      <c r="J3" s="35">
        <f t="shared" ref="J3:J4" si="1">IFERROR($F3-$I3,0)</f>
        <v>14500</v>
      </c>
      <c r="K3" s="35">
        <f t="shared" ref="K3:K4" si="2">IFERROR($I3/$H3,0)</f>
        <v>0</v>
      </c>
      <c r="L3" s="21" t="str">
        <f>IF(_xlfn.MINIFS('BDT''s'!I:I,'BDT''s'!G:G,'Volume X Ritmo'!A3,'BDT''s'!L:L,'Volume X Ritmo'!G3)=0,"-",_xlfn.MINIFS('BDT''s'!I:I,'BDT''s'!G:G,'Volume X Ritmo'!A3,'BDT''s'!L:L,'Volume X Ritmo'!G3))</f>
        <v>-</v>
      </c>
      <c r="M3" s="21" t="str">
        <f>IF(_xlfn.MAXIFS('BDT''s'!I:I,'BDT''s'!G:G,'Volume X Ritmo'!A3,'BDT''s'!L:L,'Volume X Ritmo'!G3)=0,"-",_xlfn.MINIFS('BDT''s'!I:I,'BDT''s'!G:G,'Volume X Ritmo'!A3,'BDT''s'!L:L,'Volume X Ritmo'!G3))</f>
        <v>-</v>
      </c>
      <c r="N3" s="21" t="str">
        <f t="shared" ref="N3:N4" si="3">IFERROR(IF(IF((L3+(H3/16))&lt;M3,(M3+(H3/16)),(L3+(H3/16)))=0,"-",IF((L3+(H3/16))&lt;M3,(M3+(H3/16)),(L3+(H3/16)))),"-")</f>
        <v>-</v>
      </c>
      <c r="O3" s="21" t="str">
        <f t="shared" ref="O3:O4" si="4">IFERROR(IF(INT(N3)=INT(M3),"SIM","NÃO"),"-")</f>
        <v>-</v>
      </c>
      <c r="P3" s="32" t="s">
        <v>19</v>
      </c>
      <c r="Q3" s="36">
        <f>IFERROR(SUMIFS('BDT''s'!S:S,'BDT''s'!G:G,'Volume X Ritmo'!A3,'BDT''s'!L:L,'Volume X Ritmo'!P3),"-")</f>
        <v>0</v>
      </c>
      <c r="R3" s="35">
        <f>IFERROR(SUMIFS('BDT''s'!V:V,'BDT''s'!G:G,'Volume X Ritmo'!A3,'BDT''s'!L:L,'Volume X Ritmo'!P3),"-")</f>
        <v>0</v>
      </c>
      <c r="S3" s="35">
        <f t="shared" ref="S3:S4" si="5">IFERROR(IF((I3-R3&lt;0),0,(I3-R3)),"-")</f>
        <v>0</v>
      </c>
      <c r="T3" s="35">
        <f t="shared" ref="T3:T4" si="6">IFERROR(R3/Q3,0)</f>
        <v>0</v>
      </c>
      <c r="U3" s="35" t="str" cm="1">
        <f t="array" ref="U3">IFERROR(INDEX(VMI!$A:$AAL,MATCH(1,(VMI!$A:$A=C3)*(VMI!$B:$B=D3),0),MATCH(P3,VMI!$1:$1,0)+1)*(AVERAGEIFS('Metas Produção'!I:I,'Metas Produção'!B:B,'BDT''s'!#REF!)),"-")</f>
        <v>-</v>
      </c>
      <c r="V3" s="21" t="str">
        <f>IF(_xlfn.MINIFS('BDT''s'!I:I,'BDT''s'!G:G,'Volume X Ritmo'!A3,'BDT''s'!L:L,'Volume X Ritmo'!P3)=0,"-",_xlfn.MINIFS('BDT''s'!I:I,'BDT''s'!G:G,'Volume X Ritmo'!A3,'BDT''s'!L:L,'Volume X Ritmo'!P3))</f>
        <v>-</v>
      </c>
      <c r="W3" s="21" t="str">
        <f>IF(_xlfn.MAXIFS('BDT''s'!I:I,'BDT''s'!G:G,'Volume X Ritmo'!A3,'BDT''s'!L:L,'Volume X Ritmo'!P3)=0,"-",_xlfn.MINIFS('BDT''s'!I:I,'BDT''s'!G:G,'Volume X Ritmo'!A3,'BDT''s'!L:L,'Volume X Ritmo'!P3))</f>
        <v>-</v>
      </c>
      <c r="X3" s="21" t="str">
        <f t="shared" ref="X3:X4" si="7">IFERROR(IF(IF(IF(S3=0, V3+(S3/U3), V3+(S3/T3)) &lt; W3, IF(S3=0, W3+(S3/U3), W3+(S3/T3)), IF(S3=0, V3+(S3/U3), V3+(S3/T3)))=0,"-",IF(IF(S3=0, V3+(S3/U3), V3+(S3/T3)) &lt; W3, IF(S3=0, W3+(S3/U3), W3+(S3/T3)), IF(S3=0, V3+(S3/U3), V3+(S3/T3)))),"-")</f>
        <v>-</v>
      </c>
      <c r="Y3" s="21" t="str">
        <f t="shared" ref="Y3:Y4" si="8">IFERROR(IF(INT(X3)=INT(W3),"SIM","NÃO"),"-")</f>
        <v>-</v>
      </c>
      <c r="Z3" s="32" t="s">
        <v>20</v>
      </c>
      <c r="AA3" s="36">
        <f>IFERROR(SUMIFS('BDT''s'!S:S,'BDT''s'!G:G,'Volume X Ritmo'!A3,'BDT''s'!L:L,'Volume X Ritmo'!Z3),"-")</f>
        <v>0</v>
      </c>
      <c r="AB3" s="35">
        <f>IFERROR(SUMIFS('BDT''s'!V:V,'BDT''s'!G:G,'Volume X Ritmo'!A3,'BDT''s'!L:L,'Volume X Ritmo'!Z3),"-")</f>
        <v>0</v>
      </c>
      <c r="AC3" s="35">
        <f t="shared" ref="AC3:AC4" si="9">IF((R3-AB3&lt;0),0,(R3-AB3))</f>
        <v>0</v>
      </c>
      <c r="AD3" s="35">
        <f t="shared" ref="AD3:AD4" si="10">IFERROR(AB3/AA3,0)</f>
        <v>0</v>
      </c>
      <c r="AE3" s="35" t="str" cm="1">
        <f t="array" ref="AE3">IFERROR(INDEX(VMI!$A:$AAL,MATCH(1,(VMI!$A:$A=C3)*(VMI!$B:$B=D3),0),MATCH(Z3,VMI!$1:$1,0)+1)*(AVERAGEIFS('Metas Produção'!I:I,'Metas Produção'!B:B,'BDT''s'!#REF!)),"-")</f>
        <v>-</v>
      </c>
      <c r="AF3" s="21" t="str">
        <f>IF(_xlfn.MINIFS('BDT''s'!I:I,'BDT''s'!G:G,'Volume X Ritmo'!A3,'BDT''s'!L:L,'Volume X Ritmo'!Z3)=0,"-",_xlfn.MINIFS('BDT''s'!I:I,'BDT''s'!G:G,'Volume X Ritmo'!A3,'BDT''s'!L:L,'Volume X Ritmo'!Z3))</f>
        <v>-</v>
      </c>
      <c r="AG3" s="21" t="str">
        <f>IF(_xlfn.MAXIFS('BDT''s'!I:I,'BDT''s'!G:G,'Volume X Ritmo'!A3,'BDT''s'!L:L,'Volume X Ritmo'!Z3)=0,"-",_xlfn.MINIFS('BDT''s'!I:I,'BDT''s'!G:G,'Volume X Ritmo'!A3,'BDT''s'!L:L,'Volume X Ritmo'!Z3))</f>
        <v>-</v>
      </c>
      <c r="AH3" s="21" t="str">
        <f t="shared" ref="AH3:AH4" si="11">IFERROR(IF(IF(IF(AC3=0, AF3+(AC3/AE3), AF3+(AC3/AD3)) &lt; AG3, IF(AC3=0, AG3+(AC3/AE3), AG3+(AC3/AD3)), IF(AC3=0, AF3+(AC3/AE3), AF3+(AC3/AD3)))=0,"-",IF(IF(AC3=0, AF3+(AC3/AE3), AF3+(AC3/AD3)) &lt; AG3, IF(AC3=0, AG3+(AC3/AE3), AG3+(AC3/AD3)), IF(AC3=0, AF3+(AC3/AE3), AF3+(AC3/AD3)))),"-")</f>
        <v>-</v>
      </c>
      <c r="AI3" s="21" t="str">
        <f t="shared" ref="AI3:AI4" si="12">IFERROR(IF(INT(AH3)=INT(AG3),"SIM","NÃO"),"-")</f>
        <v>-</v>
      </c>
      <c r="AJ3" s="35">
        <f t="shared" ref="AJ3:AJ4" si="13">IF((I3-AB3)&lt;0,0,(I3-AB3))</f>
        <v>0</v>
      </c>
      <c r="AK3" s="21" t="str">
        <f t="shared" ref="AK3:AK4" ca="1" si="14">IFERROR(IF(IF(OR(AF3=0,AG3=0),TODAY()+AJ3/IF(AJ3=0,1,IF(AE3=0,1,AE3)),IF(AF3+AJ3/IF(AJ3=0,1,IF(AD3=0,1,AD3))&lt;AG3,AG3+AJ3/IF(AJ3=0,1,IF(AD3=0,1,AD3)),AF3+AJ3/IF(AJ3=0,1,IF(AD3=0,1,AD3))))=0,"-",IF(OR(AF3=0,AG3=0),TODAY()+AJ3/IF(AJ3=0,1,IF(AE3=0,1,AE3)),IF(AF3+AJ3/IF(AJ3=0,1,IF(AD3=0,1,AD3))&lt;AG3,AG3+AJ3/IF(AJ3=0,1,IF(AD3=0,1,AD3)),AF3+AJ3/IF(AJ3=0,1,IF(AD3=0,1,AD3))))),"-")</f>
        <v>-</v>
      </c>
    </row>
    <row r="4" spans="1:37" x14ac:dyDescent="0.3">
      <c r="A4" s="15" t="str">
        <v>FAZENDA 3</v>
      </c>
      <c r="B4" s="38">
        <f>IFERROR(AVERAGEIFS('Cadastro Talhão'!F:F,'Cadastro Talhão'!B:B,'Volume X Ritmo'!A4),"-")</f>
        <v>0.15000000000000002</v>
      </c>
      <c r="C4" s="15">
        <f t="shared" si="0"/>
        <v>0.15</v>
      </c>
      <c r="D4" s="15" t="str">
        <f>IFERROR(VLOOKUP(C4,VMI!A:B,2,FALSE),"-")</f>
        <v>0,11 a 0,15</v>
      </c>
      <c r="E4" s="15">
        <f>IFERROR(AVERAGEIFS('Cadastro Talhão'!H:H,'Cadastro Talhão'!B:B,'Volume X Ritmo'!A4),"-")</f>
        <v>1.9</v>
      </c>
      <c r="F4" s="35">
        <f>IFERROR(SUMIFS('Cadastro Talhão'!G:G,'Cadastro Talhão'!B:B,'Volume X Ritmo'!A4),"-")</f>
        <v>33000</v>
      </c>
      <c r="G4" s="32" t="s">
        <v>18</v>
      </c>
      <c r="H4" s="36">
        <f>IFERROR(SUMIFS('BDT''s'!S:S,'BDT''s'!G:G,'Volume X Ritmo'!A4,'BDT''s'!L:L,'Volume X Ritmo'!G4),"-")</f>
        <v>0</v>
      </c>
      <c r="I4" s="35">
        <f>IFERROR(SUMIFS('BDT''s'!V:V,'BDT''s'!G:G,'Volume X Ritmo'!A4,'BDT''s'!L:L,'Volume X Ritmo'!G4),"-")</f>
        <v>0</v>
      </c>
      <c r="J4" s="35">
        <f t="shared" si="1"/>
        <v>33000</v>
      </c>
      <c r="K4" s="35">
        <f t="shared" si="2"/>
        <v>0</v>
      </c>
      <c r="L4" s="21" t="str">
        <f>IF(_xlfn.MINIFS('BDT''s'!I:I,'BDT''s'!G:G,'Volume X Ritmo'!A4,'BDT''s'!L:L,'Volume X Ritmo'!G4)=0,"-",_xlfn.MINIFS('BDT''s'!I:I,'BDT''s'!G:G,'Volume X Ritmo'!A4,'BDT''s'!L:L,'Volume X Ritmo'!G4))</f>
        <v>-</v>
      </c>
      <c r="M4" s="21" t="str">
        <f>IF(_xlfn.MAXIFS('BDT''s'!I:I,'BDT''s'!G:G,'Volume X Ritmo'!A4,'BDT''s'!L:L,'Volume X Ritmo'!G4)=0,"-",_xlfn.MINIFS('BDT''s'!I:I,'BDT''s'!G:G,'Volume X Ritmo'!A4,'BDT''s'!L:L,'Volume X Ritmo'!G4))</f>
        <v>-</v>
      </c>
      <c r="N4" s="21" t="str">
        <f t="shared" si="3"/>
        <v>-</v>
      </c>
      <c r="O4" s="21" t="str">
        <f t="shared" si="4"/>
        <v>-</v>
      </c>
      <c r="P4" s="32" t="s">
        <v>19</v>
      </c>
      <c r="Q4" s="36">
        <f>IFERROR(SUMIFS('BDT''s'!S:S,'BDT''s'!G:G,'Volume X Ritmo'!A4,'BDT''s'!L:L,'Volume X Ritmo'!P4),"-")</f>
        <v>0</v>
      </c>
      <c r="R4" s="35">
        <f>IFERROR(SUMIFS('BDT''s'!V:V,'BDT''s'!G:G,'Volume X Ritmo'!A4,'BDT''s'!L:L,'Volume X Ritmo'!P4),"-")</f>
        <v>0</v>
      </c>
      <c r="S4" s="35">
        <f t="shared" si="5"/>
        <v>0</v>
      </c>
      <c r="T4" s="35">
        <f t="shared" si="6"/>
        <v>0</v>
      </c>
      <c r="U4" s="35" t="str" cm="1">
        <f t="array" ref="U4">IFERROR(INDEX(VMI!$A:$AAL,MATCH(1,(VMI!$A:$A=C4)*(VMI!$B:$B=D4),0),MATCH(P4,VMI!$1:$1,0)+1)*(AVERAGEIFS('Metas Produção'!I:I,'Metas Produção'!B:B,'BDT''s'!#REF!)),"-")</f>
        <v>-</v>
      </c>
      <c r="V4" s="21" t="str">
        <f>IF(_xlfn.MINIFS('BDT''s'!I:I,'BDT''s'!G:G,'Volume X Ritmo'!A4,'BDT''s'!L:L,'Volume X Ritmo'!P4)=0,"-",_xlfn.MINIFS('BDT''s'!I:I,'BDT''s'!G:G,'Volume X Ritmo'!A4,'BDT''s'!L:L,'Volume X Ritmo'!P4))</f>
        <v>-</v>
      </c>
      <c r="W4" s="21" t="str">
        <f>IF(_xlfn.MAXIFS('BDT''s'!I:I,'BDT''s'!G:G,'Volume X Ritmo'!A4,'BDT''s'!L:L,'Volume X Ritmo'!P4)=0,"-",_xlfn.MINIFS('BDT''s'!I:I,'BDT''s'!G:G,'Volume X Ritmo'!A4,'BDT''s'!L:L,'Volume X Ritmo'!P4))</f>
        <v>-</v>
      </c>
      <c r="X4" s="21" t="str">
        <f t="shared" si="7"/>
        <v>-</v>
      </c>
      <c r="Y4" s="21" t="str">
        <f t="shared" si="8"/>
        <v>-</v>
      </c>
      <c r="Z4" s="32" t="s">
        <v>20</v>
      </c>
      <c r="AA4" s="36">
        <f>IFERROR(SUMIFS('BDT''s'!S:S,'BDT''s'!G:G,'Volume X Ritmo'!A4,'BDT''s'!L:L,'Volume X Ritmo'!Z4),"-")</f>
        <v>0</v>
      </c>
      <c r="AB4" s="35">
        <f>IFERROR(SUMIFS('BDT''s'!V:V,'BDT''s'!G:G,'Volume X Ritmo'!A4,'BDT''s'!L:L,'Volume X Ritmo'!Z4),"-")</f>
        <v>0</v>
      </c>
      <c r="AC4" s="35">
        <f t="shared" si="9"/>
        <v>0</v>
      </c>
      <c r="AD4" s="35">
        <f t="shared" si="10"/>
        <v>0</v>
      </c>
      <c r="AE4" s="35" t="str" cm="1">
        <f t="array" ref="AE4">IFERROR(INDEX(VMI!$A:$AAL,MATCH(1,(VMI!$A:$A=C4)*(VMI!$B:$B=D4),0),MATCH(Z4,VMI!$1:$1,0)+1)*(AVERAGEIFS('Metas Produção'!I:I,'Metas Produção'!B:B,'BDT''s'!#REF!)),"-")</f>
        <v>-</v>
      </c>
      <c r="AF4" s="21" t="str">
        <f>IF(_xlfn.MINIFS('BDT''s'!I:I,'BDT''s'!G:G,'Volume X Ritmo'!A4,'BDT''s'!L:L,'Volume X Ritmo'!Z4)=0,"-",_xlfn.MINIFS('BDT''s'!I:I,'BDT''s'!G:G,'Volume X Ritmo'!A4,'BDT''s'!L:L,'Volume X Ritmo'!Z4))</f>
        <v>-</v>
      </c>
      <c r="AG4" s="21" t="str">
        <f>IF(_xlfn.MAXIFS('BDT''s'!I:I,'BDT''s'!G:G,'Volume X Ritmo'!A4,'BDT''s'!L:L,'Volume X Ritmo'!Z4)=0,"-",_xlfn.MINIFS('BDT''s'!I:I,'BDT''s'!G:G,'Volume X Ritmo'!A4,'BDT''s'!L:L,'Volume X Ritmo'!Z4))</f>
        <v>-</v>
      </c>
      <c r="AH4" s="21" t="str">
        <f t="shared" si="11"/>
        <v>-</v>
      </c>
      <c r="AI4" s="21" t="str">
        <f t="shared" si="12"/>
        <v>-</v>
      </c>
      <c r="AJ4" s="35">
        <f t="shared" si="13"/>
        <v>0</v>
      </c>
      <c r="AK4" s="21" t="str">
        <f t="shared" ca="1" si="14"/>
        <v>-</v>
      </c>
    </row>
    <row r="5" spans="1:37" x14ac:dyDescent="0.3">
      <c r="A5" s="12">
        <v>0</v>
      </c>
    </row>
  </sheetData>
  <phoneticPr fontId="2" type="noConversion"/>
  <conditionalFormatting sqref="AC1">
    <cfRule type="cellIs" dxfId="14" priority="1" operator="equal">
      <formula>"ALTO"</formula>
    </cfRule>
    <cfRule type="cellIs" dxfId="13" priority="2" operator="equal">
      <formula>"MEDIO"</formula>
    </cfRule>
    <cfRule type="cellIs" dxfId="12" priority="3" operator="equal">
      <formula>"BAIXO"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2C1FD-2177-4522-90CA-C534658F9B72}">
  <dimension ref="A1:AF100"/>
  <sheetViews>
    <sheetView zoomScale="75" zoomScaleNormal="75" workbookViewId="0">
      <pane ySplit="1" topLeftCell="A2" activePane="bottomLeft" state="frozen"/>
      <selection pane="bottomLeft" activeCell="I23" sqref="I23"/>
    </sheetView>
  </sheetViews>
  <sheetFormatPr defaultColWidth="8.88671875" defaultRowHeight="14.4" x14ac:dyDescent="0.3"/>
  <cols>
    <col min="1" max="1" width="12.5546875" style="15" customWidth="1"/>
    <col min="2" max="2" width="12.88671875" style="12" customWidth="1"/>
    <col min="3" max="3" width="10.5546875" style="3" customWidth="1"/>
    <col min="4" max="4" width="10.6640625" style="18" customWidth="1"/>
    <col min="5" max="6" width="10.5546875" style="18" customWidth="1"/>
    <col min="7" max="7" width="14.33203125" style="18" customWidth="1"/>
    <col min="8" max="8" width="14.44140625" style="15" customWidth="1"/>
    <col min="9" max="9" width="13.44140625" style="12" customWidth="1"/>
    <col min="10" max="10" width="11.6640625" style="15" customWidth="1"/>
    <col min="11" max="12" width="11.6640625" style="18" customWidth="1"/>
    <col min="13" max="13" width="10.6640625" style="3" customWidth="1"/>
    <col min="14" max="14" width="10.6640625" style="18" customWidth="1"/>
    <col min="15" max="16" width="10.5546875" style="18" customWidth="1"/>
    <col min="17" max="17" width="14.33203125" style="18" customWidth="1"/>
    <col min="18" max="18" width="14.44140625" style="15" customWidth="1"/>
    <col min="19" max="19" width="13.44140625" style="12" customWidth="1"/>
    <col min="20" max="20" width="13.5546875" style="15" customWidth="1"/>
    <col min="21" max="22" width="13.5546875" style="18" customWidth="1"/>
    <col min="23" max="23" width="15.33203125" style="3" customWidth="1"/>
    <col min="24" max="24" width="10.6640625" style="18" customWidth="1"/>
    <col min="25" max="26" width="10.5546875" style="18" customWidth="1"/>
    <col min="27" max="27" width="14.33203125" style="18" customWidth="1"/>
    <col min="28" max="28" width="14.44140625" style="15" customWidth="1"/>
    <col min="29" max="29" width="13.44140625" style="12" customWidth="1"/>
    <col min="30" max="30" width="14.44140625" style="15" customWidth="1"/>
    <col min="31" max="32" width="14.44140625" style="18" customWidth="1"/>
    <col min="33" max="16384" width="8.88671875" style="3"/>
  </cols>
  <sheetData>
    <row r="1" spans="1:32" s="1" customFormat="1" ht="36" customHeight="1" x14ac:dyDescent="0.3">
      <c r="A1" s="14" t="s">
        <v>26</v>
      </c>
      <c r="B1" s="1" t="s">
        <v>27</v>
      </c>
      <c r="C1" s="1" t="s">
        <v>18</v>
      </c>
      <c r="D1" s="17" t="s">
        <v>40</v>
      </c>
      <c r="E1" s="17" t="s">
        <v>56</v>
      </c>
      <c r="F1" s="17" t="s">
        <v>57</v>
      </c>
      <c r="G1" s="17" t="s">
        <v>41</v>
      </c>
      <c r="H1" s="14" t="s">
        <v>39</v>
      </c>
      <c r="I1" s="14" t="s">
        <v>73</v>
      </c>
      <c r="J1" s="14" t="s">
        <v>76</v>
      </c>
      <c r="K1" s="17" t="s">
        <v>54</v>
      </c>
      <c r="L1" s="17" t="s">
        <v>55</v>
      </c>
      <c r="M1" s="1" t="s">
        <v>19</v>
      </c>
      <c r="N1" s="17" t="s">
        <v>40</v>
      </c>
      <c r="O1" s="17" t="s">
        <v>56</v>
      </c>
      <c r="P1" s="17" t="s">
        <v>57</v>
      </c>
      <c r="Q1" s="17" t="s">
        <v>41</v>
      </c>
      <c r="R1" s="14" t="s">
        <v>39</v>
      </c>
      <c r="S1" s="14" t="s">
        <v>74</v>
      </c>
      <c r="T1" s="14" t="s">
        <v>77</v>
      </c>
      <c r="U1" s="17" t="s">
        <v>54</v>
      </c>
      <c r="V1" s="17" t="s">
        <v>55</v>
      </c>
      <c r="W1" s="1" t="s">
        <v>20</v>
      </c>
      <c r="X1" s="17" t="s">
        <v>40</v>
      </c>
      <c r="Y1" s="17" t="s">
        <v>56</v>
      </c>
      <c r="Z1" s="17" t="s">
        <v>57</v>
      </c>
      <c r="AA1" s="17" t="s">
        <v>41</v>
      </c>
      <c r="AB1" s="14" t="s">
        <v>39</v>
      </c>
      <c r="AC1" s="14" t="s">
        <v>75</v>
      </c>
      <c r="AD1" s="14" t="s">
        <v>78</v>
      </c>
      <c r="AE1" s="17" t="s">
        <v>54</v>
      </c>
      <c r="AF1" s="17" t="s">
        <v>55</v>
      </c>
    </row>
    <row r="2" spans="1:32" x14ac:dyDescent="0.3">
      <c r="A2" s="15">
        <v>0.01</v>
      </c>
      <c r="B2" s="12" t="s">
        <v>28</v>
      </c>
      <c r="C2" s="3" t="s">
        <v>18</v>
      </c>
      <c r="D2" s="18" t="str">
        <f>IFERROR(AVERAGEIFS('BDT''s'!W:W,'BDT''s'!L:L,VMI!C2,'BDT''s'!F:F,VMI!B2,'BDT''s'!E:E,VMI!A2),"-")</f>
        <v>-</v>
      </c>
      <c r="E2" s="18" t="str" cm="1">
        <f t="array" ref="E2">IFERROR(_xlfn.PERCENTILE.INC(_xlfn._xlws.FILTER('BDT''s'!W:W,('BDT''s'!L:L=VMI!C2)*('BDT''s'!F:F=VMI!B2)*('BDT''s'!E:E=VMI!A2)),0.5),"-")</f>
        <v>-</v>
      </c>
      <c r="F2" s="18" t="str" cm="1">
        <f t="array" ref="F2">IFERROR(_xlfn.PERCENTILE.INC(_xlfn._xlws.FILTER('BDT''s'!W:W,('BDT''s'!L:L=VMI!C2)*('BDT''s'!F:F=VMI!B2)*('BDT''s'!E:E=VMI!A2)),0.75),"-")</f>
        <v>-</v>
      </c>
      <c r="G2" s="18">
        <f>IFERROR(_xlfn.MAXIFS('BDT''s'!W:W,'BDT''s'!L:L,VMI!C2,'BDT''s'!F:F,VMI!B2,'BDT''s'!E:E,VMI!A2),"-")</f>
        <v>0</v>
      </c>
      <c r="H2" s="16">
        <f>IFERROR(COUNTIFS('BDT''s'!L:L,VMI!C2,'BDT''s'!F:F,VMI!B2,'BDT''s'!E:E,VMI!A2),"-")</f>
        <v>0</v>
      </c>
      <c r="I2" s="12" t="str">
        <f>IFERROR(IF(D2="-","-",IF(D2&lt;E2,"BAIXO",IF(AND(D2&gt;=E2,D2&lt;F2),"MEDIO",IF(AND(D2&gt;=F2,D2&lt;=G2),"ALTO","-")))),"-")</f>
        <v>-</v>
      </c>
      <c r="J2" s="16" t="str">
        <f>IFERROR(AVERAGE((E2/D2),(F2/D2)),"-")</f>
        <v>-</v>
      </c>
      <c r="K2" s="18" t="str">
        <f>IFERROR(AVERAGEIFS('BDT''s'!$W:$W,'BDT''s'!$L:$L,VMI!C2,'BDT''s'!$F:$F,VMI!$B2,'BDT''s'!$E:$E,VMI!$A2)*J2,"-")</f>
        <v>-</v>
      </c>
      <c r="L2" s="18" t="str">
        <f>IFERROR(K2*J2,"-")</f>
        <v>-</v>
      </c>
      <c r="M2" s="3" t="s">
        <v>19</v>
      </c>
      <c r="N2" s="18" t="str">
        <f>IFERROR(AVERAGEIFS('BDT''s'!W:W,'BDT''s'!L:L,VMI!M2,'BDT''s'!F:F,VMI!B2,'BDT''s'!E:E,VMI!A2),"-")</f>
        <v>-</v>
      </c>
      <c r="O2" s="18" t="str" cm="1">
        <f t="array" ref="O2">IFERROR(_xlfn.PERCENTILE.INC(_xlfn._xlws.FILTER('BDT''s'!W:W,('BDT''s'!L:L=VMI!M2)*('BDT''s'!F:F=VMI!B2)*('BDT''s'!E:E=VMI!A2)),0.5),"-")</f>
        <v>-</v>
      </c>
      <c r="P2" s="18" t="str" cm="1">
        <f t="array" ref="P2">IFERROR(_xlfn.PERCENTILE.INC(_xlfn._xlws.FILTER('BDT''s'!W:W,('BDT''s'!L:L=VMI!M2)*('BDT''s'!F:F=VMI!B2)*('BDT''s'!E:E=VMI!A2)),0.75),"-")</f>
        <v>-</v>
      </c>
      <c r="Q2" s="18">
        <f>IFERROR(_xlfn.MAXIFS('BDT''s'!W:W,'BDT''s'!L:L,VMI!M2,'BDT''s'!F:F,VMI!B2,'BDT''s'!E:E,VMI!A2),"-")</f>
        <v>0</v>
      </c>
      <c r="R2" s="16">
        <f>IFERROR(COUNTIFS('BDT''s'!L:L,VMI!M2,'BDT''s'!F:F,VMI!B2,'BDT''s'!E:E,VMI!A2),"-")</f>
        <v>0</v>
      </c>
      <c r="S2" s="12" t="str">
        <f>IFERROR(IF(N2="-","-",IF(N2&lt;O2,"BAIXO",IF(AND(N2&gt;=O2,N2&lt;P2),"MEDIO",IF(AND(N2&gt;=P2,N2&lt;=Q2),"ALTO","-")))),"-")</f>
        <v>-</v>
      </c>
      <c r="T2" s="16" t="str">
        <f>IFERROR(AVERAGE((O2/N2),(P2/N2)),"-")</f>
        <v>-</v>
      </c>
      <c r="U2" s="18" t="str">
        <f>IFERROR(AVERAGEIFS('BDT''s'!$W:$W,'BDT''s'!$L:$L,VMI!M2,'BDT''s'!$F:$F,VMI!$B2,'BDT''s'!$E:$E,VMI!$A2)*T2,"-")</f>
        <v>-</v>
      </c>
      <c r="V2" s="18" t="str">
        <f>IFERROR(U2*T2,"-")</f>
        <v>-</v>
      </c>
      <c r="W2" s="3" t="s">
        <v>20</v>
      </c>
      <c r="X2" s="18" t="str">
        <f>IFERROR(AVERAGEIFS('BDT''s'!W:W,'BDT''s'!L:L,VMI!W2,'BDT''s'!F:F,VMI!B2,'BDT''s'!E:E,VMI!A2),"-")</f>
        <v>-</v>
      </c>
      <c r="Y2" s="18" t="str" cm="1">
        <f t="array" ref="Y2">IFERROR(_xlfn.PERCENTILE.INC(_xlfn._xlws.FILTER('BDT''s'!W:W,('BDT''s'!L:L=VMI!W2)*('BDT''s'!F:F=VMI!B2)*('BDT''s'!E:E=VMI!A2)),0.5),"-")</f>
        <v>-</v>
      </c>
      <c r="Z2" s="18" t="str" cm="1">
        <f t="array" ref="Z2">IFERROR(_xlfn.PERCENTILE.INC(_xlfn._xlws.FILTER('BDT''s'!W:W,('BDT''s'!L:L=VMI!W2)*('BDT''s'!F:F=VMI!B2)*('BDT''s'!E:E=VMI!A2)),0.75),"-")</f>
        <v>-</v>
      </c>
      <c r="AA2" s="18">
        <f>IFERROR(_xlfn.MAXIFS('BDT''s'!W:W,'BDT''s'!L:L,VMI!W2,'BDT''s'!F:F,VMI!B2,'BDT''s'!E:E,VMI!A2),"-")</f>
        <v>0</v>
      </c>
      <c r="AB2" s="16">
        <f>IFERROR(COUNTIFS('BDT''s'!L:L,VMI!W2,'BDT''s'!F:F,VMI!B2,'BDT''s'!E:E,VMI!A2),"-")</f>
        <v>0</v>
      </c>
      <c r="AC2" s="12" t="str">
        <f>IFERROR(IF(X2="-","-",IF(X2&lt;Y2,"BAIXO",IF(AND(X2&gt;=Y2,X2&lt;Z2),"MEDIO",IF(AND(X2&gt;=Z2,X2&lt;=AA2),"ALTO","-")))),"-")</f>
        <v>-</v>
      </c>
      <c r="AD2" s="16" t="str">
        <f>IFERROR(AVERAGE((Y2/X2),(Z2/X2)),"-")</f>
        <v>-</v>
      </c>
      <c r="AE2" s="18" t="str">
        <f>IFERROR(AVERAGEIFS('BDT''s'!$W:$W,'BDT''s'!$L:$L,VMI!W2,'BDT''s'!$F:$F,VMI!$B2,'BDT''s'!$E:$E,VMI!$A2)*AD2,"-")</f>
        <v>-</v>
      </c>
      <c r="AF2" s="18" t="str">
        <f>IFERROR(AE2*AD2,"-")</f>
        <v>-</v>
      </c>
    </row>
    <row r="3" spans="1:32" x14ac:dyDescent="0.3">
      <c r="A3" s="15">
        <v>0.02</v>
      </c>
      <c r="B3" s="12" t="s">
        <v>28</v>
      </c>
      <c r="C3" s="3" t="s">
        <v>18</v>
      </c>
      <c r="D3" s="18" t="str">
        <f>IFERROR(AVERAGEIFS('BDT''s'!W:W,'BDT''s'!L:L,VMI!C3,'BDT''s'!F:F,VMI!B3,'BDT''s'!E:E,VMI!A3),"-")</f>
        <v>-</v>
      </c>
      <c r="E3" s="18" t="str" cm="1">
        <f t="array" ref="E3">IFERROR(_xlfn.PERCENTILE.INC(_xlfn._xlws.FILTER('BDT''s'!W:W,('BDT''s'!L:L=VMI!C3)*('BDT''s'!F:F=VMI!B3)*('BDT''s'!E:E=VMI!A3)),0.5),"-")</f>
        <v>-</v>
      </c>
      <c r="F3" s="18" t="str" cm="1">
        <f t="array" ref="F3">IFERROR(_xlfn.PERCENTILE.INC(_xlfn._xlws.FILTER('BDT''s'!W:W,('BDT''s'!L:L=VMI!C3)*('BDT''s'!F:F=VMI!B3)*('BDT''s'!E:E=VMI!A3)),0.75),"-")</f>
        <v>-</v>
      </c>
      <c r="G3" s="18">
        <f>IFERROR(_xlfn.MAXIFS('BDT''s'!W:W,'BDT''s'!L:L,VMI!C3,'BDT''s'!F:F,VMI!B3,'BDT''s'!E:E,VMI!A3),"-")</f>
        <v>0</v>
      </c>
      <c r="H3" s="16">
        <f>IFERROR(COUNTIFS('BDT''s'!L:L,VMI!C3,'BDT''s'!F:F,VMI!B3,'BDT''s'!E:E,VMI!A3),"-")</f>
        <v>0</v>
      </c>
      <c r="I3" s="12" t="str">
        <f t="shared" ref="I3:I66" si="0">IFERROR(IF(D3="-","-",IF(D3&lt;E3,"BAIXO",IF(AND(D3&gt;=E3,D3&lt;F3),"MEDIO",IF(AND(D3&gt;=F3,D3&lt;=G3),"ALTO","-")))),"-")</f>
        <v>-</v>
      </c>
      <c r="J3" s="16" t="str">
        <f t="shared" ref="J3:J66" si="1">IFERROR(AVERAGE((E3/D3),(F3/D3)),"-")</f>
        <v>-</v>
      </c>
      <c r="K3" s="18" t="str">
        <f>IFERROR(AVERAGEIFS('BDT''s'!$W:$W,'BDT''s'!$L:$L,VMI!C3,'BDT''s'!$F:$F,VMI!$B3,'BDT''s'!$E:$E,VMI!$A3)*J3,"-")</f>
        <v>-</v>
      </c>
      <c r="L3" s="18" t="str">
        <f t="shared" ref="L3:L66" si="2">IFERROR(K3*J3,"-")</f>
        <v>-</v>
      </c>
      <c r="M3" s="3" t="s">
        <v>19</v>
      </c>
      <c r="N3" s="18" t="str">
        <f>IFERROR(AVERAGEIFS('BDT''s'!W:W,'BDT''s'!L:L,VMI!M3,'BDT''s'!F:F,VMI!B3,'BDT''s'!E:E,VMI!A3),"-")</f>
        <v>-</v>
      </c>
      <c r="O3" s="18" t="str" cm="1">
        <f t="array" ref="O3">IFERROR(_xlfn.PERCENTILE.INC(_xlfn._xlws.FILTER('BDT''s'!W:W,('BDT''s'!L:L=VMI!M3)*('BDT''s'!F:F=VMI!B3)*('BDT''s'!E:E=VMI!A3)),0.5),"-")</f>
        <v>-</v>
      </c>
      <c r="P3" s="18" t="str" cm="1">
        <f t="array" ref="P3">IFERROR(_xlfn.PERCENTILE.INC(_xlfn._xlws.FILTER('BDT''s'!W:W,('BDT''s'!L:L=VMI!M3)*('BDT''s'!F:F=VMI!B3)*('BDT''s'!E:E=VMI!A3)),0.75),"-")</f>
        <v>-</v>
      </c>
      <c r="Q3" s="18">
        <f>IFERROR(_xlfn.MAXIFS('BDT''s'!W:W,'BDT''s'!L:L,VMI!M3,'BDT''s'!F:F,VMI!B3,'BDT''s'!E:E,VMI!A3),"-")</f>
        <v>0</v>
      </c>
      <c r="R3" s="16">
        <f>IFERROR(COUNTIFS('BDT''s'!L:L,VMI!M3,'BDT''s'!F:F,VMI!B3,'BDT''s'!E:E,VMI!A3),"-")</f>
        <v>0</v>
      </c>
      <c r="S3" s="12" t="str">
        <f t="shared" ref="S3:S66" si="3">IFERROR(IF(N3="-","-",IF(N3&lt;O3,"BAIXO",IF(AND(N3&gt;=O3,N3&lt;P3),"MEDIO",IF(AND(N3&gt;=P3,N3&lt;=Q3),"ALTO","-")))),"-")</f>
        <v>-</v>
      </c>
      <c r="T3" s="16" t="str">
        <f t="shared" ref="T3:T66" si="4">IFERROR(AVERAGE((O3/N3),(P3/N3)),"-")</f>
        <v>-</v>
      </c>
      <c r="U3" s="18" t="str">
        <f>IFERROR(AVERAGEIFS('BDT''s'!$W:$W,'BDT''s'!$L:$L,VMI!M3,'BDT''s'!$F:$F,VMI!$B3,'BDT''s'!$E:$E,VMI!$A3)*T3,"-")</f>
        <v>-</v>
      </c>
      <c r="V3" s="18" t="str">
        <f t="shared" ref="V3:V66" si="5">IFERROR(U3*T3,"-")</f>
        <v>-</v>
      </c>
      <c r="W3" s="3" t="s">
        <v>20</v>
      </c>
      <c r="X3" s="18" t="str">
        <f>IFERROR(AVERAGEIFS('BDT''s'!W:W,'BDT''s'!L:L,VMI!W3,'BDT''s'!F:F,VMI!B3,'BDT''s'!E:E,VMI!A3),"-")</f>
        <v>-</v>
      </c>
      <c r="Y3" s="18" t="str" cm="1">
        <f t="array" ref="Y3">IFERROR(_xlfn.PERCENTILE.INC(_xlfn._xlws.FILTER('BDT''s'!W:W,('BDT''s'!L:L=VMI!W3)*('BDT''s'!F:F=VMI!B3)*('BDT''s'!E:E=VMI!A3)),0.5),"-")</f>
        <v>-</v>
      </c>
      <c r="Z3" s="18" t="str" cm="1">
        <f t="array" ref="Z3">IFERROR(_xlfn.PERCENTILE.INC(_xlfn._xlws.FILTER('BDT''s'!W:W,('BDT''s'!L:L=VMI!W3)*('BDT''s'!F:F=VMI!B3)*('BDT''s'!E:E=VMI!A3)),0.75),"-")</f>
        <v>-</v>
      </c>
      <c r="AA3" s="18">
        <f>IFERROR(_xlfn.MAXIFS('BDT''s'!W:W,'BDT''s'!L:L,VMI!W3,'BDT''s'!F:F,VMI!B3,'BDT''s'!E:E,VMI!A3),"-")</f>
        <v>0</v>
      </c>
      <c r="AB3" s="16">
        <f>IFERROR(COUNTIFS('BDT''s'!L:L,VMI!W3,'BDT''s'!F:F,VMI!B3,'BDT''s'!E:E,VMI!A3),"-")</f>
        <v>0</v>
      </c>
      <c r="AC3" s="12" t="str">
        <f t="shared" ref="AC3:AC66" si="6">IFERROR(IF(X3="-","-",IF(X3&lt;Y3,"BAIXO",IF(AND(X3&gt;=Y3,X3&lt;Z3),"MEDIO",IF(AND(X3&gt;=Z3,X3&lt;=AA3),"ALTO","-")))),"-")</f>
        <v>-</v>
      </c>
      <c r="AD3" s="16" t="str">
        <f t="shared" ref="AD3:AD66" si="7">IFERROR(AVERAGE((Y3/X3),(Z3/X3)),"-")</f>
        <v>-</v>
      </c>
      <c r="AE3" s="18" t="str">
        <f>IFERROR(AVERAGEIFS('BDT''s'!$W:$W,'BDT''s'!$L:$L,VMI!W3,'BDT''s'!$F:$F,VMI!$B3,'BDT''s'!$E:$E,VMI!$A3)*AD3,"-")</f>
        <v>-</v>
      </c>
      <c r="AF3" s="18" t="str">
        <f t="shared" ref="AF3:AF66" si="8">IFERROR(AE3*AD3,"-")</f>
        <v>-</v>
      </c>
    </row>
    <row r="4" spans="1:32" x14ac:dyDescent="0.3">
      <c r="A4" s="15">
        <v>0.03</v>
      </c>
      <c r="B4" s="12" t="s">
        <v>28</v>
      </c>
      <c r="C4" s="3" t="s">
        <v>18</v>
      </c>
      <c r="D4" s="18" t="str">
        <f>IFERROR(AVERAGEIFS('BDT''s'!W:W,'BDT''s'!L:L,VMI!C4,'BDT''s'!F:F,VMI!B4,'BDT''s'!E:E,VMI!A4),"-")</f>
        <v>-</v>
      </c>
      <c r="E4" s="18" t="str" cm="1">
        <f t="array" ref="E4">IFERROR(_xlfn.PERCENTILE.INC(_xlfn._xlws.FILTER('BDT''s'!W:W,('BDT''s'!L:L=VMI!C4)*('BDT''s'!F:F=VMI!B4)*('BDT''s'!E:E=VMI!A4)),0.5),"-")</f>
        <v>-</v>
      </c>
      <c r="F4" s="18" t="str" cm="1">
        <f t="array" ref="F4">IFERROR(_xlfn.PERCENTILE.INC(_xlfn._xlws.FILTER('BDT''s'!W:W,('BDT''s'!L:L=VMI!C4)*('BDT''s'!F:F=VMI!B4)*('BDT''s'!E:E=VMI!A4)),0.75),"-")</f>
        <v>-</v>
      </c>
      <c r="G4" s="18">
        <f>IFERROR(_xlfn.MAXIFS('BDT''s'!W:W,'BDT''s'!L:L,VMI!C4,'BDT''s'!F:F,VMI!B4,'BDT''s'!E:E,VMI!A4),"-")</f>
        <v>0</v>
      </c>
      <c r="H4" s="16">
        <f>IFERROR(COUNTIFS('BDT''s'!L:L,VMI!C4,'BDT''s'!F:F,VMI!B4,'BDT''s'!E:E,VMI!A4),"-")</f>
        <v>0</v>
      </c>
      <c r="I4" s="12" t="str">
        <f t="shared" si="0"/>
        <v>-</v>
      </c>
      <c r="J4" s="16" t="str">
        <f t="shared" si="1"/>
        <v>-</v>
      </c>
      <c r="K4" s="18" t="str">
        <f>IFERROR(AVERAGEIFS('BDT''s'!$W:$W,'BDT''s'!$L:$L,VMI!C4,'BDT''s'!$F:$F,VMI!$B4,'BDT''s'!$E:$E,VMI!$A4)*J4,"-")</f>
        <v>-</v>
      </c>
      <c r="L4" s="18" t="str">
        <f t="shared" si="2"/>
        <v>-</v>
      </c>
      <c r="M4" s="3" t="s">
        <v>19</v>
      </c>
      <c r="N4" s="18" t="str">
        <f>IFERROR(AVERAGEIFS('BDT''s'!W:W,'BDT''s'!L:L,VMI!M4,'BDT''s'!F:F,VMI!B4,'BDT''s'!E:E,VMI!A4),"-")</f>
        <v>-</v>
      </c>
      <c r="O4" s="18" t="str" cm="1">
        <f t="array" ref="O4">IFERROR(_xlfn.PERCENTILE.INC(_xlfn._xlws.FILTER('BDT''s'!W:W,('BDT''s'!L:L=VMI!M4)*('BDT''s'!F:F=VMI!B4)*('BDT''s'!E:E=VMI!A4)),0.5),"-")</f>
        <v>-</v>
      </c>
      <c r="P4" s="18" t="str" cm="1">
        <f t="array" ref="P4">IFERROR(_xlfn.PERCENTILE.INC(_xlfn._xlws.FILTER('BDT''s'!W:W,('BDT''s'!L:L=VMI!M4)*('BDT''s'!F:F=VMI!B4)*('BDT''s'!E:E=VMI!A4)),0.75),"-")</f>
        <v>-</v>
      </c>
      <c r="Q4" s="18">
        <f>IFERROR(_xlfn.MAXIFS('BDT''s'!W:W,'BDT''s'!L:L,VMI!M4,'BDT''s'!F:F,VMI!B4,'BDT''s'!E:E,VMI!A4),"-")</f>
        <v>0</v>
      </c>
      <c r="R4" s="16">
        <f>IFERROR(COUNTIFS('BDT''s'!L:L,VMI!M4,'BDT''s'!F:F,VMI!B4,'BDT''s'!E:E,VMI!A4),"-")</f>
        <v>0</v>
      </c>
      <c r="S4" s="12" t="str">
        <f t="shared" si="3"/>
        <v>-</v>
      </c>
      <c r="T4" s="16" t="str">
        <f t="shared" si="4"/>
        <v>-</v>
      </c>
      <c r="U4" s="18" t="str">
        <f>IFERROR(AVERAGEIFS('BDT''s'!$W:$W,'BDT''s'!$L:$L,VMI!M4,'BDT''s'!$F:$F,VMI!$B4,'BDT''s'!$E:$E,VMI!$A4)*T4,"-")</f>
        <v>-</v>
      </c>
      <c r="V4" s="18" t="str">
        <f t="shared" si="5"/>
        <v>-</v>
      </c>
      <c r="W4" s="3" t="s">
        <v>20</v>
      </c>
      <c r="X4" s="18" t="str">
        <f>IFERROR(AVERAGEIFS('BDT''s'!W:W,'BDT''s'!L:L,VMI!W4,'BDT''s'!F:F,VMI!B4,'BDT''s'!E:E,VMI!A4),"-")</f>
        <v>-</v>
      </c>
      <c r="Y4" s="18" t="str" cm="1">
        <f t="array" ref="Y4">IFERROR(_xlfn.PERCENTILE.INC(_xlfn._xlws.FILTER('BDT''s'!W:W,('BDT''s'!L:L=VMI!W4)*('BDT''s'!F:F=VMI!B4)*('BDT''s'!E:E=VMI!A4)),0.5),"-")</f>
        <v>-</v>
      </c>
      <c r="Z4" s="18" t="str" cm="1">
        <f t="array" ref="Z4">IFERROR(_xlfn.PERCENTILE.INC(_xlfn._xlws.FILTER('BDT''s'!W:W,('BDT''s'!L:L=VMI!W4)*('BDT''s'!F:F=VMI!B4)*('BDT''s'!E:E=VMI!A4)),0.75),"-")</f>
        <v>-</v>
      </c>
      <c r="AA4" s="18">
        <f>IFERROR(_xlfn.MAXIFS('BDT''s'!W:W,'BDT''s'!L:L,VMI!W4,'BDT''s'!F:F,VMI!B4,'BDT''s'!E:E,VMI!A4),"-")</f>
        <v>0</v>
      </c>
      <c r="AB4" s="16">
        <f>IFERROR(COUNTIFS('BDT''s'!L:L,VMI!W4,'BDT''s'!F:F,VMI!B4,'BDT''s'!E:E,VMI!A4),"-")</f>
        <v>0</v>
      </c>
      <c r="AC4" s="12" t="str">
        <f t="shared" si="6"/>
        <v>-</v>
      </c>
      <c r="AD4" s="16" t="str">
        <f t="shared" si="7"/>
        <v>-</v>
      </c>
      <c r="AE4" s="18" t="str">
        <f>IFERROR(AVERAGEIFS('BDT''s'!$W:$W,'BDT''s'!$L:$L,VMI!W4,'BDT''s'!$F:$F,VMI!$B4,'BDT''s'!$E:$E,VMI!$A4)*AD4,"-")</f>
        <v>-</v>
      </c>
      <c r="AF4" s="18" t="str">
        <f t="shared" si="8"/>
        <v>-</v>
      </c>
    </row>
    <row r="5" spans="1:32" x14ac:dyDescent="0.3">
      <c r="A5" s="15">
        <v>0.04</v>
      </c>
      <c r="B5" s="12" t="s">
        <v>28</v>
      </c>
      <c r="C5" s="3" t="s">
        <v>18</v>
      </c>
      <c r="D5" s="18" t="str">
        <f>IFERROR(AVERAGEIFS('BDT''s'!W:W,'BDT''s'!L:L,VMI!C5,'BDT''s'!F:F,VMI!B5,'BDT''s'!E:E,VMI!A5),"-")</f>
        <v>-</v>
      </c>
      <c r="E5" s="18" t="str" cm="1">
        <f t="array" ref="E5">IFERROR(_xlfn.PERCENTILE.INC(_xlfn._xlws.FILTER('BDT''s'!W:W,('BDT''s'!L:L=VMI!C5)*('BDT''s'!F:F=VMI!B5)*('BDT''s'!E:E=VMI!A5)),0.5),"-")</f>
        <v>-</v>
      </c>
      <c r="F5" s="18" t="str" cm="1">
        <f t="array" ref="F5">IFERROR(_xlfn.PERCENTILE.INC(_xlfn._xlws.FILTER('BDT''s'!W:W,('BDT''s'!L:L=VMI!C5)*('BDT''s'!F:F=VMI!B5)*('BDT''s'!E:E=VMI!A5)),0.75),"-")</f>
        <v>-</v>
      </c>
      <c r="G5" s="18">
        <f>IFERROR(_xlfn.MAXIFS('BDT''s'!W:W,'BDT''s'!L:L,VMI!C5,'BDT''s'!F:F,VMI!B5,'BDT''s'!E:E,VMI!A5),"-")</f>
        <v>0</v>
      </c>
      <c r="H5" s="16">
        <f>IFERROR(COUNTIFS('BDT''s'!L:L,VMI!C5,'BDT''s'!F:F,VMI!B5,'BDT''s'!E:E,VMI!A5),"-")</f>
        <v>0</v>
      </c>
      <c r="I5" s="12" t="str">
        <f t="shared" si="0"/>
        <v>-</v>
      </c>
      <c r="J5" s="16" t="str">
        <f t="shared" si="1"/>
        <v>-</v>
      </c>
      <c r="K5" s="18" t="str">
        <f>IFERROR(AVERAGEIFS('BDT''s'!$W:$W,'BDT''s'!$L:$L,VMI!C5,'BDT''s'!$F:$F,VMI!$B5,'BDT''s'!$E:$E,VMI!$A5)*J5,"-")</f>
        <v>-</v>
      </c>
      <c r="L5" s="18" t="str">
        <f t="shared" si="2"/>
        <v>-</v>
      </c>
      <c r="M5" s="3" t="s">
        <v>19</v>
      </c>
      <c r="N5" s="18" t="str">
        <f>IFERROR(AVERAGEIFS('BDT''s'!W:W,'BDT''s'!L:L,VMI!M5,'BDT''s'!F:F,VMI!B5,'BDT''s'!E:E,VMI!A5),"-")</f>
        <v>-</v>
      </c>
      <c r="O5" s="18" t="str" cm="1">
        <f t="array" ref="O5">IFERROR(_xlfn.PERCENTILE.INC(_xlfn._xlws.FILTER('BDT''s'!W:W,('BDT''s'!L:L=VMI!M5)*('BDT''s'!F:F=VMI!B5)*('BDT''s'!E:E=VMI!A5)),0.5),"-")</f>
        <v>-</v>
      </c>
      <c r="P5" s="18" t="str" cm="1">
        <f t="array" ref="P5">IFERROR(_xlfn.PERCENTILE.INC(_xlfn._xlws.FILTER('BDT''s'!W:W,('BDT''s'!L:L=VMI!M5)*('BDT''s'!F:F=VMI!B5)*('BDT''s'!E:E=VMI!A5)),0.75),"-")</f>
        <v>-</v>
      </c>
      <c r="Q5" s="18">
        <f>IFERROR(_xlfn.MAXIFS('BDT''s'!W:W,'BDT''s'!L:L,VMI!M5,'BDT''s'!F:F,VMI!B5,'BDT''s'!E:E,VMI!A5),"-")</f>
        <v>0</v>
      </c>
      <c r="R5" s="16">
        <f>IFERROR(COUNTIFS('BDT''s'!L:L,VMI!M5,'BDT''s'!F:F,VMI!B5,'BDT''s'!E:E,VMI!A5),"-")</f>
        <v>0</v>
      </c>
      <c r="S5" s="12" t="str">
        <f t="shared" si="3"/>
        <v>-</v>
      </c>
      <c r="T5" s="16" t="str">
        <f t="shared" si="4"/>
        <v>-</v>
      </c>
      <c r="U5" s="18" t="str">
        <f>IFERROR(AVERAGEIFS('BDT''s'!$W:$W,'BDT''s'!$L:$L,VMI!M5,'BDT''s'!$F:$F,VMI!$B5,'BDT''s'!$E:$E,VMI!$A5)*T5,"-")</f>
        <v>-</v>
      </c>
      <c r="V5" s="18" t="str">
        <f t="shared" si="5"/>
        <v>-</v>
      </c>
      <c r="W5" s="3" t="s">
        <v>20</v>
      </c>
      <c r="X5" s="18" t="str">
        <f>IFERROR(AVERAGEIFS('BDT''s'!W:W,'BDT''s'!L:L,VMI!W5,'BDT''s'!F:F,VMI!B5,'BDT''s'!E:E,VMI!A5),"-")</f>
        <v>-</v>
      </c>
      <c r="Y5" s="18" t="str" cm="1">
        <f t="array" ref="Y5">IFERROR(_xlfn.PERCENTILE.INC(_xlfn._xlws.FILTER('BDT''s'!W:W,('BDT''s'!L:L=VMI!W5)*('BDT''s'!F:F=VMI!B5)*('BDT''s'!E:E=VMI!A5)),0.5),"-")</f>
        <v>-</v>
      </c>
      <c r="Z5" s="18" t="str" cm="1">
        <f t="array" ref="Z5">IFERROR(_xlfn.PERCENTILE.INC(_xlfn._xlws.FILTER('BDT''s'!W:W,('BDT''s'!L:L=VMI!W5)*('BDT''s'!F:F=VMI!B5)*('BDT''s'!E:E=VMI!A5)),0.75),"-")</f>
        <v>-</v>
      </c>
      <c r="AA5" s="18">
        <f>IFERROR(_xlfn.MAXIFS('BDT''s'!W:W,'BDT''s'!L:L,VMI!W5,'BDT''s'!F:F,VMI!B5,'BDT''s'!E:E,VMI!A5),"-")</f>
        <v>0</v>
      </c>
      <c r="AB5" s="16">
        <f>IFERROR(COUNTIFS('BDT''s'!L:L,VMI!W5,'BDT''s'!F:F,VMI!B5,'BDT''s'!E:E,VMI!A5),"-")</f>
        <v>0</v>
      </c>
      <c r="AC5" s="12" t="str">
        <f t="shared" si="6"/>
        <v>-</v>
      </c>
      <c r="AD5" s="16" t="str">
        <f t="shared" si="7"/>
        <v>-</v>
      </c>
      <c r="AE5" s="18" t="str">
        <f>IFERROR(AVERAGEIFS('BDT''s'!$W:$W,'BDT''s'!$L:$L,VMI!W5,'BDT''s'!$F:$F,VMI!$B5,'BDT''s'!$E:$E,VMI!$A5)*AD5,"-")</f>
        <v>-</v>
      </c>
      <c r="AF5" s="18" t="str">
        <f t="shared" si="8"/>
        <v>-</v>
      </c>
    </row>
    <row r="6" spans="1:32" x14ac:dyDescent="0.3">
      <c r="A6" s="15">
        <v>0.05</v>
      </c>
      <c r="B6" s="12" t="s">
        <v>28</v>
      </c>
      <c r="C6" s="3" t="s">
        <v>18</v>
      </c>
      <c r="D6" s="18" t="str">
        <f>IFERROR(AVERAGEIFS('BDT''s'!W:W,'BDT''s'!L:L,VMI!C6,'BDT''s'!F:F,VMI!B6,'BDT''s'!E:E,VMI!A6),"-")</f>
        <v>-</v>
      </c>
      <c r="E6" s="18" t="str" cm="1">
        <f t="array" ref="E6">IFERROR(_xlfn.PERCENTILE.INC(_xlfn._xlws.FILTER('BDT''s'!W:W,('BDT''s'!L:L=VMI!C6)*('BDT''s'!F:F=VMI!B6)*('BDT''s'!E:E=VMI!A6)),0.5),"-")</f>
        <v>-</v>
      </c>
      <c r="F6" s="18" t="str" cm="1">
        <f t="array" ref="F6">IFERROR(_xlfn.PERCENTILE.INC(_xlfn._xlws.FILTER('BDT''s'!W:W,('BDT''s'!L:L=VMI!C6)*('BDT''s'!F:F=VMI!B6)*('BDT''s'!E:E=VMI!A6)),0.75),"-")</f>
        <v>-</v>
      </c>
      <c r="G6" s="18">
        <f>IFERROR(_xlfn.MAXIFS('BDT''s'!W:W,'BDT''s'!L:L,VMI!C6,'BDT''s'!F:F,VMI!B6,'BDT''s'!E:E,VMI!A6),"-")</f>
        <v>0</v>
      </c>
      <c r="H6" s="16">
        <f>IFERROR(COUNTIFS('BDT''s'!L:L,VMI!C6,'BDT''s'!F:F,VMI!B6,'BDT''s'!E:E,VMI!A6),"-")</f>
        <v>0</v>
      </c>
      <c r="I6" s="12" t="str">
        <f t="shared" si="0"/>
        <v>-</v>
      </c>
      <c r="J6" s="16" t="str">
        <f t="shared" si="1"/>
        <v>-</v>
      </c>
      <c r="K6" s="18" t="str">
        <f>IFERROR(AVERAGEIFS('BDT''s'!$W:$W,'BDT''s'!$L:$L,VMI!C6,'BDT''s'!$F:$F,VMI!$B6,'BDT''s'!$E:$E,VMI!$A6)*J6,"-")</f>
        <v>-</v>
      </c>
      <c r="L6" s="18" t="str">
        <f t="shared" si="2"/>
        <v>-</v>
      </c>
      <c r="M6" s="3" t="s">
        <v>19</v>
      </c>
      <c r="N6" s="18" t="str">
        <f>IFERROR(AVERAGEIFS('BDT''s'!W:W,'BDT''s'!L:L,VMI!M6,'BDT''s'!F:F,VMI!B6,'BDT''s'!E:E,VMI!A6),"-")</f>
        <v>-</v>
      </c>
      <c r="O6" s="18" t="str" cm="1">
        <f t="array" ref="O6">IFERROR(_xlfn.PERCENTILE.INC(_xlfn._xlws.FILTER('BDT''s'!W:W,('BDT''s'!L:L=VMI!M6)*('BDT''s'!F:F=VMI!B6)*('BDT''s'!E:E=VMI!A6)),0.5),"-")</f>
        <v>-</v>
      </c>
      <c r="P6" s="18" t="str" cm="1">
        <f t="array" ref="P6">IFERROR(_xlfn.PERCENTILE.INC(_xlfn._xlws.FILTER('BDT''s'!W:W,('BDT''s'!L:L=VMI!M6)*('BDT''s'!F:F=VMI!B6)*('BDT''s'!E:E=VMI!A6)),0.75),"-")</f>
        <v>-</v>
      </c>
      <c r="Q6" s="18">
        <f>IFERROR(_xlfn.MAXIFS('BDT''s'!W:W,'BDT''s'!L:L,VMI!M6,'BDT''s'!F:F,VMI!B6,'BDT''s'!E:E,VMI!A6),"-")</f>
        <v>0</v>
      </c>
      <c r="R6" s="16">
        <f>IFERROR(COUNTIFS('BDT''s'!L:L,VMI!M6,'BDT''s'!F:F,VMI!B6,'BDT''s'!E:E,VMI!A6),"-")</f>
        <v>0</v>
      </c>
      <c r="S6" s="12" t="str">
        <f t="shared" si="3"/>
        <v>-</v>
      </c>
      <c r="T6" s="16" t="str">
        <f t="shared" si="4"/>
        <v>-</v>
      </c>
      <c r="U6" s="18" t="str">
        <f>IFERROR(AVERAGEIFS('BDT''s'!$W:$W,'BDT''s'!$L:$L,VMI!M6,'BDT''s'!$F:$F,VMI!$B6,'BDT''s'!$E:$E,VMI!$A6)*T6,"-")</f>
        <v>-</v>
      </c>
      <c r="V6" s="18" t="str">
        <f t="shared" si="5"/>
        <v>-</v>
      </c>
      <c r="W6" s="3" t="s">
        <v>20</v>
      </c>
      <c r="X6" s="18" t="str">
        <f>IFERROR(AVERAGEIFS('BDT''s'!W:W,'BDT''s'!L:L,VMI!W6,'BDT''s'!F:F,VMI!B6,'BDT''s'!E:E,VMI!A6),"-")</f>
        <v>-</v>
      </c>
      <c r="Y6" s="18" t="str" cm="1">
        <f t="array" ref="Y6">IFERROR(_xlfn.PERCENTILE.INC(_xlfn._xlws.FILTER('BDT''s'!W:W,('BDT''s'!L:L=VMI!W6)*('BDT''s'!F:F=VMI!B6)*('BDT''s'!E:E=VMI!A6)),0.5),"-")</f>
        <v>-</v>
      </c>
      <c r="Z6" s="18" t="str" cm="1">
        <f t="array" ref="Z6">IFERROR(_xlfn.PERCENTILE.INC(_xlfn._xlws.FILTER('BDT''s'!W:W,('BDT''s'!L:L=VMI!W6)*('BDT''s'!F:F=VMI!B6)*('BDT''s'!E:E=VMI!A6)),0.75),"-")</f>
        <v>-</v>
      </c>
      <c r="AA6" s="18">
        <f>IFERROR(_xlfn.MAXIFS('BDT''s'!W:W,'BDT''s'!L:L,VMI!W6,'BDT''s'!F:F,VMI!B6,'BDT''s'!E:E,VMI!A6),"-")</f>
        <v>0</v>
      </c>
      <c r="AB6" s="16">
        <f>IFERROR(COUNTIFS('BDT''s'!L:L,VMI!W6,'BDT''s'!F:F,VMI!B6,'BDT''s'!E:E,VMI!A6),"-")</f>
        <v>0</v>
      </c>
      <c r="AC6" s="12" t="str">
        <f t="shared" si="6"/>
        <v>-</v>
      </c>
      <c r="AD6" s="16" t="str">
        <f t="shared" si="7"/>
        <v>-</v>
      </c>
      <c r="AE6" s="18" t="str">
        <f>IFERROR(AVERAGEIFS('BDT''s'!$W:$W,'BDT''s'!$L:$L,VMI!W6,'BDT''s'!$F:$F,VMI!$B6,'BDT''s'!$E:$E,VMI!$A6)*AD6,"-")</f>
        <v>-</v>
      </c>
      <c r="AF6" s="18" t="str">
        <f t="shared" si="8"/>
        <v>-</v>
      </c>
    </row>
    <row r="7" spans="1:32" x14ac:dyDescent="0.3">
      <c r="A7" s="15">
        <v>0.06</v>
      </c>
      <c r="B7" s="12" t="s">
        <v>29</v>
      </c>
      <c r="C7" s="3" t="s">
        <v>18</v>
      </c>
      <c r="D7" s="18" t="str">
        <f>IFERROR(AVERAGEIFS('BDT''s'!W:W,'BDT''s'!L:L,VMI!C7,'BDT''s'!F:F,VMI!B7,'BDT''s'!E:E,VMI!A7),"-")</f>
        <v>-</v>
      </c>
      <c r="E7" s="18" t="str" cm="1">
        <f t="array" ref="E7">IFERROR(_xlfn.PERCENTILE.INC(_xlfn._xlws.FILTER('BDT''s'!W:W,('BDT''s'!L:L=VMI!C7)*('BDT''s'!F:F=VMI!B7)*('BDT''s'!E:E=VMI!A7)),0.5),"-")</f>
        <v>-</v>
      </c>
      <c r="F7" s="18" t="str" cm="1">
        <f t="array" ref="F7">IFERROR(_xlfn.PERCENTILE.INC(_xlfn._xlws.FILTER('BDT''s'!W:W,('BDT''s'!L:L=VMI!C7)*('BDT''s'!F:F=VMI!B7)*('BDT''s'!E:E=VMI!A7)),0.75),"-")</f>
        <v>-</v>
      </c>
      <c r="G7" s="18">
        <f>IFERROR(_xlfn.MAXIFS('BDT''s'!W:W,'BDT''s'!L:L,VMI!C7,'BDT''s'!F:F,VMI!B7,'BDT''s'!E:E,VMI!A7),"-")</f>
        <v>0</v>
      </c>
      <c r="H7" s="16">
        <f>IFERROR(COUNTIFS('BDT''s'!L:L,VMI!C7,'BDT''s'!F:F,VMI!B7,'BDT''s'!E:E,VMI!A7),"-")</f>
        <v>0</v>
      </c>
      <c r="I7" s="12" t="str">
        <f t="shared" si="0"/>
        <v>-</v>
      </c>
      <c r="J7" s="16" t="str">
        <f t="shared" si="1"/>
        <v>-</v>
      </c>
      <c r="K7" s="18" t="str">
        <f>IFERROR(AVERAGEIFS('BDT''s'!$W:$W,'BDT''s'!$L:$L,VMI!C7,'BDT''s'!$F:$F,VMI!$B7,'BDT''s'!$E:$E,VMI!$A7)*J7,"-")</f>
        <v>-</v>
      </c>
      <c r="L7" s="18" t="str">
        <f t="shared" si="2"/>
        <v>-</v>
      </c>
      <c r="M7" s="3" t="s">
        <v>19</v>
      </c>
      <c r="N7" s="18" t="str">
        <f>IFERROR(AVERAGEIFS('BDT''s'!W:W,'BDT''s'!L:L,VMI!M7,'BDT''s'!F:F,VMI!B7,'BDT''s'!E:E,VMI!A7),"-")</f>
        <v>-</v>
      </c>
      <c r="O7" s="18" t="str" cm="1">
        <f t="array" ref="O7">IFERROR(_xlfn.PERCENTILE.INC(_xlfn._xlws.FILTER('BDT''s'!W:W,('BDT''s'!L:L=VMI!M7)*('BDT''s'!F:F=VMI!B7)*('BDT''s'!E:E=VMI!A7)),0.5),"-")</f>
        <v>-</v>
      </c>
      <c r="P7" s="18" t="str" cm="1">
        <f t="array" ref="P7">IFERROR(_xlfn.PERCENTILE.INC(_xlfn._xlws.FILTER('BDT''s'!W:W,('BDT''s'!L:L=VMI!M7)*('BDT''s'!F:F=VMI!B7)*('BDT''s'!E:E=VMI!A7)),0.75),"-")</f>
        <v>-</v>
      </c>
      <c r="Q7" s="18">
        <f>IFERROR(_xlfn.MAXIFS('BDT''s'!W:W,'BDT''s'!L:L,VMI!M7,'BDT''s'!F:F,VMI!B7,'BDT''s'!E:E,VMI!A7),"-")</f>
        <v>0</v>
      </c>
      <c r="R7" s="16">
        <f>IFERROR(COUNTIFS('BDT''s'!L:L,VMI!M7,'BDT''s'!F:F,VMI!B7,'BDT''s'!E:E,VMI!A7),"-")</f>
        <v>0</v>
      </c>
      <c r="S7" s="12" t="str">
        <f t="shared" si="3"/>
        <v>-</v>
      </c>
      <c r="T7" s="16" t="str">
        <f t="shared" si="4"/>
        <v>-</v>
      </c>
      <c r="U7" s="18" t="str">
        <f>IFERROR(AVERAGEIFS('BDT''s'!$W:$W,'BDT''s'!$L:$L,VMI!M7,'BDT''s'!$F:$F,VMI!$B7,'BDT''s'!$E:$E,VMI!$A7)*T7,"-")</f>
        <v>-</v>
      </c>
      <c r="V7" s="18" t="str">
        <f t="shared" si="5"/>
        <v>-</v>
      </c>
      <c r="W7" s="3" t="s">
        <v>20</v>
      </c>
      <c r="X7" s="18" t="str">
        <f>IFERROR(AVERAGEIFS('BDT''s'!W:W,'BDT''s'!L:L,VMI!W7,'BDT''s'!F:F,VMI!B7,'BDT''s'!E:E,VMI!A7),"-")</f>
        <v>-</v>
      </c>
      <c r="Y7" s="18" t="str" cm="1">
        <f t="array" ref="Y7">IFERROR(_xlfn.PERCENTILE.INC(_xlfn._xlws.FILTER('BDT''s'!W:W,('BDT''s'!L:L=VMI!W7)*('BDT''s'!F:F=VMI!B7)*('BDT''s'!E:E=VMI!A7)),0.5),"-")</f>
        <v>-</v>
      </c>
      <c r="Z7" s="18" t="str" cm="1">
        <f t="array" ref="Z7">IFERROR(_xlfn.PERCENTILE.INC(_xlfn._xlws.FILTER('BDT''s'!W:W,('BDT''s'!L:L=VMI!W7)*('BDT''s'!F:F=VMI!B7)*('BDT''s'!E:E=VMI!A7)),0.75),"-")</f>
        <v>-</v>
      </c>
      <c r="AA7" s="18">
        <f>IFERROR(_xlfn.MAXIFS('BDT''s'!W:W,'BDT''s'!L:L,VMI!W7,'BDT''s'!F:F,VMI!B7,'BDT''s'!E:E,VMI!A7),"-")</f>
        <v>0</v>
      </c>
      <c r="AB7" s="16">
        <f>IFERROR(COUNTIFS('BDT''s'!L:L,VMI!W7,'BDT''s'!F:F,VMI!B7,'BDT''s'!E:E,VMI!A7),"-")</f>
        <v>0</v>
      </c>
      <c r="AC7" s="12" t="str">
        <f t="shared" si="6"/>
        <v>-</v>
      </c>
      <c r="AD7" s="16" t="str">
        <f t="shared" si="7"/>
        <v>-</v>
      </c>
      <c r="AE7" s="18" t="str">
        <f>IFERROR(AVERAGEIFS('BDT''s'!$W:$W,'BDT''s'!$L:$L,VMI!W7,'BDT''s'!$F:$F,VMI!$B7,'BDT''s'!$E:$E,VMI!$A7)*AD7,"-")</f>
        <v>-</v>
      </c>
      <c r="AF7" s="18" t="str">
        <f t="shared" si="8"/>
        <v>-</v>
      </c>
    </row>
    <row r="8" spans="1:32" x14ac:dyDescent="0.3">
      <c r="A8" s="15">
        <v>7.0000000000000007E-2</v>
      </c>
      <c r="B8" s="12" t="s">
        <v>29</v>
      </c>
      <c r="C8" s="3" t="s">
        <v>18</v>
      </c>
      <c r="D8" s="18" t="str">
        <f>IFERROR(AVERAGEIFS('BDT''s'!W:W,'BDT''s'!L:L,VMI!C8,'BDT''s'!F:F,VMI!B8,'BDT''s'!E:E,VMI!A8),"-")</f>
        <v>-</v>
      </c>
      <c r="E8" s="18" t="str" cm="1">
        <f t="array" ref="E8">IFERROR(_xlfn.PERCENTILE.INC(_xlfn._xlws.FILTER('BDT''s'!W:W,('BDT''s'!L:L=VMI!C8)*('BDT''s'!F:F=VMI!B8)*('BDT''s'!E:E=VMI!A8)),0.5),"-")</f>
        <v>-</v>
      </c>
      <c r="F8" s="18" t="str" cm="1">
        <f t="array" ref="F8">IFERROR(_xlfn.PERCENTILE.INC(_xlfn._xlws.FILTER('BDT''s'!W:W,('BDT''s'!L:L=VMI!C8)*('BDT''s'!F:F=VMI!B8)*('BDT''s'!E:E=VMI!A8)),0.75),"-")</f>
        <v>-</v>
      </c>
      <c r="G8" s="18">
        <f>IFERROR(_xlfn.MAXIFS('BDT''s'!W:W,'BDT''s'!L:L,VMI!C8,'BDT''s'!F:F,VMI!B8,'BDT''s'!E:E,VMI!A8),"-")</f>
        <v>0</v>
      </c>
      <c r="H8" s="16">
        <f>IFERROR(COUNTIFS('BDT''s'!L:L,VMI!C8,'BDT''s'!F:F,VMI!B8,'BDT''s'!E:E,VMI!A8),"-")</f>
        <v>0</v>
      </c>
      <c r="I8" s="12" t="str">
        <f t="shared" si="0"/>
        <v>-</v>
      </c>
      <c r="J8" s="16" t="str">
        <f t="shared" si="1"/>
        <v>-</v>
      </c>
      <c r="K8" s="18" t="str">
        <f>IFERROR(AVERAGEIFS('BDT''s'!$W:$W,'BDT''s'!$L:$L,VMI!C8,'BDT''s'!$F:$F,VMI!$B8,'BDT''s'!$E:$E,VMI!$A8)*J8,"-")</f>
        <v>-</v>
      </c>
      <c r="L8" s="18" t="str">
        <f t="shared" si="2"/>
        <v>-</v>
      </c>
      <c r="M8" s="3" t="s">
        <v>19</v>
      </c>
      <c r="N8" s="18" t="str">
        <f>IFERROR(AVERAGEIFS('BDT''s'!W:W,'BDT''s'!L:L,VMI!M8,'BDT''s'!F:F,VMI!B8,'BDT''s'!E:E,VMI!A8),"-")</f>
        <v>-</v>
      </c>
      <c r="O8" s="18" t="str" cm="1">
        <f t="array" ref="O8">IFERROR(_xlfn.PERCENTILE.INC(_xlfn._xlws.FILTER('BDT''s'!W:W,('BDT''s'!L:L=VMI!M8)*('BDT''s'!F:F=VMI!B8)*('BDT''s'!E:E=VMI!A8)),0.5),"-")</f>
        <v>-</v>
      </c>
      <c r="P8" s="18" t="str" cm="1">
        <f t="array" ref="P8">IFERROR(_xlfn.PERCENTILE.INC(_xlfn._xlws.FILTER('BDT''s'!W:W,('BDT''s'!L:L=VMI!M8)*('BDT''s'!F:F=VMI!B8)*('BDT''s'!E:E=VMI!A8)),0.75),"-")</f>
        <v>-</v>
      </c>
      <c r="Q8" s="18">
        <f>IFERROR(_xlfn.MAXIFS('BDT''s'!W:W,'BDT''s'!L:L,VMI!M8,'BDT''s'!F:F,VMI!B8,'BDT''s'!E:E,VMI!A8),"-")</f>
        <v>0</v>
      </c>
      <c r="R8" s="16">
        <f>IFERROR(COUNTIFS('BDT''s'!L:L,VMI!M8,'BDT''s'!F:F,VMI!B8,'BDT''s'!E:E,VMI!A8),"-")</f>
        <v>0</v>
      </c>
      <c r="S8" s="12" t="str">
        <f t="shared" si="3"/>
        <v>-</v>
      </c>
      <c r="T8" s="16" t="str">
        <f t="shared" si="4"/>
        <v>-</v>
      </c>
      <c r="U8" s="18" t="str">
        <f>IFERROR(AVERAGEIFS('BDT''s'!$W:$W,'BDT''s'!$L:$L,VMI!M8,'BDT''s'!$F:$F,VMI!$B8,'BDT''s'!$E:$E,VMI!$A8)*T8,"-")</f>
        <v>-</v>
      </c>
      <c r="V8" s="18" t="str">
        <f t="shared" si="5"/>
        <v>-</v>
      </c>
      <c r="W8" s="3" t="s">
        <v>20</v>
      </c>
      <c r="X8" s="18" t="str">
        <f>IFERROR(AVERAGEIFS('BDT''s'!W:W,'BDT''s'!L:L,VMI!W8,'BDT''s'!F:F,VMI!B8,'BDT''s'!E:E,VMI!A8),"-")</f>
        <v>-</v>
      </c>
      <c r="Y8" s="18" t="str" cm="1">
        <f t="array" ref="Y8">IFERROR(_xlfn.PERCENTILE.INC(_xlfn._xlws.FILTER('BDT''s'!W:W,('BDT''s'!L:L=VMI!W8)*('BDT''s'!F:F=VMI!B8)*('BDT''s'!E:E=VMI!A8)),0.5),"-")</f>
        <v>-</v>
      </c>
      <c r="Z8" s="18" t="str" cm="1">
        <f t="array" ref="Z8">IFERROR(_xlfn.PERCENTILE.INC(_xlfn._xlws.FILTER('BDT''s'!W:W,('BDT''s'!L:L=VMI!W8)*('BDT''s'!F:F=VMI!B8)*('BDT''s'!E:E=VMI!A8)),0.75),"-")</f>
        <v>-</v>
      </c>
      <c r="AA8" s="18">
        <f>IFERROR(_xlfn.MAXIFS('BDT''s'!W:W,'BDT''s'!L:L,VMI!W8,'BDT''s'!F:F,VMI!B8,'BDT''s'!E:E,VMI!A8),"-")</f>
        <v>0</v>
      </c>
      <c r="AB8" s="16">
        <f>IFERROR(COUNTIFS('BDT''s'!L:L,VMI!W8,'BDT''s'!F:F,VMI!B8,'BDT''s'!E:E,VMI!A8),"-")</f>
        <v>0</v>
      </c>
      <c r="AC8" s="12" t="str">
        <f t="shared" si="6"/>
        <v>-</v>
      </c>
      <c r="AD8" s="16" t="str">
        <f t="shared" si="7"/>
        <v>-</v>
      </c>
      <c r="AE8" s="18" t="str">
        <f>IFERROR(AVERAGEIFS('BDT''s'!$W:$W,'BDT''s'!$L:$L,VMI!W8,'BDT''s'!$F:$F,VMI!$B8,'BDT''s'!$E:$E,VMI!$A8)*AD8,"-")</f>
        <v>-</v>
      </c>
      <c r="AF8" s="18" t="str">
        <f t="shared" si="8"/>
        <v>-</v>
      </c>
    </row>
    <row r="9" spans="1:32" x14ac:dyDescent="0.3">
      <c r="A9" s="15">
        <v>0.08</v>
      </c>
      <c r="B9" s="12" t="s">
        <v>29</v>
      </c>
      <c r="C9" s="3" t="s">
        <v>18</v>
      </c>
      <c r="D9" s="18" t="str">
        <f>IFERROR(AVERAGEIFS('BDT''s'!W:W,'BDT''s'!L:L,VMI!C9,'BDT''s'!F:F,VMI!B9,'BDT''s'!E:E,VMI!A9),"-")</f>
        <v>-</v>
      </c>
      <c r="E9" s="18" t="str" cm="1">
        <f t="array" ref="E9">IFERROR(_xlfn.PERCENTILE.INC(_xlfn._xlws.FILTER('BDT''s'!W:W,('BDT''s'!L:L=VMI!C9)*('BDT''s'!F:F=VMI!B9)*('BDT''s'!E:E=VMI!A9)),0.5),"-")</f>
        <v>-</v>
      </c>
      <c r="F9" s="18" t="str" cm="1">
        <f t="array" ref="F9">IFERROR(_xlfn.PERCENTILE.INC(_xlfn._xlws.FILTER('BDT''s'!W:W,('BDT''s'!L:L=VMI!C9)*('BDT''s'!F:F=VMI!B9)*('BDT''s'!E:E=VMI!A9)),0.75),"-")</f>
        <v>-</v>
      </c>
      <c r="G9" s="18">
        <f>IFERROR(_xlfn.MAXIFS('BDT''s'!W:W,'BDT''s'!L:L,VMI!C9,'BDT''s'!F:F,VMI!B9,'BDT''s'!E:E,VMI!A9),"-")</f>
        <v>0</v>
      </c>
      <c r="H9" s="16">
        <f>IFERROR(COUNTIFS('BDT''s'!L:L,VMI!C9,'BDT''s'!F:F,VMI!B9,'BDT''s'!E:E,VMI!A9),"-")</f>
        <v>0</v>
      </c>
      <c r="I9" s="12" t="str">
        <f t="shared" si="0"/>
        <v>-</v>
      </c>
      <c r="J9" s="16" t="str">
        <f t="shared" si="1"/>
        <v>-</v>
      </c>
      <c r="K9" s="18" t="str">
        <f>IFERROR(AVERAGEIFS('BDT''s'!$W:$W,'BDT''s'!$L:$L,VMI!C9,'BDT''s'!$F:$F,VMI!$B9,'BDT''s'!$E:$E,VMI!$A9)*J9,"-")</f>
        <v>-</v>
      </c>
      <c r="L9" s="18" t="str">
        <f t="shared" si="2"/>
        <v>-</v>
      </c>
      <c r="M9" s="3" t="s">
        <v>19</v>
      </c>
      <c r="N9" s="18" t="str">
        <f>IFERROR(AVERAGEIFS('BDT''s'!W:W,'BDT''s'!L:L,VMI!M9,'BDT''s'!F:F,VMI!B9,'BDT''s'!E:E,VMI!A9),"-")</f>
        <v>-</v>
      </c>
      <c r="O9" s="18" t="str" cm="1">
        <f t="array" ref="O9">IFERROR(_xlfn.PERCENTILE.INC(_xlfn._xlws.FILTER('BDT''s'!W:W,('BDT''s'!L:L=VMI!M9)*('BDT''s'!F:F=VMI!B9)*('BDT''s'!E:E=VMI!A9)),0.5),"-")</f>
        <v>-</v>
      </c>
      <c r="P9" s="18" t="str" cm="1">
        <f t="array" ref="P9">IFERROR(_xlfn.PERCENTILE.INC(_xlfn._xlws.FILTER('BDT''s'!W:W,('BDT''s'!L:L=VMI!M9)*('BDT''s'!F:F=VMI!B9)*('BDT''s'!E:E=VMI!A9)),0.75),"-")</f>
        <v>-</v>
      </c>
      <c r="Q9" s="18">
        <f>IFERROR(_xlfn.MAXIFS('BDT''s'!W:W,'BDT''s'!L:L,VMI!M9,'BDT''s'!F:F,VMI!B9,'BDT''s'!E:E,VMI!A9),"-")</f>
        <v>0</v>
      </c>
      <c r="R9" s="16">
        <f>IFERROR(COUNTIFS('BDT''s'!L:L,VMI!M9,'BDT''s'!F:F,VMI!B9,'BDT''s'!E:E,VMI!A9),"-")</f>
        <v>0</v>
      </c>
      <c r="S9" s="12" t="str">
        <f t="shared" si="3"/>
        <v>-</v>
      </c>
      <c r="T9" s="16" t="str">
        <f t="shared" si="4"/>
        <v>-</v>
      </c>
      <c r="U9" s="18" t="str">
        <f>IFERROR(AVERAGEIFS('BDT''s'!$W:$W,'BDT''s'!$L:$L,VMI!M9,'BDT''s'!$F:$F,VMI!$B9,'BDT''s'!$E:$E,VMI!$A9)*T9,"-")</f>
        <v>-</v>
      </c>
      <c r="V9" s="18" t="str">
        <f t="shared" si="5"/>
        <v>-</v>
      </c>
      <c r="W9" s="3" t="s">
        <v>20</v>
      </c>
      <c r="X9" s="18" t="str">
        <f>IFERROR(AVERAGEIFS('BDT''s'!W:W,'BDT''s'!L:L,VMI!W9,'BDT''s'!F:F,VMI!B9,'BDT''s'!E:E,VMI!A9),"-")</f>
        <v>-</v>
      </c>
      <c r="Y9" s="18" t="str" cm="1">
        <f t="array" ref="Y9">IFERROR(_xlfn.PERCENTILE.INC(_xlfn._xlws.FILTER('BDT''s'!W:W,('BDT''s'!L:L=VMI!W9)*('BDT''s'!F:F=VMI!B9)*('BDT''s'!E:E=VMI!A9)),0.5),"-")</f>
        <v>-</v>
      </c>
      <c r="Z9" s="18" t="str" cm="1">
        <f t="array" ref="Z9">IFERROR(_xlfn.PERCENTILE.INC(_xlfn._xlws.FILTER('BDT''s'!W:W,('BDT''s'!L:L=VMI!W9)*('BDT''s'!F:F=VMI!B9)*('BDT''s'!E:E=VMI!A9)),0.75),"-")</f>
        <v>-</v>
      </c>
      <c r="AA9" s="18">
        <f>IFERROR(_xlfn.MAXIFS('BDT''s'!W:W,'BDT''s'!L:L,VMI!W9,'BDT''s'!F:F,VMI!B9,'BDT''s'!E:E,VMI!A9),"-")</f>
        <v>0</v>
      </c>
      <c r="AB9" s="16">
        <f>IFERROR(COUNTIFS('BDT''s'!L:L,VMI!W9,'BDT''s'!F:F,VMI!B9,'BDT''s'!E:E,VMI!A9),"-")</f>
        <v>0</v>
      </c>
      <c r="AC9" s="12" t="str">
        <f t="shared" si="6"/>
        <v>-</v>
      </c>
      <c r="AD9" s="16" t="str">
        <f t="shared" si="7"/>
        <v>-</v>
      </c>
      <c r="AE9" s="18" t="str">
        <f>IFERROR(AVERAGEIFS('BDT''s'!$W:$W,'BDT''s'!$L:$L,VMI!W9,'BDT''s'!$F:$F,VMI!$B9,'BDT''s'!$E:$E,VMI!$A9)*AD9,"-")</f>
        <v>-</v>
      </c>
      <c r="AF9" s="18" t="str">
        <f t="shared" si="8"/>
        <v>-</v>
      </c>
    </row>
    <row r="10" spans="1:32" x14ac:dyDescent="0.3">
      <c r="A10" s="15">
        <v>0.09</v>
      </c>
      <c r="B10" s="12" t="s">
        <v>29</v>
      </c>
      <c r="C10" s="3" t="s">
        <v>18</v>
      </c>
      <c r="D10" s="18" t="str">
        <f>IFERROR(AVERAGEIFS('BDT''s'!W:W,'BDT''s'!L:L,VMI!C10,'BDT''s'!F:F,VMI!B10,'BDT''s'!E:E,VMI!A10),"-")</f>
        <v>-</v>
      </c>
      <c r="E10" s="18" t="str" cm="1">
        <f t="array" ref="E10">IFERROR(_xlfn.PERCENTILE.INC(_xlfn._xlws.FILTER('BDT''s'!W:W,('BDT''s'!L:L=VMI!C10)*('BDT''s'!F:F=VMI!B10)*('BDT''s'!E:E=VMI!A10)),0.5),"-")</f>
        <v>-</v>
      </c>
      <c r="F10" s="18" t="str" cm="1">
        <f t="array" ref="F10">IFERROR(_xlfn.PERCENTILE.INC(_xlfn._xlws.FILTER('BDT''s'!W:W,('BDT''s'!L:L=VMI!C10)*('BDT''s'!F:F=VMI!B10)*('BDT''s'!E:E=VMI!A10)),0.75),"-")</f>
        <v>-</v>
      </c>
      <c r="G10" s="18">
        <f>IFERROR(_xlfn.MAXIFS('BDT''s'!W:W,'BDT''s'!L:L,VMI!C10,'BDT''s'!F:F,VMI!B10,'BDT''s'!E:E,VMI!A10),"-")</f>
        <v>0</v>
      </c>
      <c r="H10" s="16">
        <f>IFERROR(COUNTIFS('BDT''s'!L:L,VMI!C10,'BDT''s'!F:F,VMI!B10,'BDT''s'!E:E,VMI!A10),"-")</f>
        <v>0</v>
      </c>
      <c r="I10" s="12" t="str">
        <f t="shared" si="0"/>
        <v>-</v>
      </c>
      <c r="J10" s="16" t="str">
        <f t="shared" si="1"/>
        <v>-</v>
      </c>
      <c r="K10" s="18" t="str">
        <f>IFERROR(AVERAGEIFS('BDT''s'!$W:$W,'BDT''s'!$L:$L,VMI!C10,'BDT''s'!$F:$F,VMI!$B10,'BDT''s'!$E:$E,VMI!$A10)*J10,"-")</f>
        <v>-</v>
      </c>
      <c r="L10" s="18" t="str">
        <f t="shared" si="2"/>
        <v>-</v>
      </c>
      <c r="M10" s="3" t="s">
        <v>19</v>
      </c>
      <c r="N10" s="18" t="str">
        <f>IFERROR(AVERAGEIFS('BDT''s'!W:W,'BDT''s'!L:L,VMI!M10,'BDT''s'!F:F,VMI!B10,'BDT''s'!E:E,VMI!A10),"-")</f>
        <v>-</v>
      </c>
      <c r="O10" s="18" t="str" cm="1">
        <f t="array" ref="O10">IFERROR(_xlfn.PERCENTILE.INC(_xlfn._xlws.FILTER('BDT''s'!W:W,('BDT''s'!L:L=VMI!M10)*('BDT''s'!F:F=VMI!B10)*('BDT''s'!E:E=VMI!A10)),0.5),"-")</f>
        <v>-</v>
      </c>
      <c r="P10" s="18" t="str" cm="1">
        <f t="array" ref="P10">IFERROR(_xlfn.PERCENTILE.INC(_xlfn._xlws.FILTER('BDT''s'!W:W,('BDT''s'!L:L=VMI!M10)*('BDT''s'!F:F=VMI!B10)*('BDT''s'!E:E=VMI!A10)),0.75),"-")</f>
        <v>-</v>
      </c>
      <c r="Q10" s="18">
        <f>IFERROR(_xlfn.MAXIFS('BDT''s'!W:W,'BDT''s'!L:L,VMI!M10,'BDT''s'!F:F,VMI!B10,'BDT''s'!E:E,VMI!A10),"-")</f>
        <v>0</v>
      </c>
      <c r="R10" s="16">
        <f>IFERROR(COUNTIFS('BDT''s'!L:L,VMI!M10,'BDT''s'!F:F,VMI!B10,'BDT''s'!E:E,VMI!A10),"-")</f>
        <v>0</v>
      </c>
      <c r="S10" s="12" t="str">
        <f t="shared" si="3"/>
        <v>-</v>
      </c>
      <c r="T10" s="16" t="str">
        <f t="shared" si="4"/>
        <v>-</v>
      </c>
      <c r="U10" s="18" t="str">
        <f>IFERROR(AVERAGEIFS('BDT''s'!$W:$W,'BDT''s'!$L:$L,VMI!M10,'BDT''s'!$F:$F,VMI!$B10,'BDT''s'!$E:$E,VMI!$A10)*T10,"-")</f>
        <v>-</v>
      </c>
      <c r="V10" s="18" t="str">
        <f t="shared" si="5"/>
        <v>-</v>
      </c>
      <c r="W10" s="3" t="s">
        <v>20</v>
      </c>
      <c r="X10" s="18" t="str">
        <f>IFERROR(AVERAGEIFS('BDT''s'!W:W,'BDT''s'!L:L,VMI!W10,'BDT''s'!F:F,VMI!B10,'BDT''s'!E:E,VMI!A10),"-")</f>
        <v>-</v>
      </c>
      <c r="Y10" s="18" t="str" cm="1">
        <f t="array" ref="Y10">IFERROR(_xlfn.PERCENTILE.INC(_xlfn._xlws.FILTER('BDT''s'!W:W,('BDT''s'!L:L=VMI!W10)*('BDT''s'!F:F=VMI!B10)*('BDT''s'!E:E=VMI!A10)),0.5),"-")</f>
        <v>-</v>
      </c>
      <c r="Z10" s="18" t="str" cm="1">
        <f t="array" ref="Z10">IFERROR(_xlfn.PERCENTILE.INC(_xlfn._xlws.FILTER('BDT''s'!W:W,('BDT''s'!L:L=VMI!W10)*('BDT''s'!F:F=VMI!B10)*('BDT''s'!E:E=VMI!A10)),0.75),"-")</f>
        <v>-</v>
      </c>
      <c r="AA10" s="18">
        <f>IFERROR(_xlfn.MAXIFS('BDT''s'!W:W,'BDT''s'!L:L,VMI!W10,'BDT''s'!F:F,VMI!B10,'BDT''s'!E:E,VMI!A10),"-")</f>
        <v>0</v>
      </c>
      <c r="AB10" s="16">
        <f>IFERROR(COUNTIFS('BDT''s'!L:L,VMI!W10,'BDT''s'!F:F,VMI!B10,'BDT''s'!E:E,VMI!A10),"-")</f>
        <v>0</v>
      </c>
      <c r="AC10" s="12" t="str">
        <f t="shared" si="6"/>
        <v>-</v>
      </c>
      <c r="AD10" s="16" t="str">
        <f t="shared" si="7"/>
        <v>-</v>
      </c>
      <c r="AE10" s="18" t="str">
        <f>IFERROR(AVERAGEIFS('BDT''s'!$W:$W,'BDT''s'!$L:$L,VMI!W10,'BDT''s'!$F:$F,VMI!$B10,'BDT''s'!$E:$E,VMI!$A10)*AD10,"-")</f>
        <v>-</v>
      </c>
      <c r="AF10" s="18" t="str">
        <f t="shared" si="8"/>
        <v>-</v>
      </c>
    </row>
    <row r="11" spans="1:32" x14ac:dyDescent="0.3">
      <c r="A11" s="15">
        <v>0.1</v>
      </c>
      <c r="B11" s="12" t="s">
        <v>29</v>
      </c>
      <c r="C11" s="3" t="s">
        <v>18</v>
      </c>
      <c r="D11" s="18" t="str">
        <f>IFERROR(AVERAGEIFS('BDT''s'!W:W,'BDT''s'!L:L,VMI!C11,'BDT''s'!F:F,VMI!B11,'BDT''s'!E:E,VMI!A11),"-")</f>
        <v>-</v>
      </c>
      <c r="E11" s="18" t="str" cm="1">
        <f t="array" ref="E11">IFERROR(_xlfn.PERCENTILE.INC(_xlfn._xlws.FILTER('BDT''s'!W:W,('BDT''s'!L:L=VMI!C11)*('BDT''s'!F:F=VMI!B11)*('BDT''s'!E:E=VMI!A11)),0.5),"-")</f>
        <v>-</v>
      </c>
      <c r="F11" s="18" t="str" cm="1">
        <f t="array" ref="F11">IFERROR(_xlfn.PERCENTILE.INC(_xlfn._xlws.FILTER('BDT''s'!W:W,('BDT''s'!L:L=VMI!C11)*('BDT''s'!F:F=VMI!B11)*('BDT''s'!E:E=VMI!A11)),0.75),"-")</f>
        <v>-</v>
      </c>
      <c r="G11" s="18">
        <f>IFERROR(_xlfn.MAXIFS('BDT''s'!W:W,'BDT''s'!L:L,VMI!C11,'BDT''s'!F:F,VMI!B11,'BDT''s'!E:E,VMI!A11),"-")</f>
        <v>0</v>
      </c>
      <c r="H11" s="16">
        <f>IFERROR(COUNTIFS('BDT''s'!L:L,VMI!C11,'BDT''s'!F:F,VMI!B11,'BDT''s'!E:E,VMI!A11),"-")</f>
        <v>0</v>
      </c>
      <c r="I11" s="12" t="str">
        <f t="shared" si="0"/>
        <v>-</v>
      </c>
      <c r="J11" s="16" t="str">
        <f t="shared" si="1"/>
        <v>-</v>
      </c>
      <c r="K11" s="18" t="str">
        <f>IFERROR(AVERAGEIFS('BDT''s'!$W:$W,'BDT''s'!$L:$L,VMI!C11,'BDT''s'!$F:$F,VMI!$B11,'BDT''s'!$E:$E,VMI!$A11)*J11,"-")</f>
        <v>-</v>
      </c>
      <c r="L11" s="18" t="str">
        <f t="shared" si="2"/>
        <v>-</v>
      </c>
      <c r="M11" s="3" t="s">
        <v>19</v>
      </c>
      <c r="N11" s="18" t="str">
        <f>IFERROR(AVERAGEIFS('BDT''s'!W:W,'BDT''s'!L:L,VMI!M11,'BDT''s'!F:F,VMI!B11,'BDT''s'!E:E,VMI!A11),"-")</f>
        <v>-</v>
      </c>
      <c r="O11" s="18" t="str" cm="1">
        <f t="array" ref="O11">IFERROR(_xlfn.PERCENTILE.INC(_xlfn._xlws.FILTER('BDT''s'!W:W,('BDT''s'!L:L=VMI!M11)*('BDT''s'!F:F=VMI!B11)*('BDT''s'!E:E=VMI!A11)),0.5),"-")</f>
        <v>-</v>
      </c>
      <c r="P11" s="18" t="str" cm="1">
        <f t="array" ref="P11">IFERROR(_xlfn.PERCENTILE.INC(_xlfn._xlws.FILTER('BDT''s'!W:W,('BDT''s'!L:L=VMI!M11)*('BDT''s'!F:F=VMI!B11)*('BDT''s'!E:E=VMI!A11)),0.75),"-")</f>
        <v>-</v>
      </c>
      <c r="Q11" s="18">
        <f>IFERROR(_xlfn.MAXIFS('BDT''s'!W:W,'BDT''s'!L:L,VMI!M11,'BDT''s'!F:F,VMI!B11,'BDT''s'!E:E,VMI!A11),"-")</f>
        <v>0</v>
      </c>
      <c r="R11" s="16">
        <f>IFERROR(COUNTIFS('BDT''s'!L:L,VMI!M11,'BDT''s'!F:F,VMI!B11,'BDT''s'!E:E,VMI!A11),"-")</f>
        <v>0</v>
      </c>
      <c r="S11" s="12" t="str">
        <f t="shared" si="3"/>
        <v>-</v>
      </c>
      <c r="T11" s="16" t="str">
        <f t="shared" si="4"/>
        <v>-</v>
      </c>
      <c r="U11" s="18" t="str">
        <f>IFERROR(AVERAGEIFS('BDT''s'!$W:$W,'BDT''s'!$L:$L,VMI!M11,'BDT''s'!$F:$F,VMI!$B11,'BDT''s'!$E:$E,VMI!$A11)*T11,"-")</f>
        <v>-</v>
      </c>
      <c r="V11" s="18" t="str">
        <f t="shared" si="5"/>
        <v>-</v>
      </c>
      <c r="W11" s="3" t="s">
        <v>20</v>
      </c>
      <c r="X11" s="18" t="str">
        <f>IFERROR(AVERAGEIFS('BDT''s'!W:W,'BDT''s'!L:L,VMI!W11,'BDT''s'!F:F,VMI!B11,'BDT''s'!E:E,VMI!A11),"-")</f>
        <v>-</v>
      </c>
      <c r="Y11" s="18" t="str" cm="1">
        <f t="array" ref="Y11">IFERROR(_xlfn.PERCENTILE.INC(_xlfn._xlws.FILTER('BDT''s'!W:W,('BDT''s'!L:L=VMI!W11)*('BDT''s'!F:F=VMI!B11)*('BDT''s'!E:E=VMI!A11)),0.5),"-")</f>
        <v>-</v>
      </c>
      <c r="Z11" s="18" t="str" cm="1">
        <f t="array" ref="Z11">IFERROR(_xlfn.PERCENTILE.INC(_xlfn._xlws.FILTER('BDT''s'!W:W,('BDT''s'!L:L=VMI!W11)*('BDT''s'!F:F=VMI!B11)*('BDT''s'!E:E=VMI!A11)),0.75),"-")</f>
        <v>-</v>
      </c>
      <c r="AA11" s="18">
        <f>IFERROR(_xlfn.MAXIFS('BDT''s'!W:W,'BDT''s'!L:L,VMI!W11,'BDT''s'!F:F,VMI!B11,'BDT''s'!E:E,VMI!A11),"-")</f>
        <v>0</v>
      </c>
      <c r="AB11" s="16">
        <f>IFERROR(COUNTIFS('BDT''s'!L:L,VMI!W11,'BDT''s'!F:F,VMI!B11,'BDT''s'!E:E,VMI!A11),"-")</f>
        <v>0</v>
      </c>
      <c r="AC11" s="12" t="str">
        <f t="shared" si="6"/>
        <v>-</v>
      </c>
      <c r="AD11" s="16" t="str">
        <f t="shared" si="7"/>
        <v>-</v>
      </c>
      <c r="AE11" s="18" t="str">
        <f>IFERROR(AVERAGEIFS('BDT''s'!$W:$W,'BDT''s'!$L:$L,VMI!W11,'BDT''s'!$F:$F,VMI!$B11,'BDT''s'!$E:$E,VMI!$A11)*AD11,"-")</f>
        <v>-</v>
      </c>
      <c r="AF11" s="18" t="str">
        <f t="shared" si="8"/>
        <v>-</v>
      </c>
    </row>
    <row r="12" spans="1:32" x14ac:dyDescent="0.3">
      <c r="A12" s="15">
        <v>0.11</v>
      </c>
      <c r="B12" s="12" t="s">
        <v>30</v>
      </c>
      <c r="C12" s="3" t="s">
        <v>18</v>
      </c>
      <c r="D12" s="18" t="str">
        <f>IFERROR(AVERAGEIFS('BDT''s'!W:W,'BDT''s'!L:L,VMI!C12,'BDT''s'!F:F,VMI!B12,'BDT''s'!E:E,VMI!A12),"-")</f>
        <v>-</v>
      </c>
      <c r="E12" s="18" t="str" cm="1">
        <f t="array" ref="E12">IFERROR(_xlfn.PERCENTILE.INC(_xlfn._xlws.FILTER('BDT''s'!W:W,('BDT''s'!L:L=VMI!C12)*('BDT''s'!F:F=VMI!B12)*('BDT''s'!E:E=VMI!A12)),0.5),"-")</f>
        <v>-</v>
      </c>
      <c r="F12" s="18" t="str" cm="1">
        <f t="array" ref="F12">IFERROR(_xlfn.PERCENTILE.INC(_xlfn._xlws.FILTER('BDT''s'!W:W,('BDT''s'!L:L=VMI!C12)*('BDT''s'!F:F=VMI!B12)*('BDT''s'!E:E=VMI!A12)),0.75),"-")</f>
        <v>-</v>
      </c>
      <c r="G12" s="18">
        <f>IFERROR(_xlfn.MAXIFS('BDT''s'!W:W,'BDT''s'!L:L,VMI!C12,'BDT''s'!F:F,VMI!B12,'BDT''s'!E:E,VMI!A12),"-")</f>
        <v>0</v>
      </c>
      <c r="H12" s="16">
        <f>IFERROR(COUNTIFS('BDT''s'!L:L,VMI!C12,'BDT''s'!F:F,VMI!B12,'BDT''s'!E:E,VMI!A12),"-")</f>
        <v>0</v>
      </c>
      <c r="I12" s="12" t="str">
        <f t="shared" si="0"/>
        <v>-</v>
      </c>
      <c r="J12" s="16" t="str">
        <f t="shared" si="1"/>
        <v>-</v>
      </c>
      <c r="K12" s="18" t="str">
        <f>IFERROR(AVERAGEIFS('BDT''s'!$W:$W,'BDT''s'!$L:$L,VMI!C12,'BDT''s'!$F:$F,VMI!$B12,'BDT''s'!$E:$E,VMI!$A12)*J12,"-")</f>
        <v>-</v>
      </c>
      <c r="L12" s="18" t="str">
        <f t="shared" si="2"/>
        <v>-</v>
      </c>
      <c r="M12" s="3" t="s">
        <v>19</v>
      </c>
      <c r="N12" s="18" t="str">
        <f>IFERROR(AVERAGEIFS('BDT''s'!W:W,'BDT''s'!L:L,VMI!M12,'BDT''s'!F:F,VMI!B12,'BDT''s'!E:E,VMI!A12),"-")</f>
        <v>-</v>
      </c>
      <c r="O12" s="18" t="str" cm="1">
        <f t="array" ref="O12">IFERROR(_xlfn.PERCENTILE.INC(_xlfn._xlws.FILTER('BDT''s'!W:W,('BDT''s'!L:L=VMI!M12)*('BDT''s'!F:F=VMI!B12)*('BDT''s'!E:E=VMI!A12)),0.5),"-")</f>
        <v>-</v>
      </c>
      <c r="P12" s="18" t="str" cm="1">
        <f t="array" ref="P12">IFERROR(_xlfn.PERCENTILE.INC(_xlfn._xlws.FILTER('BDT''s'!W:W,('BDT''s'!L:L=VMI!M12)*('BDT''s'!F:F=VMI!B12)*('BDT''s'!E:E=VMI!A12)),0.75),"-")</f>
        <v>-</v>
      </c>
      <c r="Q12" s="18">
        <f>IFERROR(_xlfn.MAXIFS('BDT''s'!W:W,'BDT''s'!L:L,VMI!M12,'BDT''s'!F:F,VMI!B12,'BDT''s'!E:E,VMI!A12),"-")</f>
        <v>0</v>
      </c>
      <c r="R12" s="16">
        <f>IFERROR(COUNTIFS('BDT''s'!L:L,VMI!M12,'BDT''s'!F:F,VMI!B12,'BDT''s'!E:E,VMI!A12),"-")</f>
        <v>0</v>
      </c>
      <c r="S12" s="12" t="str">
        <f t="shared" si="3"/>
        <v>-</v>
      </c>
      <c r="T12" s="16" t="str">
        <f t="shared" si="4"/>
        <v>-</v>
      </c>
      <c r="U12" s="18" t="str">
        <f>IFERROR(AVERAGEIFS('BDT''s'!$W:$W,'BDT''s'!$L:$L,VMI!M12,'BDT''s'!$F:$F,VMI!$B12,'BDT''s'!$E:$E,VMI!$A12)*T12,"-")</f>
        <v>-</v>
      </c>
      <c r="V12" s="18" t="str">
        <f t="shared" si="5"/>
        <v>-</v>
      </c>
      <c r="W12" s="3" t="s">
        <v>20</v>
      </c>
      <c r="X12" s="18" t="str">
        <f>IFERROR(AVERAGEIFS('BDT''s'!W:W,'BDT''s'!L:L,VMI!W12,'BDT''s'!F:F,VMI!B12,'BDT''s'!E:E,VMI!A12),"-")</f>
        <v>-</v>
      </c>
      <c r="Y12" s="18" t="str" cm="1">
        <f t="array" ref="Y12">IFERROR(_xlfn.PERCENTILE.INC(_xlfn._xlws.FILTER('BDT''s'!W:W,('BDT''s'!L:L=VMI!W12)*('BDT''s'!F:F=VMI!B12)*('BDT''s'!E:E=VMI!A12)),0.5),"-")</f>
        <v>-</v>
      </c>
      <c r="Z12" s="18" t="str" cm="1">
        <f t="array" ref="Z12">IFERROR(_xlfn.PERCENTILE.INC(_xlfn._xlws.FILTER('BDT''s'!W:W,('BDT''s'!L:L=VMI!W12)*('BDT''s'!F:F=VMI!B12)*('BDT''s'!E:E=VMI!A12)),0.75),"-")</f>
        <v>-</v>
      </c>
      <c r="AA12" s="18">
        <f>IFERROR(_xlfn.MAXIFS('BDT''s'!W:W,'BDT''s'!L:L,VMI!W12,'BDT''s'!F:F,VMI!B12,'BDT''s'!E:E,VMI!A12),"-")</f>
        <v>0</v>
      </c>
      <c r="AB12" s="16">
        <f>IFERROR(COUNTIFS('BDT''s'!L:L,VMI!W12,'BDT''s'!F:F,VMI!B12,'BDT''s'!E:E,VMI!A12),"-")</f>
        <v>0</v>
      </c>
      <c r="AC12" s="12" t="str">
        <f t="shared" si="6"/>
        <v>-</v>
      </c>
      <c r="AD12" s="16" t="str">
        <f t="shared" si="7"/>
        <v>-</v>
      </c>
      <c r="AE12" s="18" t="str">
        <f>IFERROR(AVERAGEIFS('BDT''s'!$W:$W,'BDT''s'!$L:$L,VMI!W12,'BDT''s'!$F:$F,VMI!$B12,'BDT''s'!$E:$E,VMI!$A12)*AD12,"-")</f>
        <v>-</v>
      </c>
      <c r="AF12" s="18" t="str">
        <f t="shared" si="8"/>
        <v>-</v>
      </c>
    </row>
    <row r="13" spans="1:32" x14ac:dyDescent="0.3">
      <c r="A13" s="15">
        <v>0.12</v>
      </c>
      <c r="B13" s="12" t="s">
        <v>30</v>
      </c>
      <c r="C13" s="3" t="s">
        <v>18</v>
      </c>
      <c r="D13" s="18" t="str">
        <f>IFERROR(AVERAGEIFS('BDT''s'!W:W,'BDT''s'!L:L,VMI!C13,'BDT''s'!F:F,VMI!B13,'BDT''s'!E:E,VMI!A13),"-")</f>
        <v>-</v>
      </c>
      <c r="E13" s="18" t="str" cm="1">
        <f t="array" ref="E13">IFERROR(_xlfn.PERCENTILE.INC(_xlfn._xlws.FILTER('BDT''s'!W:W,('BDT''s'!L:L=VMI!C13)*('BDT''s'!F:F=VMI!B13)*('BDT''s'!E:E=VMI!A13)),0.5),"-")</f>
        <v>-</v>
      </c>
      <c r="F13" s="18" t="str" cm="1">
        <f t="array" ref="F13">IFERROR(_xlfn.PERCENTILE.INC(_xlfn._xlws.FILTER('BDT''s'!W:W,('BDT''s'!L:L=VMI!C13)*('BDT''s'!F:F=VMI!B13)*('BDT''s'!E:E=VMI!A13)),0.75),"-")</f>
        <v>-</v>
      </c>
      <c r="G13" s="18">
        <f>IFERROR(_xlfn.MAXIFS('BDT''s'!W:W,'BDT''s'!L:L,VMI!C13,'BDT''s'!F:F,VMI!B13,'BDT''s'!E:E,VMI!A13),"-")</f>
        <v>0</v>
      </c>
      <c r="H13" s="16">
        <f>IFERROR(COUNTIFS('BDT''s'!L:L,VMI!C13,'BDT''s'!F:F,VMI!B13,'BDT''s'!E:E,VMI!A13),"-")</f>
        <v>0</v>
      </c>
      <c r="I13" s="12" t="str">
        <f t="shared" si="0"/>
        <v>-</v>
      </c>
      <c r="J13" s="16" t="str">
        <f t="shared" si="1"/>
        <v>-</v>
      </c>
      <c r="K13" s="18" t="str">
        <f>IFERROR(AVERAGEIFS('BDT''s'!$W:$W,'BDT''s'!$L:$L,VMI!C13,'BDT''s'!$F:$F,VMI!$B13,'BDT''s'!$E:$E,VMI!$A13)*J13,"-")</f>
        <v>-</v>
      </c>
      <c r="L13" s="18" t="str">
        <f t="shared" si="2"/>
        <v>-</v>
      </c>
      <c r="M13" s="3" t="s">
        <v>19</v>
      </c>
      <c r="N13" s="18" t="str">
        <f>IFERROR(AVERAGEIFS('BDT''s'!W:W,'BDT''s'!L:L,VMI!M13,'BDT''s'!F:F,VMI!B13,'BDT''s'!E:E,VMI!A13),"-")</f>
        <v>-</v>
      </c>
      <c r="O13" s="18" t="str" cm="1">
        <f t="array" ref="O13">IFERROR(_xlfn.PERCENTILE.INC(_xlfn._xlws.FILTER('BDT''s'!W:W,('BDT''s'!L:L=VMI!M13)*('BDT''s'!F:F=VMI!B13)*('BDT''s'!E:E=VMI!A13)),0.5),"-")</f>
        <v>-</v>
      </c>
      <c r="P13" s="18" t="str" cm="1">
        <f t="array" ref="P13">IFERROR(_xlfn.PERCENTILE.INC(_xlfn._xlws.FILTER('BDT''s'!W:W,('BDT''s'!L:L=VMI!M13)*('BDT''s'!F:F=VMI!B13)*('BDT''s'!E:E=VMI!A13)),0.75),"-")</f>
        <v>-</v>
      </c>
      <c r="Q13" s="18">
        <f>IFERROR(_xlfn.MAXIFS('BDT''s'!W:W,'BDT''s'!L:L,VMI!M13,'BDT''s'!F:F,VMI!B13,'BDT''s'!E:E,VMI!A13),"-")</f>
        <v>0</v>
      </c>
      <c r="R13" s="16">
        <f>IFERROR(COUNTIFS('BDT''s'!L:L,VMI!M13,'BDT''s'!F:F,VMI!B13,'BDT''s'!E:E,VMI!A13),"-")</f>
        <v>0</v>
      </c>
      <c r="S13" s="12" t="str">
        <f t="shared" si="3"/>
        <v>-</v>
      </c>
      <c r="T13" s="16" t="str">
        <f t="shared" si="4"/>
        <v>-</v>
      </c>
      <c r="U13" s="18" t="str">
        <f>IFERROR(AVERAGEIFS('BDT''s'!$W:$W,'BDT''s'!$L:$L,VMI!M13,'BDT''s'!$F:$F,VMI!$B13,'BDT''s'!$E:$E,VMI!$A13)*T13,"-")</f>
        <v>-</v>
      </c>
      <c r="V13" s="18" t="str">
        <f t="shared" si="5"/>
        <v>-</v>
      </c>
      <c r="W13" s="3" t="s">
        <v>20</v>
      </c>
      <c r="X13" s="18" t="str">
        <f>IFERROR(AVERAGEIFS('BDT''s'!W:W,'BDT''s'!L:L,VMI!W13,'BDT''s'!F:F,VMI!B13,'BDT''s'!E:E,VMI!A13),"-")</f>
        <v>-</v>
      </c>
      <c r="Y13" s="18" t="str" cm="1">
        <f t="array" ref="Y13">IFERROR(_xlfn.PERCENTILE.INC(_xlfn._xlws.FILTER('BDT''s'!W:W,('BDT''s'!L:L=VMI!W13)*('BDT''s'!F:F=VMI!B13)*('BDT''s'!E:E=VMI!A13)),0.5),"-")</f>
        <v>-</v>
      </c>
      <c r="Z13" s="18" t="str" cm="1">
        <f t="array" ref="Z13">IFERROR(_xlfn.PERCENTILE.INC(_xlfn._xlws.FILTER('BDT''s'!W:W,('BDT''s'!L:L=VMI!W13)*('BDT''s'!F:F=VMI!B13)*('BDT''s'!E:E=VMI!A13)),0.75),"-")</f>
        <v>-</v>
      </c>
      <c r="AA13" s="18">
        <f>IFERROR(_xlfn.MAXIFS('BDT''s'!W:W,'BDT''s'!L:L,VMI!W13,'BDT''s'!F:F,VMI!B13,'BDT''s'!E:E,VMI!A13),"-")</f>
        <v>0</v>
      </c>
      <c r="AB13" s="16">
        <f>IFERROR(COUNTIFS('BDT''s'!L:L,VMI!W13,'BDT''s'!F:F,VMI!B13,'BDT''s'!E:E,VMI!A13),"-")</f>
        <v>0</v>
      </c>
      <c r="AC13" s="12" t="str">
        <f t="shared" si="6"/>
        <v>-</v>
      </c>
      <c r="AD13" s="16" t="str">
        <f t="shared" si="7"/>
        <v>-</v>
      </c>
      <c r="AE13" s="18" t="str">
        <f>IFERROR(AVERAGEIFS('BDT''s'!$W:$W,'BDT''s'!$L:$L,VMI!W13,'BDT''s'!$F:$F,VMI!$B13,'BDT''s'!$E:$E,VMI!$A13)*AD13,"-")</f>
        <v>-</v>
      </c>
      <c r="AF13" s="18" t="str">
        <f t="shared" si="8"/>
        <v>-</v>
      </c>
    </row>
    <row r="14" spans="1:32" x14ac:dyDescent="0.3">
      <c r="A14" s="15">
        <v>0.13</v>
      </c>
      <c r="B14" s="12" t="s">
        <v>30</v>
      </c>
      <c r="C14" s="3" t="s">
        <v>18</v>
      </c>
      <c r="D14" s="18" t="str">
        <f>IFERROR(AVERAGEIFS('BDT''s'!W:W,'BDT''s'!L:L,VMI!C14,'BDT''s'!F:F,VMI!B14,'BDT''s'!E:E,VMI!A14),"-")</f>
        <v>-</v>
      </c>
      <c r="E14" s="18" t="str" cm="1">
        <f t="array" ref="E14">IFERROR(_xlfn.PERCENTILE.INC(_xlfn._xlws.FILTER('BDT''s'!W:W,('BDT''s'!L:L=VMI!C14)*('BDT''s'!F:F=VMI!B14)*('BDT''s'!E:E=VMI!A14)),0.5),"-")</f>
        <v>-</v>
      </c>
      <c r="F14" s="18" t="str" cm="1">
        <f t="array" ref="F14">IFERROR(_xlfn.PERCENTILE.INC(_xlfn._xlws.FILTER('BDT''s'!W:W,('BDT''s'!L:L=VMI!C14)*('BDT''s'!F:F=VMI!B14)*('BDT''s'!E:E=VMI!A14)),0.75),"-")</f>
        <v>-</v>
      </c>
      <c r="G14" s="18">
        <f>IFERROR(_xlfn.MAXIFS('BDT''s'!W:W,'BDT''s'!L:L,VMI!C14,'BDT''s'!F:F,VMI!B14,'BDT''s'!E:E,VMI!A14),"-")</f>
        <v>0</v>
      </c>
      <c r="H14" s="16">
        <f>IFERROR(COUNTIFS('BDT''s'!L:L,VMI!C14,'BDT''s'!F:F,VMI!B14,'BDT''s'!E:E,VMI!A14),"-")</f>
        <v>0</v>
      </c>
      <c r="I14" s="12" t="str">
        <f t="shared" si="0"/>
        <v>-</v>
      </c>
      <c r="J14" s="16" t="str">
        <f t="shared" si="1"/>
        <v>-</v>
      </c>
      <c r="K14" s="18" t="str">
        <f>IFERROR(AVERAGEIFS('BDT''s'!$W:$W,'BDT''s'!$L:$L,VMI!C14,'BDT''s'!$F:$F,VMI!$B14,'BDT''s'!$E:$E,VMI!$A14)*J14,"-")</f>
        <v>-</v>
      </c>
      <c r="L14" s="18" t="str">
        <f t="shared" si="2"/>
        <v>-</v>
      </c>
      <c r="M14" s="3" t="s">
        <v>19</v>
      </c>
      <c r="N14" s="18" t="str">
        <f>IFERROR(AVERAGEIFS('BDT''s'!W:W,'BDT''s'!L:L,VMI!M14,'BDT''s'!F:F,VMI!B14,'BDT''s'!E:E,VMI!A14),"-")</f>
        <v>-</v>
      </c>
      <c r="O14" s="18" t="str" cm="1">
        <f t="array" ref="O14">IFERROR(_xlfn.PERCENTILE.INC(_xlfn._xlws.FILTER('BDT''s'!W:W,('BDT''s'!L:L=VMI!M14)*('BDT''s'!F:F=VMI!B14)*('BDT''s'!E:E=VMI!A14)),0.5),"-")</f>
        <v>-</v>
      </c>
      <c r="P14" s="18" t="str" cm="1">
        <f t="array" ref="P14">IFERROR(_xlfn.PERCENTILE.INC(_xlfn._xlws.FILTER('BDT''s'!W:W,('BDT''s'!L:L=VMI!M14)*('BDT''s'!F:F=VMI!B14)*('BDT''s'!E:E=VMI!A14)),0.75),"-")</f>
        <v>-</v>
      </c>
      <c r="Q14" s="18">
        <f>IFERROR(_xlfn.MAXIFS('BDT''s'!W:W,'BDT''s'!L:L,VMI!M14,'BDT''s'!F:F,VMI!B14,'BDT''s'!E:E,VMI!A14),"-")</f>
        <v>0</v>
      </c>
      <c r="R14" s="16">
        <f>IFERROR(COUNTIFS('BDT''s'!L:L,VMI!M14,'BDT''s'!F:F,VMI!B14,'BDT''s'!E:E,VMI!A14),"-")</f>
        <v>0</v>
      </c>
      <c r="S14" s="12" t="str">
        <f t="shared" si="3"/>
        <v>-</v>
      </c>
      <c r="T14" s="16" t="str">
        <f t="shared" si="4"/>
        <v>-</v>
      </c>
      <c r="U14" s="18" t="str">
        <f>IFERROR(AVERAGEIFS('BDT''s'!$W:$W,'BDT''s'!$L:$L,VMI!M14,'BDT''s'!$F:$F,VMI!$B14,'BDT''s'!$E:$E,VMI!$A14)*T14,"-")</f>
        <v>-</v>
      </c>
      <c r="V14" s="18" t="str">
        <f t="shared" si="5"/>
        <v>-</v>
      </c>
      <c r="W14" s="3" t="s">
        <v>20</v>
      </c>
      <c r="X14" s="18" t="str">
        <f>IFERROR(AVERAGEIFS('BDT''s'!W:W,'BDT''s'!L:L,VMI!W14,'BDT''s'!F:F,VMI!B14,'BDT''s'!E:E,VMI!A14),"-")</f>
        <v>-</v>
      </c>
      <c r="Y14" s="18" t="str" cm="1">
        <f t="array" ref="Y14">IFERROR(_xlfn.PERCENTILE.INC(_xlfn._xlws.FILTER('BDT''s'!W:W,('BDT''s'!L:L=VMI!W14)*('BDT''s'!F:F=VMI!B14)*('BDT''s'!E:E=VMI!A14)),0.5),"-")</f>
        <v>-</v>
      </c>
      <c r="Z14" s="18" t="str" cm="1">
        <f t="array" ref="Z14">IFERROR(_xlfn.PERCENTILE.INC(_xlfn._xlws.FILTER('BDT''s'!W:W,('BDT''s'!L:L=VMI!W14)*('BDT''s'!F:F=VMI!B14)*('BDT''s'!E:E=VMI!A14)),0.75),"-")</f>
        <v>-</v>
      </c>
      <c r="AA14" s="18">
        <f>IFERROR(_xlfn.MAXIFS('BDT''s'!W:W,'BDT''s'!L:L,VMI!W14,'BDT''s'!F:F,VMI!B14,'BDT''s'!E:E,VMI!A14),"-")</f>
        <v>0</v>
      </c>
      <c r="AB14" s="16">
        <f>IFERROR(COUNTIFS('BDT''s'!L:L,VMI!W14,'BDT''s'!F:F,VMI!B14,'BDT''s'!E:E,VMI!A14),"-")</f>
        <v>0</v>
      </c>
      <c r="AC14" s="12" t="str">
        <f t="shared" si="6"/>
        <v>-</v>
      </c>
      <c r="AD14" s="16" t="str">
        <f t="shared" si="7"/>
        <v>-</v>
      </c>
      <c r="AE14" s="18" t="str">
        <f>IFERROR(AVERAGEIFS('BDT''s'!$W:$W,'BDT''s'!$L:$L,VMI!W14,'BDT''s'!$F:$F,VMI!$B14,'BDT''s'!$E:$E,VMI!$A14)*AD14,"-")</f>
        <v>-</v>
      </c>
      <c r="AF14" s="18" t="str">
        <f t="shared" si="8"/>
        <v>-</v>
      </c>
    </row>
    <row r="15" spans="1:32" x14ac:dyDescent="0.3">
      <c r="A15" s="15">
        <v>0.14000000000000001</v>
      </c>
      <c r="B15" s="12" t="s">
        <v>30</v>
      </c>
      <c r="C15" s="3" t="s">
        <v>18</v>
      </c>
      <c r="D15" s="18" t="str">
        <f>IFERROR(AVERAGEIFS('BDT''s'!W:W,'BDT''s'!L:L,VMI!C15,'BDT''s'!F:F,VMI!B15,'BDT''s'!E:E,VMI!A15),"-")</f>
        <v>-</v>
      </c>
      <c r="E15" s="18" t="str" cm="1">
        <f t="array" ref="E15">IFERROR(_xlfn.PERCENTILE.INC(_xlfn._xlws.FILTER('BDT''s'!W:W,('BDT''s'!L:L=VMI!C15)*('BDT''s'!F:F=VMI!B15)*('BDT''s'!E:E=VMI!A15)),0.5),"-")</f>
        <v>-</v>
      </c>
      <c r="F15" s="18" t="str" cm="1">
        <f t="array" ref="F15">IFERROR(_xlfn.PERCENTILE.INC(_xlfn._xlws.FILTER('BDT''s'!W:W,('BDT''s'!L:L=VMI!C15)*('BDT''s'!F:F=VMI!B15)*('BDT''s'!E:E=VMI!A15)),0.75),"-")</f>
        <v>-</v>
      </c>
      <c r="G15" s="18">
        <f>IFERROR(_xlfn.MAXIFS('BDT''s'!W:W,'BDT''s'!L:L,VMI!C15,'BDT''s'!F:F,VMI!B15,'BDT''s'!E:E,VMI!A15),"-")</f>
        <v>0</v>
      </c>
      <c r="H15" s="16">
        <f>IFERROR(COUNTIFS('BDT''s'!L:L,VMI!C15,'BDT''s'!F:F,VMI!B15,'BDT''s'!E:E,VMI!A15),"-")</f>
        <v>0</v>
      </c>
      <c r="I15" s="12" t="str">
        <f t="shared" si="0"/>
        <v>-</v>
      </c>
      <c r="J15" s="16" t="str">
        <f t="shared" si="1"/>
        <v>-</v>
      </c>
      <c r="K15" s="18" t="str">
        <f>IFERROR(AVERAGEIFS('BDT''s'!$W:$W,'BDT''s'!$L:$L,VMI!C15,'BDT''s'!$F:$F,VMI!$B15,'BDT''s'!$E:$E,VMI!$A15)*J15,"-")</f>
        <v>-</v>
      </c>
      <c r="L15" s="18" t="str">
        <f t="shared" si="2"/>
        <v>-</v>
      </c>
      <c r="M15" s="3" t="s">
        <v>19</v>
      </c>
      <c r="N15" s="18" t="str">
        <f>IFERROR(AVERAGEIFS('BDT''s'!W:W,'BDT''s'!L:L,VMI!M15,'BDT''s'!F:F,VMI!B15,'BDT''s'!E:E,VMI!A15),"-")</f>
        <v>-</v>
      </c>
      <c r="O15" s="18" t="str" cm="1">
        <f t="array" ref="O15">IFERROR(_xlfn.PERCENTILE.INC(_xlfn._xlws.FILTER('BDT''s'!W:W,('BDT''s'!L:L=VMI!M15)*('BDT''s'!F:F=VMI!B15)*('BDT''s'!E:E=VMI!A15)),0.5),"-")</f>
        <v>-</v>
      </c>
      <c r="P15" s="18" t="str" cm="1">
        <f t="array" ref="P15">IFERROR(_xlfn.PERCENTILE.INC(_xlfn._xlws.FILTER('BDT''s'!W:W,('BDT''s'!L:L=VMI!M15)*('BDT''s'!F:F=VMI!B15)*('BDT''s'!E:E=VMI!A15)),0.75),"-")</f>
        <v>-</v>
      </c>
      <c r="Q15" s="18">
        <f>IFERROR(_xlfn.MAXIFS('BDT''s'!W:W,'BDT''s'!L:L,VMI!M15,'BDT''s'!F:F,VMI!B15,'BDT''s'!E:E,VMI!A15),"-")</f>
        <v>0</v>
      </c>
      <c r="R15" s="16">
        <f>IFERROR(COUNTIFS('BDT''s'!L:L,VMI!M15,'BDT''s'!F:F,VMI!B15,'BDT''s'!E:E,VMI!A15),"-")</f>
        <v>0</v>
      </c>
      <c r="S15" s="12" t="str">
        <f t="shared" si="3"/>
        <v>-</v>
      </c>
      <c r="T15" s="16" t="str">
        <f t="shared" si="4"/>
        <v>-</v>
      </c>
      <c r="U15" s="18" t="str">
        <f>IFERROR(AVERAGEIFS('BDT''s'!$W:$W,'BDT''s'!$L:$L,VMI!M15,'BDT''s'!$F:$F,VMI!$B15,'BDT''s'!$E:$E,VMI!$A15)*T15,"-")</f>
        <v>-</v>
      </c>
      <c r="V15" s="18" t="str">
        <f t="shared" si="5"/>
        <v>-</v>
      </c>
      <c r="W15" s="3" t="s">
        <v>20</v>
      </c>
      <c r="X15" s="18" t="str">
        <f>IFERROR(AVERAGEIFS('BDT''s'!W:W,'BDT''s'!L:L,VMI!W15,'BDT''s'!F:F,VMI!B15,'BDT''s'!E:E,VMI!A15),"-")</f>
        <v>-</v>
      </c>
      <c r="Y15" s="18" t="str" cm="1">
        <f t="array" ref="Y15">IFERROR(_xlfn.PERCENTILE.INC(_xlfn._xlws.FILTER('BDT''s'!W:W,('BDT''s'!L:L=VMI!W15)*('BDT''s'!F:F=VMI!B15)*('BDT''s'!E:E=VMI!A15)),0.5),"-")</f>
        <v>-</v>
      </c>
      <c r="Z15" s="18" t="str" cm="1">
        <f t="array" ref="Z15">IFERROR(_xlfn.PERCENTILE.INC(_xlfn._xlws.FILTER('BDT''s'!W:W,('BDT''s'!L:L=VMI!W15)*('BDT''s'!F:F=VMI!B15)*('BDT''s'!E:E=VMI!A15)),0.75),"-")</f>
        <v>-</v>
      </c>
      <c r="AA15" s="18">
        <f>IFERROR(_xlfn.MAXIFS('BDT''s'!W:W,'BDT''s'!L:L,VMI!W15,'BDT''s'!F:F,VMI!B15,'BDT''s'!E:E,VMI!A15),"-")</f>
        <v>0</v>
      </c>
      <c r="AB15" s="16">
        <f>IFERROR(COUNTIFS('BDT''s'!L:L,VMI!W15,'BDT''s'!F:F,VMI!B15,'BDT''s'!E:E,VMI!A15),"-")</f>
        <v>0</v>
      </c>
      <c r="AC15" s="12" t="str">
        <f t="shared" si="6"/>
        <v>-</v>
      </c>
      <c r="AD15" s="16" t="str">
        <f t="shared" si="7"/>
        <v>-</v>
      </c>
      <c r="AE15" s="18" t="str">
        <f>IFERROR(AVERAGEIFS('BDT''s'!$W:$W,'BDT''s'!$L:$L,VMI!W15,'BDT''s'!$F:$F,VMI!$B15,'BDT''s'!$E:$E,VMI!$A15)*AD15,"-")</f>
        <v>-</v>
      </c>
      <c r="AF15" s="18" t="str">
        <f t="shared" si="8"/>
        <v>-</v>
      </c>
    </row>
    <row r="16" spans="1:32" x14ac:dyDescent="0.3">
      <c r="A16" s="15">
        <v>0.15</v>
      </c>
      <c r="B16" s="12" t="s">
        <v>30</v>
      </c>
      <c r="C16" s="3" t="s">
        <v>18</v>
      </c>
      <c r="D16" s="18">
        <f>IFERROR(AVERAGEIFS('BDT''s'!W:W,'BDT''s'!L:L,VMI!C16,'BDT''s'!F:F,VMI!B16,'BDT''s'!E:E,VMI!A16),"-")</f>
        <v>85.81772797549371</v>
      </c>
      <c r="E16" s="18" cm="1">
        <f t="array" ref="E16">IFERROR(_xlfn.PERCENTILE.INC(_xlfn._xlws.FILTER('BDT''s'!W:W,('BDT''s'!L:L=VMI!C16)*('BDT''s'!F:F=VMI!B16)*('BDT''s'!E:E=VMI!A16)),0.5),"-")</f>
        <v>85.85114222549737</v>
      </c>
      <c r="F16" s="18" cm="1">
        <f t="array" ref="F16">IFERROR(_xlfn.PERCENTILE.INC(_xlfn._xlws.FILTER('BDT''s'!W:W,('BDT''s'!L:L=VMI!C16)*('BDT''s'!F:F=VMI!B16)*('BDT''s'!E:E=VMI!A16)),0.75),"-")</f>
        <v>90.217391304347501</v>
      </c>
      <c r="G16" s="18">
        <f>IFERROR(_xlfn.MAXIFS('BDT''s'!W:W,'BDT''s'!L:L,VMI!C16,'BDT''s'!F:F,VMI!B16,'BDT''s'!E:E,VMI!A16),"-")</f>
        <v>100</v>
      </c>
      <c r="H16" s="16">
        <f>IFERROR(COUNTIFS('BDT''s'!L:L,VMI!C16,'BDT''s'!F:F,VMI!B16,'BDT''s'!E:E,VMI!A16),"-")</f>
        <v>4</v>
      </c>
      <c r="I16" s="12" t="str">
        <f t="shared" si="0"/>
        <v>BAIXO</v>
      </c>
      <c r="J16" s="16">
        <f t="shared" si="1"/>
        <v>1.025828448756668</v>
      </c>
      <c r="K16" s="18">
        <f>IFERROR(AVERAGEIFS('BDT''s'!$W:$W,'BDT''s'!$L:$L,VMI!C16,'BDT''s'!$F:$F,VMI!$B16,'BDT''s'!$E:$E,VMI!$A16)*J16,"-")</f>
        <v>88.034266764922421</v>
      </c>
      <c r="L16" s="18">
        <f t="shared" si="2"/>
        <v>90.308055312891057</v>
      </c>
      <c r="M16" s="3" t="s">
        <v>19</v>
      </c>
      <c r="N16" s="18">
        <f>IFERROR(AVERAGEIFS('BDT''s'!W:W,'BDT''s'!L:L,VMI!M16,'BDT''s'!F:F,VMI!B16,'BDT''s'!E:E,VMI!A16),"-")</f>
        <v>123.83928571428572</v>
      </c>
      <c r="O16" s="18" cm="1">
        <f t="array" ref="O16">IFERROR(_xlfn.PERCENTILE.INC(_xlfn._xlws.FILTER('BDT''s'!W:W,('BDT''s'!L:L=VMI!M16)*('BDT''s'!F:F=VMI!B16)*('BDT''s'!E:E=VMI!A16)),0.5),"-")</f>
        <v>121.42857142857143</v>
      </c>
      <c r="P16" s="18" cm="1">
        <f t="array" ref="P16">IFERROR(_xlfn.PERCENTILE.INC(_xlfn._xlws.FILTER('BDT''s'!W:W,('BDT''s'!L:L=VMI!M16)*('BDT''s'!F:F=VMI!B16)*('BDT''s'!E:E=VMI!A16)),0.75),"-")</f>
        <v>160</v>
      </c>
      <c r="Q16" s="18">
        <f>IFERROR(_xlfn.MAXIFS('BDT''s'!W:W,'BDT''s'!L:L,VMI!M16,'BDT''s'!F:F,VMI!B16,'BDT''s'!E:E,VMI!A16),"-")</f>
        <v>190</v>
      </c>
      <c r="R16" s="16">
        <f>IFERROR(COUNTIFS('BDT''s'!L:L,VMI!M16,'BDT''s'!F:F,VMI!B16,'BDT''s'!E:E,VMI!A16),"-")</f>
        <v>4</v>
      </c>
      <c r="S16" s="12" t="str">
        <f t="shared" si="3"/>
        <v>MEDIO</v>
      </c>
      <c r="T16" s="16">
        <f t="shared" si="4"/>
        <v>1.1362653208363374</v>
      </c>
      <c r="U16" s="18">
        <f>IFERROR(AVERAGEIFS('BDT''s'!$W:$W,'BDT''s'!$L:$L,VMI!M16,'BDT''s'!$F:$F,VMI!$B16,'BDT''s'!$E:$E,VMI!$A16)*T16,"-")</f>
        <v>140.71428571428572</v>
      </c>
      <c r="V16" s="18">
        <f t="shared" si="5"/>
        <v>159.88876300339891</v>
      </c>
      <c r="W16" s="3" t="s">
        <v>20</v>
      </c>
      <c r="X16" s="18">
        <f>IFERROR(AVERAGEIFS('BDT''s'!W:W,'BDT''s'!L:L,VMI!W16,'BDT''s'!F:F,VMI!B16,'BDT''s'!E:E,VMI!A16),"-")</f>
        <v>60.7638888888889</v>
      </c>
      <c r="Y16" s="18" cm="1">
        <f t="array" ref="Y16">IFERROR(_xlfn.PERCENTILE.INC(_xlfn._xlws.FILTER('BDT''s'!W:W,('BDT''s'!L:L=VMI!W16)*('BDT''s'!F:F=VMI!B16)*('BDT''s'!E:E=VMI!A16)),0.5),"-")</f>
        <v>66.111111111111114</v>
      </c>
      <c r="Z16" s="18" cm="1">
        <f t="array" ref="Z16">IFERROR(_xlfn.PERCENTILE.INC(_xlfn._xlws.FILTER('BDT''s'!W:W,('BDT''s'!L:L=VMI!W16)*('BDT''s'!F:F=VMI!B16)*('BDT''s'!E:E=VMI!A16)),0.75),"-")</f>
        <v>68.75</v>
      </c>
      <c r="AA16" s="18">
        <f>IFERROR(_xlfn.MAXIFS('BDT''s'!W:W,'BDT''s'!L:L,VMI!W16,'BDT''s'!F:F,VMI!B16,'BDT''s'!E:E,VMI!A16),"-")</f>
        <v>75</v>
      </c>
      <c r="AB16" s="16">
        <f>IFERROR(COUNTIFS('BDT''s'!L:L,VMI!W16,'BDT''s'!F:F,VMI!B16,'BDT''s'!E:E,VMI!A16),"-")</f>
        <v>4</v>
      </c>
      <c r="AC16" s="12" t="str">
        <f t="shared" si="6"/>
        <v>BAIXO</v>
      </c>
      <c r="AD16" s="16">
        <f t="shared" si="7"/>
        <v>1.1097142857142854</v>
      </c>
      <c r="AE16" s="18">
        <f>IFERROR(AVERAGEIFS('BDT''s'!$W:$W,'BDT''s'!$L:$L,VMI!W16,'BDT''s'!$F:$F,VMI!$B16,'BDT''s'!$E:$E,VMI!$A16)*AD16,"-")</f>
        <v>67.430555555555557</v>
      </c>
      <c r="AF16" s="18">
        <f t="shared" si="8"/>
        <v>74.82865079365078</v>
      </c>
    </row>
    <row r="17" spans="1:32" x14ac:dyDescent="0.3">
      <c r="A17" s="15">
        <v>0.16</v>
      </c>
      <c r="B17" s="12" t="s">
        <v>31</v>
      </c>
      <c r="C17" s="3" t="s">
        <v>18</v>
      </c>
      <c r="D17" s="18">
        <f>IFERROR(AVERAGEIFS('BDT''s'!W:W,'BDT''s'!L:L,VMI!C17,'BDT''s'!F:F,VMI!B17,'BDT''s'!E:E,VMI!A17),"-")</f>
        <v>124.16185848770097</v>
      </c>
      <c r="E17" s="18" cm="1">
        <f t="array" ref="E17">IFERROR(_xlfn.PERCENTILE.INC(_xlfn._xlws.FILTER('BDT''s'!W:W,('BDT''s'!L:L=VMI!C17)*('BDT''s'!F:F=VMI!B17)*('BDT''s'!E:E=VMI!A17)),0.5),"-")</f>
        <v>114.05405405405449</v>
      </c>
      <c r="F17" s="18" cm="1">
        <f t="array" ref="F17">IFERROR(_xlfn.PERCENTILE.INC(_xlfn._xlws.FILTER('BDT''s'!W:W,('BDT''s'!L:L=VMI!C17)*('BDT''s'!F:F=VMI!B17)*('BDT''s'!E:E=VMI!A17)),0.75),"-")</f>
        <v>132.13483146067372</v>
      </c>
      <c r="G17" s="18">
        <f>IFERROR(_xlfn.MAXIFS('BDT''s'!W:W,'BDT''s'!L:L,VMI!C17,'BDT''s'!F:F,VMI!B17,'BDT''s'!E:E,VMI!A17),"-")</f>
        <v>168.53932584269489</v>
      </c>
      <c r="H17" s="16">
        <f>IFERROR(COUNTIFS('BDT''s'!L:L,VMI!C17,'BDT''s'!F:F,VMI!B17,'BDT''s'!E:E,VMI!A17),"-")</f>
        <v>4</v>
      </c>
      <c r="I17" s="12" t="str">
        <f t="shared" si="0"/>
        <v>MEDIO</v>
      </c>
      <c r="J17" s="16">
        <f t="shared" si="1"/>
        <v>0.99140303034008959</v>
      </c>
      <c r="K17" s="18">
        <f>IFERROR(AVERAGEIFS('BDT''s'!$W:$W,'BDT''s'!$L:$L,VMI!C17,'BDT''s'!$F:$F,VMI!$B17,'BDT''s'!$E:$E,VMI!$A17)*J17,"-")</f>
        <v>123.09444275736411</v>
      </c>
      <c r="L17" s="18">
        <f t="shared" si="2"/>
        <v>122.03620356767547</v>
      </c>
      <c r="M17" s="3" t="s">
        <v>19</v>
      </c>
      <c r="N17" s="18">
        <f>IFERROR(AVERAGEIFS('BDT''s'!W:W,'BDT''s'!L:L,VMI!M17,'BDT''s'!F:F,VMI!B17,'BDT''s'!E:E,VMI!A17),"-")</f>
        <v>90.580808080808083</v>
      </c>
      <c r="O17" s="18" cm="1">
        <f t="array" ref="O17">IFERROR(_xlfn.PERCENTILE.INC(_xlfn._xlws.FILTER('BDT''s'!W:W,('BDT''s'!L:L=VMI!M17)*('BDT''s'!F:F=VMI!B17)*('BDT''s'!E:E=VMI!A17)),0.5),"-")</f>
        <v>83.888888888888886</v>
      </c>
      <c r="P17" s="18" cm="1">
        <f t="array" ref="P17">IFERROR(_xlfn.PERCENTILE.INC(_xlfn._xlws.FILTER('BDT''s'!W:W,('BDT''s'!L:L=VMI!M17)*('BDT''s'!F:F=VMI!B17)*('BDT''s'!E:E=VMI!A17)),0.75),"-")</f>
        <v>97.5</v>
      </c>
      <c r="Q17" s="18">
        <f>IFERROR(_xlfn.MAXIFS('BDT''s'!W:W,'BDT''s'!L:L,VMI!M17,'BDT''s'!F:F,VMI!B17,'BDT''s'!E:E,VMI!A17),"-")</f>
        <v>120</v>
      </c>
      <c r="R17" s="16">
        <f>IFERROR(COUNTIFS('BDT''s'!L:L,VMI!M17,'BDT''s'!F:F,VMI!B17,'BDT''s'!E:E,VMI!A17),"-")</f>
        <v>4</v>
      </c>
      <c r="S17" s="12" t="str">
        <f t="shared" si="3"/>
        <v>MEDIO</v>
      </c>
      <c r="T17" s="16">
        <f t="shared" si="4"/>
        <v>1.0012545302481182</v>
      </c>
      <c r="U17" s="18">
        <f>IFERROR(AVERAGEIFS('BDT''s'!$W:$W,'BDT''s'!$L:$L,VMI!M17,'BDT''s'!$F:$F,VMI!$B17,'BDT''s'!$E:$E,VMI!$A17)*T17,"-")</f>
        <v>90.694444444444443</v>
      </c>
      <c r="V17" s="18">
        <f t="shared" si="5"/>
        <v>90.808223368336272</v>
      </c>
      <c r="W17" s="3" t="s">
        <v>20</v>
      </c>
      <c r="X17" s="18">
        <f>IFERROR(AVERAGEIFS('BDT''s'!W:W,'BDT''s'!L:L,VMI!W17,'BDT''s'!F:F,VMI!B17,'BDT''s'!E:E,VMI!A17),"-")</f>
        <v>77.5</v>
      </c>
      <c r="Y17" s="18" cm="1">
        <f t="array" ref="Y17">IFERROR(_xlfn.PERCENTILE.INC(_xlfn._xlws.FILTER('BDT''s'!W:W,('BDT''s'!L:L=VMI!W17)*('BDT''s'!F:F=VMI!B17)*('BDT''s'!E:E=VMI!A17)),0.5),"-")</f>
        <v>75</v>
      </c>
      <c r="Z17" s="18" cm="1">
        <f t="array" ref="Z17">IFERROR(_xlfn.PERCENTILE.INC(_xlfn._xlws.FILTER('BDT''s'!W:W,('BDT''s'!L:L=VMI!W17)*('BDT''s'!F:F=VMI!B17)*('BDT''s'!E:E=VMI!A17)),0.75),"-")</f>
        <v>84</v>
      </c>
      <c r="AA17" s="18">
        <f>IFERROR(_xlfn.MAXIFS('BDT''s'!W:W,'BDT''s'!L:L,VMI!W17,'BDT''s'!F:F,VMI!B17,'BDT''s'!E:E,VMI!A17),"-")</f>
        <v>96</v>
      </c>
      <c r="AB17" s="16">
        <f>IFERROR(COUNTIFS('BDT''s'!L:L,VMI!W17,'BDT''s'!F:F,VMI!B17,'BDT''s'!E:E,VMI!A17),"-")</f>
        <v>4</v>
      </c>
      <c r="AC17" s="12" t="str">
        <f t="shared" si="6"/>
        <v>MEDIO</v>
      </c>
      <c r="AD17" s="16">
        <f t="shared" si="7"/>
        <v>1.0258064516129033</v>
      </c>
      <c r="AE17" s="18">
        <f>IFERROR(AVERAGEIFS('BDT''s'!$W:$W,'BDT''s'!$L:$L,VMI!W17,'BDT''s'!$F:$F,VMI!$B17,'BDT''s'!$E:$E,VMI!$A17)*AD17,"-")</f>
        <v>79.5</v>
      </c>
      <c r="AF17" s="18">
        <f t="shared" si="8"/>
        <v>81.551612903225816</v>
      </c>
    </row>
    <row r="18" spans="1:32" x14ac:dyDescent="0.3">
      <c r="A18" s="15">
        <v>0.17</v>
      </c>
      <c r="B18" s="12" t="s">
        <v>31</v>
      </c>
      <c r="C18" s="3" t="s">
        <v>18</v>
      </c>
      <c r="D18" s="18" t="str">
        <f>IFERROR(AVERAGEIFS('BDT''s'!W:W,'BDT''s'!L:L,VMI!C18,'BDT''s'!F:F,VMI!B18,'BDT''s'!E:E,VMI!A18),"-")</f>
        <v>-</v>
      </c>
      <c r="E18" s="18" t="str" cm="1">
        <f t="array" ref="E18">IFERROR(_xlfn.PERCENTILE.INC(_xlfn._xlws.FILTER('BDT''s'!W:W,('BDT''s'!L:L=VMI!C18)*('BDT''s'!F:F=VMI!B18)*('BDT''s'!E:E=VMI!A18)),0.5),"-")</f>
        <v>-</v>
      </c>
      <c r="F18" s="18" t="str" cm="1">
        <f t="array" ref="F18">IFERROR(_xlfn.PERCENTILE.INC(_xlfn._xlws.FILTER('BDT''s'!W:W,('BDT''s'!L:L=VMI!C18)*('BDT''s'!F:F=VMI!B18)*('BDT''s'!E:E=VMI!A18)),0.75),"-")</f>
        <v>-</v>
      </c>
      <c r="G18" s="18">
        <f>IFERROR(_xlfn.MAXIFS('BDT''s'!W:W,'BDT''s'!L:L,VMI!C18,'BDT''s'!F:F,VMI!B18,'BDT''s'!E:E,VMI!A18),"-")</f>
        <v>0</v>
      </c>
      <c r="H18" s="16">
        <f>IFERROR(COUNTIFS('BDT''s'!L:L,VMI!C18,'BDT''s'!F:F,VMI!B18,'BDT''s'!E:E,VMI!A18),"-")</f>
        <v>0</v>
      </c>
      <c r="I18" s="12" t="str">
        <f t="shared" si="0"/>
        <v>-</v>
      </c>
      <c r="J18" s="16" t="str">
        <f t="shared" si="1"/>
        <v>-</v>
      </c>
      <c r="K18" s="18" t="str">
        <f>IFERROR(AVERAGEIFS('BDT''s'!$W:$W,'BDT''s'!$L:$L,VMI!C18,'BDT''s'!$F:$F,VMI!$B18,'BDT''s'!$E:$E,VMI!$A18)*J18,"-")</f>
        <v>-</v>
      </c>
      <c r="L18" s="18" t="str">
        <f t="shared" si="2"/>
        <v>-</v>
      </c>
      <c r="M18" s="3" t="s">
        <v>19</v>
      </c>
      <c r="N18" s="18" t="str">
        <f>IFERROR(AVERAGEIFS('BDT''s'!W:W,'BDT''s'!L:L,VMI!M18,'BDT''s'!F:F,VMI!B18,'BDT''s'!E:E,VMI!A18),"-")</f>
        <v>-</v>
      </c>
      <c r="O18" s="18" t="str" cm="1">
        <f t="array" ref="O18">IFERROR(_xlfn.PERCENTILE.INC(_xlfn._xlws.FILTER('BDT''s'!W:W,('BDT''s'!L:L=VMI!M18)*('BDT''s'!F:F=VMI!B18)*('BDT''s'!E:E=VMI!A18)),0.5),"-")</f>
        <v>-</v>
      </c>
      <c r="P18" s="18" t="str" cm="1">
        <f t="array" ref="P18">IFERROR(_xlfn.PERCENTILE.INC(_xlfn._xlws.FILTER('BDT''s'!W:W,('BDT''s'!L:L=VMI!M18)*('BDT''s'!F:F=VMI!B18)*('BDT''s'!E:E=VMI!A18)),0.75),"-")</f>
        <v>-</v>
      </c>
      <c r="Q18" s="18">
        <f>IFERROR(_xlfn.MAXIFS('BDT''s'!W:W,'BDT''s'!L:L,VMI!M18,'BDT''s'!F:F,VMI!B18,'BDT''s'!E:E,VMI!A18),"-")</f>
        <v>0</v>
      </c>
      <c r="R18" s="16">
        <f>IFERROR(COUNTIFS('BDT''s'!L:L,VMI!M18,'BDT''s'!F:F,VMI!B18,'BDT''s'!E:E,VMI!A18),"-")</f>
        <v>0</v>
      </c>
      <c r="S18" s="12" t="str">
        <f t="shared" si="3"/>
        <v>-</v>
      </c>
      <c r="T18" s="16" t="str">
        <f t="shared" si="4"/>
        <v>-</v>
      </c>
      <c r="U18" s="18" t="str">
        <f>IFERROR(AVERAGEIFS('BDT''s'!$W:$W,'BDT''s'!$L:$L,VMI!M18,'BDT''s'!$F:$F,VMI!$B18,'BDT''s'!$E:$E,VMI!$A18)*T18,"-")</f>
        <v>-</v>
      </c>
      <c r="V18" s="18" t="str">
        <f t="shared" si="5"/>
        <v>-</v>
      </c>
      <c r="W18" s="3" t="s">
        <v>20</v>
      </c>
      <c r="X18" s="18" t="str">
        <f>IFERROR(AVERAGEIFS('BDT''s'!W:W,'BDT''s'!L:L,VMI!W18,'BDT''s'!F:F,VMI!B18,'BDT''s'!E:E,VMI!A18),"-")</f>
        <v>-</v>
      </c>
      <c r="Y18" s="18" t="str" cm="1">
        <f t="array" ref="Y18">IFERROR(_xlfn.PERCENTILE.INC(_xlfn._xlws.FILTER('BDT''s'!W:W,('BDT''s'!L:L=VMI!W18)*('BDT''s'!F:F=VMI!B18)*('BDT''s'!E:E=VMI!A18)),0.5),"-")</f>
        <v>-</v>
      </c>
      <c r="Z18" s="18" t="str" cm="1">
        <f t="array" ref="Z18">IFERROR(_xlfn.PERCENTILE.INC(_xlfn._xlws.FILTER('BDT''s'!W:W,('BDT''s'!L:L=VMI!W18)*('BDT''s'!F:F=VMI!B18)*('BDT''s'!E:E=VMI!A18)),0.75),"-")</f>
        <v>-</v>
      </c>
      <c r="AA18" s="18">
        <f>IFERROR(_xlfn.MAXIFS('BDT''s'!W:W,'BDT''s'!L:L,VMI!W18,'BDT''s'!F:F,VMI!B18,'BDT''s'!E:E,VMI!A18),"-")</f>
        <v>0</v>
      </c>
      <c r="AB18" s="16">
        <f>IFERROR(COUNTIFS('BDT''s'!L:L,VMI!W18,'BDT''s'!F:F,VMI!B18,'BDT''s'!E:E,VMI!A18),"-")</f>
        <v>0</v>
      </c>
      <c r="AC18" s="12" t="str">
        <f t="shared" si="6"/>
        <v>-</v>
      </c>
      <c r="AD18" s="16" t="str">
        <f t="shared" si="7"/>
        <v>-</v>
      </c>
      <c r="AE18" s="18" t="str">
        <f>IFERROR(AVERAGEIFS('BDT''s'!$W:$W,'BDT''s'!$L:$L,VMI!W18,'BDT''s'!$F:$F,VMI!$B18,'BDT''s'!$E:$E,VMI!$A18)*AD18,"-")</f>
        <v>-</v>
      </c>
      <c r="AF18" s="18" t="str">
        <f t="shared" si="8"/>
        <v>-</v>
      </c>
    </row>
    <row r="19" spans="1:32" x14ac:dyDescent="0.3">
      <c r="A19" s="15">
        <v>0.18</v>
      </c>
      <c r="B19" s="12" t="s">
        <v>31</v>
      </c>
      <c r="C19" s="3" t="s">
        <v>18</v>
      </c>
      <c r="D19" s="18" t="str">
        <f>IFERROR(AVERAGEIFS('BDT''s'!W:W,'BDT''s'!L:L,VMI!C19,'BDT''s'!F:F,VMI!B19,'BDT''s'!E:E,VMI!A19),"-")</f>
        <v>-</v>
      </c>
      <c r="E19" s="18" t="str" cm="1">
        <f t="array" ref="E19">IFERROR(_xlfn.PERCENTILE.INC(_xlfn._xlws.FILTER('BDT''s'!W:W,('BDT''s'!L:L=VMI!C19)*('BDT''s'!F:F=VMI!B19)*('BDT''s'!E:E=VMI!A19)),0.5),"-")</f>
        <v>-</v>
      </c>
      <c r="F19" s="18" t="str" cm="1">
        <f t="array" ref="F19">IFERROR(_xlfn.PERCENTILE.INC(_xlfn._xlws.FILTER('BDT''s'!W:W,('BDT''s'!L:L=VMI!C19)*('BDT''s'!F:F=VMI!B19)*('BDT''s'!E:E=VMI!A19)),0.75),"-")</f>
        <v>-</v>
      </c>
      <c r="G19" s="18">
        <f>IFERROR(_xlfn.MAXIFS('BDT''s'!W:W,'BDT''s'!L:L,VMI!C19,'BDT''s'!F:F,VMI!B19,'BDT''s'!E:E,VMI!A19),"-")</f>
        <v>0</v>
      </c>
      <c r="H19" s="16">
        <f>IFERROR(COUNTIFS('BDT''s'!L:L,VMI!C19,'BDT''s'!F:F,VMI!B19,'BDT''s'!E:E,VMI!A19),"-")</f>
        <v>0</v>
      </c>
      <c r="I19" s="12" t="str">
        <f t="shared" si="0"/>
        <v>-</v>
      </c>
      <c r="J19" s="16" t="str">
        <f t="shared" si="1"/>
        <v>-</v>
      </c>
      <c r="K19" s="18" t="str">
        <f>IFERROR(AVERAGEIFS('BDT''s'!$W:$W,'BDT''s'!$L:$L,VMI!C19,'BDT''s'!$F:$F,VMI!$B19,'BDT''s'!$E:$E,VMI!$A19)*J19,"-")</f>
        <v>-</v>
      </c>
      <c r="L19" s="18" t="str">
        <f t="shared" si="2"/>
        <v>-</v>
      </c>
      <c r="M19" s="3" t="s">
        <v>19</v>
      </c>
      <c r="N19" s="18" t="str">
        <f>IFERROR(AVERAGEIFS('BDT''s'!W:W,'BDT''s'!L:L,VMI!M19,'BDT''s'!F:F,VMI!B19,'BDT''s'!E:E,VMI!A19),"-")</f>
        <v>-</v>
      </c>
      <c r="O19" s="18" t="str" cm="1">
        <f t="array" ref="O19">IFERROR(_xlfn.PERCENTILE.INC(_xlfn._xlws.FILTER('BDT''s'!W:W,('BDT''s'!L:L=VMI!M19)*('BDT''s'!F:F=VMI!B19)*('BDT''s'!E:E=VMI!A19)),0.5),"-")</f>
        <v>-</v>
      </c>
      <c r="P19" s="18" t="str" cm="1">
        <f t="array" ref="P19">IFERROR(_xlfn.PERCENTILE.INC(_xlfn._xlws.FILTER('BDT''s'!W:W,('BDT''s'!L:L=VMI!M19)*('BDT''s'!F:F=VMI!B19)*('BDT''s'!E:E=VMI!A19)),0.75),"-")</f>
        <v>-</v>
      </c>
      <c r="Q19" s="18">
        <f>IFERROR(_xlfn.MAXIFS('BDT''s'!W:W,'BDT''s'!L:L,VMI!M19,'BDT''s'!F:F,VMI!B19,'BDT''s'!E:E,VMI!A19),"-")</f>
        <v>0</v>
      </c>
      <c r="R19" s="16">
        <f>IFERROR(COUNTIFS('BDT''s'!L:L,VMI!M19,'BDT''s'!F:F,VMI!B19,'BDT''s'!E:E,VMI!A19),"-")</f>
        <v>0</v>
      </c>
      <c r="S19" s="12" t="str">
        <f t="shared" si="3"/>
        <v>-</v>
      </c>
      <c r="T19" s="16" t="str">
        <f t="shared" si="4"/>
        <v>-</v>
      </c>
      <c r="U19" s="18" t="str">
        <f>IFERROR(AVERAGEIFS('BDT''s'!$W:$W,'BDT''s'!$L:$L,VMI!M19,'BDT''s'!$F:$F,VMI!$B19,'BDT''s'!$E:$E,VMI!$A19)*T19,"-")</f>
        <v>-</v>
      </c>
      <c r="V19" s="18" t="str">
        <f t="shared" si="5"/>
        <v>-</v>
      </c>
      <c r="W19" s="3" t="s">
        <v>20</v>
      </c>
      <c r="X19" s="18" t="str">
        <f>IFERROR(AVERAGEIFS('BDT''s'!W:W,'BDT''s'!L:L,VMI!W19,'BDT''s'!F:F,VMI!B19,'BDT''s'!E:E,VMI!A19),"-")</f>
        <v>-</v>
      </c>
      <c r="Y19" s="18" t="str" cm="1">
        <f t="array" ref="Y19">IFERROR(_xlfn.PERCENTILE.INC(_xlfn._xlws.FILTER('BDT''s'!W:W,('BDT''s'!L:L=VMI!W19)*('BDT''s'!F:F=VMI!B19)*('BDT''s'!E:E=VMI!A19)),0.5),"-")</f>
        <v>-</v>
      </c>
      <c r="Z19" s="18" t="str" cm="1">
        <f t="array" ref="Z19">IFERROR(_xlfn.PERCENTILE.INC(_xlfn._xlws.FILTER('BDT''s'!W:W,('BDT''s'!L:L=VMI!W19)*('BDT''s'!F:F=VMI!B19)*('BDT''s'!E:E=VMI!A19)),0.75),"-")</f>
        <v>-</v>
      </c>
      <c r="AA19" s="18">
        <f>IFERROR(_xlfn.MAXIFS('BDT''s'!W:W,'BDT''s'!L:L,VMI!W19,'BDT''s'!F:F,VMI!B19,'BDT''s'!E:E,VMI!A19),"-")</f>
        <v>0</v>
      </c>
      <c r="AB19" s="16">
        <f>IFERROR(COUNTIFS('BDT''s'!L:L,VMI!W19,'BDT''s'!F:F,VMI!B19,'BDT''s'!E:E,VMI!A19),"-")</f>
        <v>0</v>
      </c>
      <c r="AC19" s="12" t="str">
        <f t="shared" si="6"/>
        <v>-</v>
      </c>
      <c r="AD19" s="16" t="str">
        <f t="shared" si="7"/>
        <v>-</v>
      </c>
      <c r="AE19" s="18" t="str">
        <f>IFERROR(AVERAGEIFS('BDT''s'!$W:$W,'BDT''s'!$L:$L,VMI!W19,'BDT''s'!$F:$F,VMI!$B19,'BDT''s'!$E:$E,VMI!$A19)*AD19,"-")</f>
        <v>-</v>
      </c>
      <c r="AF19" s="18" t="str">
        <f t="shared" si="8"/>
        <v>-</v>
      </c>
    </row>
    <row r="20" spans="1:32" x14ac:dyDescent="0.3">
      <c r="A20" s="15">
        <v>0.19</v>
      </c>
      <c r="B20" s="12" t="s">
        <v>31</v>
      </c>
      <c r="C20" s="3" t="s">
        <v>18</v>
      </c>
      <c r="D20" s="18" t="str">
        <f>IFERROR(AVERAGEIFS('BDT''s'!W:W,'BDT''s'!L:L,VMI!C20,'BDT''s'!F:F,VMI!B20,'BDT''s'!E:E,VMI!A20),"-")</f>
        <v>-</v>
      </c>
      <c r="E20" s="18" t="str" cm="1">
        <f t="array" ref="E20">IFERROR(_xlfn.PERCENTILE.INC(_xlfn._xlws.FILTER('BDT''s'!W:W,('BDT''s'!L:L=VMI!C20)*('BDT''s'!F:F=VMI!B20)*('BDT''s'!E:E=VMI!A20)),0.5),"-")</f>
        <v>-</v>
      </c>
      <c r="F20" s="18" t="str" cm="1">
        <f t="array" ref="F20">IFERROR(_xlfn.PERCENTILE.INC(_xlfn._xlws.FILTER('BDT''s'!W:W,('BDT''s'!L:L=VMI!C20)*('BDT''s'!F:F=VMI!B20)*('BDT''s'!E:E=VMI!A20)),0.75),"-")</f>
        <v>-</v>
      </c>
      <c r="G20" s="18">
        <f>IFERROR(_xlfn.MAXIFS('BDT''s'!W:W,'BDT''s'!L:L,VMI!C20,'BDT''s'!F:F,VMI!B20,'BDT''s'!E:E,VMI!A20),"-")</f>
        <v>0</v>
      </c>
      <c r="H20" s="16">
        <f>IFERROR(COUNTIFS('BDT''s'!L:L,VMI!C20,'BDT''s'!F:F,VMI!B20,'BDT''s'!E:E,VMI!A20),"-")</f>
        <v>0</v>
      </c>
      <c r="I20" s="12" t="str">
        <f t="shared" si="0"/>
        <v>-</v>
      </c>
      <c r="J20" s="16" t="str">
        <f t="shared" si="1"/>
        <v>-</v>
      </c>
      <c r="K20" s="18" t="str">
        <f>IFERROR(AVERAGEIFS('BDT''s'!$W:$W,'BDT''s'!$L:$L,VMI!C20,'BDT''s'!$F:$F,VMI!$B20,'BDT''s'!$E:$E,VMI!$A20)*J20,"-")</f>
        <v>-</v>
      </c>
      <c r="L20" s="18" t="str">
        <f t="shared" si="2"/>
        <v>-</v>
      </c>
      <c r="M20" s="3" t="s">
        <v>19</v>
      </c>
      <c r="N20" s="18" t="str">
        <f>IFERROR(AVERAGEIFS('BDT''s'!W:W,'BDT''s'!L:L,VMI!M20,'BDT''s'!F:F,VMI!B20,'BDT''s'!E:E,VMI!A20),"-")</f>
        <v>-</v>
      </c>
      <c r="O20" s="18" t="str" cm="1">
        <f t="array" ref="O20">IFERROR(_xlfn.PERCENTILE.INC(_xlfn._xlws.FILTER('BDT''s'!W:W,('BDT''s'!L:L=VMI!M20)*('BDT''s'!F:F=VMI!B20)*('BDT''s'!E:E=VMI!A20)),0.5),"-")</f>
        <v>-</v>
      </c>
      <c r="P20" s="18" t="str" cm="1">
        <f t="array" ref="P20">IFERROR(_xlfn.PERCENTILE.INC(_xlfn._xlws.FILTER('BDT''s'!W:W,('BDT''s'!L:L=VMI!M20)*('BDT''s'!F:F=VMI!B20)*('BDT''s'!E:E=VMI!A20)),0.75),"-")</f>
        <v>-</v>
      </c>
      <c r="Q20" s="18">
        <f>IFERROR(_xlfn.MAXIFS('BDT''s'!W:W,'BDT''s'!L:L,VMI!M20,'BDT''s'!F:F,VMI!B20,'BDT''s'!E:E,VMI!A20),"-")</f>
        <v>0</v>
      </c>
      <c r="R20" s="16">
        <f>IFERROR(COUNTIFS('BDT''s'!L:L,VMI!M20,'BDT''s'!F:F,VMI!B20,'BDT''s'!E:E,VMI!A20),"-")</f>
        <v>0</v>
      </c>
      <c r="S20" s="12" t="str">
        <f t="shared" si="3"/>
        <v>-</v>
      </c>
      <c r="T20" s="16" t="str">
        <f t="shared" si="4"/>
        <v>-</v>
      </c>
      <c r="U20" s="18" t="str">
        <f>IFERROR(AVERAGEIFS('BDT''s'!$W:$W,'BDT''s'!$L:$L,VMI!M20,'BDT''s'!$F:$F,VMI!$B20,'BDT''s'!$E:$E,VMI!$A20)*T20,"-")</f>
        <v>-</v>
      </c>
      <c r="V20" s="18" t="str">
        <f t="shared" si="5"/>
        <v>-</v>
      </c>
      <c r="W20" s="3" t="s">
        <v>20</v>
      </c>
      <c r="X20" s="18" t="str">
        <f>IFERROR(AVERAGEIFS('BDT''s'!W:W,'BDT''s'!L:L,VMI!W20,'BDT''s'!F:F,VMI!B20,'BDT''s'!E:E,VMI!A20),"-")</f>
        <v>-</v>
      </c>
      <c r="Y20" s="18" t="str" cm="1">
        <f t="array" ref="Y20">IFERROR(_xlfn.PERCENTILE.INC(_xlfn._xlws.FILTER('BDT''s'!W:W,('BDT''s'!L:L=VMI!W20)*('BDT''s'!F:F=VMI!B20)*('BDT''s'!E:E=VMI!A20)),0.5),"-")</f>
        <v>-</v>
      </c>
      <c r="Z20" s="18" t="str" cm="1">
        <f t="array" ref="Z20">IFERROR(_xlfn.PERCENTILE.INC(_xlfn._xlws.FILTER('BDT''s'!W:W,('BDT''s'!L:L=VMI!W20)*('BDT''s'!F:F=VMI!B20)*('BDT''s'!E:E=VMI!A20)),0.75),"-")</f>
        <v>-</v>
      </c>
      <c r="AA20" s="18">
        <f>IFERROR(_xlfn.MAXIFS('BDT''s'!W:W,'BDT''s'!L:L,VMI!W20,'BDT''s'!F:F,VMI!B20,'BDT''s'!E:E,VMI!A20),"-")</f>
        <v>0</v>
      </c>
      <c r="AB20" s="16">
        <f>IFERROR(COUNTIFS('BDT''s'!L:L,VMI!W20,'BDT''s'!F:F,VMI!B20,'BDT''s'!E:E,VMI!A20),"-")</f>
        <v>0</v>
      </c>
      <c r="AC20" s="12" t="str">
        <f t="shared" si="6"/>
        <v>-</v>
      </c>
      <c r="AD20" s="16" t="str">
        <f t="shared" si="7"/>
        <v>-</v>
      </c>
      <c r="AE20" s="18" t="str">
        <f>IFERROR(AVERAGEIFS('BDT''s'!$W:$W,'BDT''s'!$L:$L,VMI!W20,'BDT''s'!$F:$F,VMI!$B20,'BDT''s'!$E:$E,VMI!$A20)*AD20,"-")</f>
        <v>-</v>
      </c>
      <c r="AF20" s="18" t="str">
        <f t="shared" si="8"/>
        <v>-</v>
      </c>
    </row>
    <row r="21" spans="1:32" x14ac:dyDescent="0.3">
      <c r="A21" s="15">
        <v>0.2</v>
      </c>
      <c r="B21" s="12" t="s">
        <v>31</v>
      </c>
      <c r="C21" s="3" t="s">
        <v>18</v>
      </c>
      <c r="D21" s="18" t="str">
        <f>IFERROR(AVERAGEIFS('BDT''s'!W:W,'BDT''s'!L:L,VMI!C21,'BDT''s'!F:F,VMI!B21,'BDT''s'!E:E,VMI!A21),"-")</f>
        <v>-</v>
      </c>
      <c r="E21" s="18" t="str" cm="1">
        <f t="array" ref="E21">IFERROR(_xlfn.PERCENTILE.INC(_xlfn._xlws.FILTER('BDT''s'!W:W,('BDT''s'!L:L=VMI!C21)*('BDT''s'!F:F=VMI!B21)*('BDT''s'!E:E=VMI!A21)),0.5),"-")</f>
        <v>-</v>
      </c>
      <c r="F21" s="18" t="str" cm="1">
        <f t="array" ref="F21">IFERROR(_xlfn.PERCENTILE.INC(_xlfn._xlws.FILTER('BDT''s'!W:W,('BDT''s'!L:L=VMI!C21)*('BDT''s'!F:F=VMI!B21)*('BDT''s'!E:E=VMI!A21)),0.75),"-")</f>
        <v>-</v>
      </c>
      <c r="G21" s="18">
        <f>IFERROR(_xlfn.MAXIFS('BDT''s'!W:W,'BDT''s'!L:L,VMI!C21,'BDT''s'!F:F,VMI!B21,'BDT''s'!E:E,VMI!A21),"-")</f>
        <v>0</v>
      </c>
      <c r="H21" s="16">
        <f>IFERROR(COUNTIFS('BDT''s'!L:L,VMI!C21,'BDT''s'!F:F,VMI!B21,'BDT''s'!E:E,VMI!A21),"-")</f>
        <v>0</v>
      </c>
      <c r="I21" s="12" t="str">
        <f t="shared" si="0"/>
        <v>-</v>
      </c>
      <c r="J21" s="16" t="str">
        <f t="shared" si="1"/>
        <v>-</v>
      </c>
      <c r="K21" s="18" t="str">
        <f>IFERROR(AVERAGEIFS('BDT''s'!$W:$W,'BDT''s'!$L:$L,VMI!C21,'BDT''s'!$F:$F,VMI!$B21,'BDT''s'!$E:$E,VMI!$A21)*J21,"-")</f>
        <v>-</v>
      </c>
      <c r="L21" s="18" t="str">
        <f t="shared" si="2"/>
        <v>-</v>
      </c>
      <c r="M21" s="3" t="s">
        <v>19</v>
      </c>
      <c r="N21" s="18" t="str">
        <f>IFERROR(AVERAGEIFS('BDT''s'!W:W,'BDT''s'!L:L,VMI!M21,'BDT''s'!F:F,VMI!B21,'BDT''s'!E:E,VMI!A21),"-")</f>
        <v>-</v>
      </c>
      <c r="O21" s="18" t="str" cm="1">
        <f t="array" ref="O21">IFERROR(_xlfn.PERCENTILE.INC(_xlfn._xlws.FILTER('BDT''s'!W:W,('BDT''s'!L:L=VMI!M21)*('BDT''s'!F:F=VMI!B21)*('BDT''s'!E:E=VMI!A21)),0.5),"-")</f>
        <v>-</v>
      </c>
      <c r="P21" s="18" t="str" cm="1">
        <f t="array" ref="P21">IFERROR(_xlfn.PERCENTILE.INC(_xlfn._xlws.FILTER('BDT''s'!W:W,('BDT''s'!L:L=VMI!M21)*('BDT''s'!F:F=VMI!B21)*('BDT''s'!E:E=VMI!A21)),0.75),"-")</f>
        <v>-</v>
      </c>
      <c r="Q21" s="18">
        <f>IFERROR(_xlfn.MAXIFS('BDT''s'!W:W,'BDT''s'!L:L,VMI!M21,'BDT''s'!F:F,VMI!B21,'BDT''s'!E:E,VMI!A21),"-")</f>
        <v>0</v>
      </c>
      <c r="R21" s="16">
        <f>IFERROR(COUNTIFS('BDT''s'!L:L,VMI!M21,'BDT''s'!F:F,VMI!B21,'BDT''s'!E:E,VMI!A21),"-")</f>
        <v>0</v>
      </c>
      <c r="S21" s="12" t="str">
        <f t="shared" si="3"/>
        <v>-</v>
      </c>
      <c r="T21" s="16" t="str">
        <f t="shared" si="4"/>
        <v>-</v>
      </c>
      <c r="U21" s="18" t="str">
        <f>IFERROR(AVERAGEIFS('BDT''s'!$W:$W,'BDT''s'!$L:$L,VMI!M21,'BDT''s'!$F:$F,VMI!$B21,'BDT''s'!$E:$E,VMI!$A21)*T21,"-")</f>
        <v>-</v>
      </c>
      <c r="V21" s="18" t="str">
        <f t="shared" si="5"/>
        <v>-</v>
      </c>
      <c r="W21" s="3" t="s">
        <v>20</v>
      </c>
      <c r="X21" s="18" t="str">
        <f>IFERROR(AVERAGEIFS('BDT''s'!W:W,'BDT''s'!L:L,VMI!W21,'BDT''s'!F:F,VMI!B21,'BDT''s'!E:E,VMI!A21),"-")</f>
        <v>-</v>
      </c>
      <c r="Y21" s="18" t="str" cm="1">
        <f t="array" ref="Y21">IFERROR(_xlfn.PERCENTILE.INC(_xlfn._xlws.FILTER('BDT''s'!W:W,('BDT''s'!L:L=VMI!W21)*('BDT''s'!F:F=VMI!B21)*('BDT''s'!E:E=VMI!A21)),0.5),"-")</f>
        <v>-</v>
      </c>
      <c r="Z21" s="18" t="str" cm="1">
        <f t="array" ref="Z21">IFERROR(_xlfn.PERCENTILE.INC(_xlfn._xlws.FILTER('BDT''s'!W:W,('BDT''s'!L:L=VMI!W21)*('BDT''s'!F:F=VMI!B21)*('BDT''s'!E:E=VMI!A21)),0.75),"-")</f>
        <v>-</v>
      </c>
      <c r="AA21" s="18">
        <f>IFERROR(_xlfn.MAXIFS('BDT''s'!W:W,'BDT''s'!L:L,VMI!W21,'BDT''s'!F:F,VMI!B21,'BDT''s'!E:E,VMI!A21),"-")</f>
        <v>0</v>
      </c>
      <c r="AB21" s="16">
        <f>IFERROR(COUNTIFS('BDT''s'!L:L,VMI!W21,'BDT''s'!F:F,VMI!B21,'BDT''s'!E:E,VMI!A21),"-")</f>
        <v>0</v>
      </c>
      <c r="AC21" s="12" t="str">
        <f t="shared" si="6"/>
        <v>-</v>
      </c>
      <c r="AD21" s="16" t="str">
        <f t="shared" si="7"/>
        <v>-</v>
      </c>
      <c r="AE21" s="18" t="str">
        <f>IFERROR(AVERAGEIFS('BDT''s'!$W:$W,'BDT''s'!$L:$L,VMI!W21,'BDT''s'!$F:$F,VMI!$B21,'BDT''s'!$E:$E,VMI!$A21)*AD21,"-")</f>
        <v>-</v>
      </c>
      <c r="AF21" s="18" t="str">
        <f t="shared" si="8"/>
        <v>-</v>
      </c>
    </row>
    <row r="22" spans="1:32" x14ac:dyDescent="0.3">
      <c r="A22" s="15">
        <v>0.21</v>
      </c>
      <c r="B22" s="12" t="s">
        <v>32</v>
      </c>
      <c r="C22" s="3" t="s">
        <v>18</v>
      </c>
      <c r="D22" s="18" t="str">
        <f>IFERROR(AVERAGEIFS('BDT''s'!W:W,'BDT''s'!L:L,VMI!C22,'BDT''s'!F:F,VMI!B22,'BDT''s'!E:E,VMI!A22),"-")</f>
        <v>-</v>
      </c>
      <c r="E22" s="18" t="str" cm="1">
        <f t="array" ref="E22">IFERROR(_xlfn.PERCENTILE.INC(_xlfn._xlws.FILTER('BDT''s'!W:W,('BDT''s'!L:L=VMI!C22)*('BDT''s'!F:F=VMI!B22)*('BDT''s'!E:E=VMI!A22)),0.5),"-")</f>
        <v>-</v>
      </c>
      <c r="F22" s="18" t="str" cm="1">
        <f t="array" ref="F22">IFERROR(_xlfn.PERCENTILE.INC(_xlfn._xlws.FILTER('BDT''s'!W:W,('BDT''s'!L:L=VMI!C22)*('BDT''s'!F:F=VMI!B22)*('BDT''s'!E:E=VMI!A22)),0.75),"-")</f>
        <v>-</v>
      </c>
      <c r="G22" s="18">
        <f>IFERROR(_xlfn.MAXIFS('BDT''s'!W:W,'BDT''s'!L:L,VMI!C22,'BDT''s'!F:F,VMI!B22,'BDT''s'!E:E,VMI!A22),"-")</f>
        <v>0</v>
      </c>
      <c r="H22" s="16">
        <f>IFERROR(COUNTIFS('BDT''s'!L:L,VMI!C22,'BDT''s'!F:F,VMI!B22,'BDT''s'!E:E,VMI!A22),"-")</f>
        <v>0</v>
      </c>
      <c r="I22" s="12" t="str">
        <f t="shared" si="0"/>
        <v>-</v>
      </c>
      <c r="J22" s="16" t="str">
        <f t="shared" si="1"/>
        <v>-</v>
      </c>
      <c r="K22" s="18" t="str">
        <f>IFERROR(AVERAGEIFS('BDT''s'!$W:$W,'BDT''s'!$L:$L,VMI!C22,'BDT''s'!$F:$F,VMI!$B22,'BDT''s'!$E:$E,VMI!$A22)*J22,"-")</f>
        <v>-</v>
      </c>
      <c r="L22" s="18" t="str">
        <f t="shared" si="2"/>
        <v>-</v>
      </c>
      <c r="M22" s="3" t="s">
        <v>19</v>
      </c>
      <c r="N22" s="18" t="str">
        <f>IFERROR(AVERAGEIFS('BDT''s'!W:W,'BDT''s'!L:L,VMI!M22,'BDT''s'!F:F,VMI!B22,'BDT''s'!E:E,VMI!A22),"-")</f>
        <v>-</v>
      </c>
      <c r="O22" s="18" t="str" cm="1">
        <f t="array" ref="O22">IFERROR(_xlfn.PERCENTILE.INC(_xlfn._xlws.FILTER('BDT''s'!W:W,('BDT''s'!L:L=VMI!M22)*('BDT''s'!F:F=VMI!B22)*('BDT''s'!E:E=VMI!A22)),0.5),"-")</f>
        <v>-</v>
      </c>
      <c r="P22" s="18" t="str" cm="1">
        <f t="array" ref="P22">IFERROR(_xlfn.PERCENTILE.INC(_xlfn._xlws.FILTER('BDT''s'!W:W,('BDT''s'!L:L=VMI!M22)*('BDT''s'!F:F=VMI!B22)*('BDT''s'!E:E=VMI!A22)),0.75),"-")</f>
        <v>-</v>
      </c>
      <c r="Q22" s="18">
        <f>IFERROR(_xlfn.MAXIFS('BDT''s'!W:W,'BDT''s'!L:L,VMI!M22,'BDT''s'!F:F,VMI!B22,'BDT''s'!E:E,VMI!A22),"-")</f>
        <v>0</v>
      </c>
      <c r="R22" s="16">
        <f>IFERROR(COUNTIFS('BDT''s'!L:L,VMI!M22,'BDT''s'!F:F,VMI!B22,'BDT''s'!E:E,VMI!A22),"-")</f>
        <v>0</v>
      </c>
      <c r="S22" s="12" t="str">
        <f t="shared" si="3"/>
        <v>-</v>
      </c>
      <c r="T22" s="16" t="str">
        <f t="shared" si="4"/>
        <v>-</v>
      </c>
      <c r="U22" s="18" t="str">
        <f>IFERROR(AVERAGEIFS('BDT''s'!$W:$W,'BDT''s'!$L:$L,VMI!M22,'BDT''s'!$F:$F,VMI!$B22,'BDT''s'!$E:$E,VMI!$A22)*T22,"-")</f>
        <v>-</v>
      </c>
      <c r="V22" s="18" t="str">
        <f t="shared" si="5"/>
        <v>-</v>
      </c>
      <c r="W22" s="3" t="s">
        <v>20</v>
      </c>
      <c r="X22" s="18" t="str">
        <f>IFERROR(AVERAGEIFS('BDT''s'!W:W,'BDT''s'!L:L,VMI!W22,'BDT''s'!F:F,VMI!B22,'BDT''s'!E:E,VMI!A22),"-")</f>
        <v>-</v>
      </c>
      <c r="Y22" s="18" t="str" cm="1">
        <f t="array" ref="Y22">IFERROR(_xlfn.PERCENTILE.INC(_xlfn._xlws.FILTER('BDT''s'!W:W,('BDT''s'!L:L=VMI!W22)*('BDT''s'!F:F=VMI!B22)*('BDT''s'!E:E=VMI!A22)),0.5),"-")</f>
        <v>-</v>
      </c>
      <c r="Z22" s="18" t="str" cm="1">
        <f t="array" ref="Z22">IFERROR(_xlfn.PERCENTILE.INC(_xlfn._xlws.FILTER('BDT''s'!W:W,('BDT''s'!L:L=VMI!W22)*('BDT''s'!F:F=VMI!B22)*('BDT''s'!E:E=VMI!A22)),0.75),"-")</f>
        <v>-</v>
      </c>
      <c r="AA22" s="18">
        <f>IFERROR(_xlfn.MAXIFS('BDT''s'!W:W,'BDT''s'!L:L,VMI!W22,'BDT''s'!F:F,VMI!B22,'BDT''s'!E:E,VMI!A22),"-")</f>
        <v>0</v>
      </c>
      <c r="AB22" s="16">
        <f>IFERROR(COUNTIFS('BDT''s'!L:L,VMI!W22,'BDT''s'!F:F,VMI!B22,'BDT''s'!E:E,VMI!A22),"-")</f>
        <v>0</v>
      </c>
      <c r="AC22" s="12" t="str">
        <f t="shared" si="6"/>
        <v>-</v>
      </c>
      <c r="AD22" s="16" t="str">
        <f t="shared" si="7"/>
        <v>-</v>
      </c>
      <c r="AE22" s="18" t="str">
        <f>IFERROR(AVERAGEIFS('BDT''s'!$W:$W,'BDT''s'!$L:$L,VMI!W22,'BDT''s'!$F:$F,VMI!$B22,'BDT''s'!$E:$E,VMI!$A22)*AD22,"-")</f>
        <v>-</v>
      </c>
      <c r="AF22" s="18" t="str">
        <f t="shared" si="8"/>
        <v>-</v>
      </c>
    </row>
    <row r="23" spans="1:32" x14ac:dyDescent="0.3">
      <c r="A23" s="15">
        <v>0.22</v>
      </c>
      <c r="B23" s="12" t="s">
        <v>32</v>
      </c>
      <c r="C23" s="3" t="s">
        <v>18</v>
      </c>
      <c r="D23" s="18" t="str">
        <f>IFERROR(AVERAGEIFS('BDT''s'!W:W,'BDT''s'!L:L,VMI!C23,'BDT''s'!F:F,VMI!B23,'BDT''s'!E:E,VMI!A23),"-")</f>
        <v>-</v>
      </c>
      <c r="E23" s="18" t="str" cm="1">
        <f t="array" ref="E23">IFERROR(_xlfn.PERCENTILE.INC(_xlfn._xlws.FILTER('BDT''s'!W:W,('BDT''s'!L:L=VMI!C23)*('BDT''s'!F:F=VMI!B23)*('BDT''s'!E:E=VMI!A23)),0.5),"-")</f>
        <v>-</v>
      </c>
      <c r="F23" s="18" t="str" cm="1">
        <f t="array" ref="F23">IFERROR(_xlfn.PERCENTILE.INC(_xlfn._xlws.FILTER('BDT''s'!W:W,('BDT''s'!L:L=VMI!C23)*('BDT''s'!F:F=VMI!B23)*('BDT''s'!E:E=VMI!A23)),0.75),"-")</f>
        <v>-</v>
      </c>
      <c r="G23" s="18">
        <f>IFERROR(_xlfn.MAXIFS('BDT''s'!W:W,'BDT''s'!L:L,VMI!C23,'BDT''s'!F:F,VMI!B23,'BDT''s'!E:E,VMI!A23),"-")</f>
        <v>0</v>
      </c>
      <c r="H23" s="16">
        <f>IFERROR(COUNTIFS('BDT''s'!L:L,VMI!C23,'BDT''s'!F:F,VMI!B23,'BDT''s'!E:E,VMI!A23),"-")</f>
        <v>0</v>
      </c>
      <c r="I23" s="12" t="str">
        <f t="shared" si="0"/>
        <v>-</v>
      </c>
      <c r="J23" s="16" t="str">
        <f t="shared" si="1"/>
        <v>-</v>
      </c>
      <c r="K23" s="18" t="str">
        <f>IFERROR(AVERAGEIFS('BDT''s'!$W:$W,'BDT''s'!$L:$L,VMI!C23,'BDT''s'!$F:$F,VMI!$B23,'BDT''s'!$E:$E,VMI!$A23)*J23,"-")</f>
        <v>-</v>
      </c>
      <c r="L23" s="18" t="str">
        <f t="shared" si="2"/>
        <v>-</v>
      </c>
      <c r="M23" s="3" t="s">
        <v>19</v>
      </c>
      <c r="N23" s="18" t="str">
        <f>IFERROR(AVERAGEIFS('BDT''s'!W:W,'BDT''s'!L:L,VMI!M23,'BDT''s'!F:F,VMI!B23,'BDT''s'!E:E,VMI!A23),"-")</f>
        <v>-</v>
      </c>
      <c r="O23" s="18" t="str" cm="1">
        <f t="array" ref="O23">IFERROR(_xlfn.PERCENTILE.INC(_xlfn._xlws.FILTER('BDT''s'!W:W,('BDT''s'!L:L=VMI!M23)*('BDT''s'!F:F=VMI!B23)*('BDT''s'!E:E=VMI!A23)),0.5),"-")</f>
        <v>-</v>
      </c>
      <c r="P23" s="18" t="str" cm="1">
        <f t="array" ref="P23">IFERROR(_xlfn.PERCENTILE.INC(_xlfn._xlws.FILTER('BDT''s'!W:W,('BDT''s'!L:L=VMI!M23)*('BDT''s'!F:F=VMI!B23)*('BDT''s'!E:E=VMI!A23)),0.75),"-")</f>
        <v>-</v>
      </c>
      <c r="Q23" s="18">
        <f>IFERROR(_xlfn.MAXIFS('BDT''s'!W:W,'BDT''s'!L:L,VMI!M23,'BDT''s'!F:F,VMI!B23,'BDT''s'!E:E,VMI!A23),"-")</f>
        <v>0</v>
      </c>
      <c r="R23" s="16">
        <f>IFERROR(COUNTIFS('BDT''s'!L:L,VMI!M23,'BDT''s'!F:F,VMI!B23,'BDT''s'!E:E,VMI!A23),"-")</f>
        <v>0</v>
      </c>
      <c r="S23" s="12" t="str">
        <f t="shared" si="3"/>
        <v>-</v>
      </c>
      <c r="T23" s="16" t="str">
        <f t="shared" si="4"/>
        <v>-</v>
      </c>
      <c r="U23" s="18" t="str">
        <f>IFERROR(AVERAGEIFS('BDT''s'!$W:$W,'BDT''s'!$L:$L,VMI!M23,'BDT''s'!$F:$F,VMI!$B23,'BDT''s'!$E:$E,VMI!$A23)*T23,"-")</f>
        <v>-</v>
      </c>
      <c r="V23" s="18" t="str">
        <f t="shared" si="5"/>
        <v>-</v>
      </c>
      <c r="W23" s="3" t="s">
        <v>20</v>
      </c>
      <c r="X23" s="18" t="str">
        <f>IFERROR(AVERAGEIFS('BDT''s'!W:W,'BDT''s'!L:L,VMI!W23,'BDT''s'!F:F,VMI!B23,'BDT''s'!E:E,VMI!A23),"-")</f>
        <v>-</v>
      </c>
      <c r="Y23" s="18" t="str" cm="1">
        <f t="array" ref="Y23">IFERROR(_xlfn.PERCENTILE.INC(_xlfn._xlws.FILTER('BDT''s'!W:W,('BDT''s'!L:L=VMI!W23)*('BDT''s'!F:F=VMI!B23)*('BDT''s'!E:E=VMI!A23)),0.5),"-")</f>
        <v>-</v>
      </c>
      <c r="Z23" s="18" t="str" cm="1">
        <f t="array" ref="Z23">IFERROR(_xlfn.PERCENTILE.INC(_xlfn._xlws.FILTER('BDT''s'!W:W,('BDT''s'!L:L=VMI!W23)*('BDT''s'!F:F=VMI!B23)*('BDT''s'!E:E=VMI!A23)),0.75),"-")</f>
        <v>-</v>
      </c>
      <c r="AA23" s="18">
        <f>IFERROR(_xlfn.MAXIFS('BDT''s'!W:W,'BDT''s'!L:L,VMI!W23,'BDT''s'!F:F,VMI!B23,'BDT''s'!E:E,VMI!A23),"-")</f>
        <v>0</v>
      </c>
      <c r="AB23" s="16">
        <f>IFERROR(COUNTIFS('BDT''s'!L:L,VMI!W23,'BDT''s'!F:F,VMI!B23,'BDT''s'!E:E,VMI!A23),"-")</f>
        <v>0</v>
      </c>
      <c r="AC23" s="12" t="str">
        <f t="shared" si="6"/>
        <v>-</v>
      </c>
      <c r="AD23" s="16" t="str">
        <f t="shared" si="7"/>
        <v>-</v>
      </c>
      <c r="AE23" s="18" t="str">
        <f>IFERROR(AVERAGEIFS('BDT''s'!$W:$W,'BDT''s'!$L:$L,VMI!W23,'BDT''s'!$F:$F,VMI!$B23,'BDT''s'!$E:$E,VMI!$A23)*AD23,"-")</f>
        <v>-</v>
      </c>
      <c r="AF23" s="18" t="str">
        <f t="shared" si="8"/>
        <v>-</v>
      </c>
    </row>
    <row r="24" spans="1:32" x14ac:dyDescent="0.3">
      <c r="A24" s="15">
        <v>0.23</v>
      </c>
      <c r="B24" s="12" t="s">
        <v>32</v>
      </c>
      <c r="C24" s="3" t="s">
        <v>18</v>
      </c>
      <c r="D24" s="18" t="str">
        <f>IFERROR(AVERAGEIFS('BDT''s'!W:W,'BDT''s'!L:L,VMI!C24,'BDT''s'!F:F,VMI!B24,'BDT''s'!E:E,VMI!A24),"-")</f>
        <v>-</v>
      </c>
      <c r="E24" s="18" t="str" cm="1">
        <f t="array" ref="E24">IFERROR(_xlfn.PERCENTILE.INC(_xlfn._xlws.FILTER('BDT''s'!W:W,('BDT''s'!L:L=VMI!C24)*('BDT''s'!F:F=VMI!B24)*('BDT''s'!E:E=VMI!A24)),0.5),"-")</f>
        <v>-</v>
      </c>
      <c r="F24" s="18" t="str" cm="1">
        <f t="array" ref="F24">IFERROR(_xlfn.PERCENTILE.INC(_xlfn._xlws.FILTER('BDT''s'!W:W,('BDT''s'!L:L=VMI!C24)*('BDT''s'!F:F=VMI!B24)*('BDT''s'!E:E=VMI!A24)),0.75),"-")</f>
        <v>-</v>
      </c>
      <c r="G24" s="18">
        <f>IFERROR(_xlfn.MAXIFS('BDT''s'!W:W,'BDT''s'!L:L,VMI!C24,'BDT''s'!F:F,VMI!B24,'BDT''s'!E:E,VMI!A24),"-")</f>
        <v>0</v>
      </c>
      <c r="H24" s="16">
        <f>IFERROR(COUNTIFS('BDT''s'!L:L,VMI!C24,'BDT''s'!F:F,VMI!B24,'BDT''s'!E:E,VMI!A24),"-")</f>
        <v>0</v>
      </c>
      <c r="I24" s="12" t="str">
        <f t="shared" si="0"/>
        <v>-</v>
      </c>
      <c r="J24" s="16" t="str">
        <f t="shared" si="1"/>
        <v>-</v>
      </c>
      <c r="K24" s="18" t="str">
        <f>IFERROR(AVERAGEIFS('BDT''s'!$W:$W,'BDT''s'!$L:$L,VMI!C24,'BDT''s'!$F:$F,VMI!$B24,'BDT''s'!$E:$E,VMI!$A24)*J24,"-")</f>
        <v>-</v>
      </c>
      <c r="L24" s="18" t="str">
        <f t="shared" si="2"/>
        <v>-</v>
      </c>
      <c r="M24" s="3" t="s">
        <v>19</v>
      </c>
      <c r="N24" s="18" t="str">
        <f>IFERROR(AVERAGEIFS('BDT''s'!W:W,'BDT''s'!L:L,VMI!M24,'BDT''s'!F:F,VMI!B24,'BDT''s'!E:E,VMI!A24),"-")</f>
        <v>-</v>
      </c>
      <c r="O24" s="18" t="str" cm="1">
        <f t="array" ref="O24">IFERROR(_xlfn.PERCENTILE.INC(_xlfn._xlws.FILTER('BDT''s'!W:W,('BDT''s'!L:L=VMI!M24)*('BDT''s'!F:F=VMI!B24)*('BDT''s'!E:E=VMI!A24)),0.5),"-")</f>
        <v>-</v>
      </c>
      <c r="P24" s="18" t="str" cm="1">
        <f t="array" ref="P24">IFERROR(_xlfn.PERCENTILE.INC(_xlfn._xlws.FILTER('BDT''s'!W:W,('BDT''s'!L:L=VMI!M24)*('BDT''s'!F:F=VMI!B24)*('BDT''s'!E:E=VMI!A24)),0.75),"-")</f>
        <v>-</v>
      </c>
      <c r="Q24" s="18">
        <f>IFERROR(_xlfn.MAXIFS('BDT''s'!W:W,'BDT''s'!L:L,VMI!M24,'BDT''s'!F:F,VMI!B24,'BDT''s'!E:E,VMI!A24),"-")</f>
        <v>0</v>
      </c>
      <c r="R24" s="16">
        <f>IFERROR(COUNTIFS('BDT''s'!L:L,VMI!M24,'BDT''s'!F:F,VMI!B24,'BDT''s'!E:E,VMI!A24),"-")</f>
        <v>0</v>
      </c>
      <c r="S24" s="12" t="str">
        <f t="shared" si="3"/>
        <v>-</v>
      </c>
      <c r="T24" s="16" t="str">
        <f t="shared" si="4"/>
        <v>-</v>
      </c>
      <c r="U24" s="18" t="str">
        <f>IFERROR(AVERAGEIFS('BDT''s'!$W:$W,'BDT''s'!$L:$L,VMI!M24,'BDT''s'!$F:$F,VMI!$B24,'BDT''s'!$E:$E,VMI!$A24)*T24,"-")</f>
        <v>-</v>
      </c>
      <c r="V24" s="18" t="str">
        <f t="shared" si="5"/>
        <v>-</v>
      </c>
      <c r="W24" s="3" t="s">
        <v>20</v>
      </c>
      <c r="X24" s="18" t="str">
        <f>IFERROR(AVERAGEIFS('BDT''s'!W:W,'BDT''s'!L:L,VMI!W24,'BDT''s'!F:F,VMI!B24,'BDT''s'!E:E,VMI!A24),"-")</f>
        <v>-</v>
      </c>
      <c r="Y24" s="18" t="str" cm="1">
        <f t="array" ref="Y24">IFERROR(_xlfn.PERCENTILE.INC(_xlfn._xlws.FILTER('BDT''s'!W:W,('BDT''s'!L:L=VMI!W24)*('BDT''s'!F:F=VMI!B24)*('BDT''s'!E:E=VMI!A24)),0.5),"-")</f>
        <v>-</v>
      </c>
      <c r="Z24" s="18" t="str" cm="1">
        <f t="array" ref="Z24">IFERROR(_xlfn.PERCENTILE.INC(_xlfn._xlws.FILTER('BDT''s'!W:W,('BDT''s'!L:L=VMI!W24)*('BDT''s'!F:F=VMI!B24)*('BDT''s'!E:E=VMI!A24)),0.75),"-")</f>
        <v>-</v>
      </c>
      <c r="AA24" s="18">
        <f>IFERROR(_xlfn.MAXIFS('BDT''s'!W:W,'BDT''s'!L:L,VMI!W24,'BDT''s'!F:F,VMI!B24,'BDT''s'!E:E,VMI!A24),"-")</f>
        <v>0</v>
      </c>
      <c r="AB24" s="16">
        <f>IFERROR(COUNTIFS('BDT''s'!L:L,VMI!W24,'BDT''s'!F:F,VMI!B24,'BDT''s'!E:E,VMI!A24),"-")</f>
        <v>0</v>
      </c>
      <c r="AC24" s="12" t="str">
        <f t="shared" si="6"/>
        <v>-</v>
      </c>
      <c r="AD24" s="16" t="str">
        <f t="shared" si="7"/>
        <v>-</v>
      </c>
      <c r="AE24" s="18" t="str">
        <f>IFERROR(AVERAGEIFS('BDT''s'!$W:$W,'BDT''s'!$L:$L,VMI!W24,'BDT''s'!$F:$F,VMI!$B24,'BDT''s'!$E:$E,VMI!$A24)*AD24,"-")</f>
        <v>-</v>
      </c>
      <c r="AF24" s="18" t="str">
        <f t="shared" si="8"/>
        <v>-</v>
      </c>
    </row>
    <row r="25" spans="1:32" x14ac:dyDescent="0.3">
      <c r="A25" s="15">
        <v>0.24</v>
      </c>
      <c r="B25" s="12" t="s">
        <v>32</v>
      </c>
      <c r="C25" s="3" t="s">
        <v>18</v>
      </c>
      <c r="D25" s="18" t="str">
        <f>IFERROR(AVERAGEIFS('BDT''s'!W:W,'BDT''s'!L:L,VMI!C25,'BDT''s'!F:F,VMI!B25,'BDT''s'!E:E,VMI!A25),"-")</f>
        <v>-</v>
      </c>
      <c r="E25" s="18" t="str" cm="1">
        <f t="array" ref="E25">IFERROR(_xlfn.PERCENTILE.INC(_xlfn._xlws.FILTER('BDT''s'!W:W,('BDT''s'!L:L=VMI!C25)*('BDT''s'!F:F=VMI!B25)*('BDT''s'!E:E=VMI!A25)),0.5),"-")</f>
        <v>-</v>
      </c>
      <c r="F25" s="18" t="str" cm="1">
        <f t="array" ref="F25">IFERROR(_xlfn.PERCENTILE.INC(_xlfn._xlws.FILTER('BDT''s'!W:W,('BDT''s'!L:L=VMI!C25)*('BDT''s'!F:F=VMI!B25)*('BDT''s'!E:E=VMI!A25)),0.75),"-")</f>
        <v>-</v>
      </c>
      <c r="G25" s="18">
        <f>IFERROR(_xlfn.MAXIFS('BDT''s'!W:W,'BDT''s'!L:L,VMI!C25,'BDT''s'!F:F,VMI!B25,'BDT''s'!E:E,VMI!A25),"-")</f>
        <v>0</v>
      </c>
      <c r="H25" s="16">
        <f>IFERROR(COUNTIFS('BDT''s'!L:L,VMI!C25,'BDT''s'!F:F,VMI!B25,'BDT''s'!E:E,VMI!A25),"-")</f>
        <v>0</v>
      </c>
      <c r="I25" s="12" t="str">
        <f t="shared" si="0"/>
        <v>-</v>
      </c>
      <c r="J25" s="16" t="str">
        <f t="shared" si="1"/>
        <v>-</v>
      </c>
      <c r="K25" s="18" t="str">
        <f>IFERROR(AVERAGEIFS('BDT''s'!$W:$W,'BDT''s'!$L:$L,VMI!C25,'BDT''s'!$F:$F,VMI!$B25,'BDT''s'!$E:$E,VMI!$A25)*J25,"-")</f>
        <v>-</v>
      </c>
      <c r="L25" s="18" t="str">
        <f t="shared" si="2"/>
        <v>-</v>
      </c>
      <c r="M25" s="3" t="s">
        <v>19</v>
      </c>
      <c r="N25" s="18" t="str">
        <f>IFERROR(AVERAGEIFS('BDT''s'!W:W,'BDT''s'!L:L,VMI!M25,'BDT''s'!F:F,VMI!B25,'BDT''s'!E:E,VMI!A25),"-")</f>
        <v>-</v>
      </c>
      <c r="O25" s="18" t="str" cm="1">
        <f t="array" ref="O25">IFERROR(_xlfn.PERCENTILE.INC(_xlfn._xlws.FILTER('BDT''s'!W:W,('BDT''s'!L:L=VMI!M25)*('BDT''s'!F:F=VMI!B25)*('BDT''s'!E:E=VMI!A25)),0.5),"-")</f>
        <v>-</v>
      </c>
      <c r="P25" s="18" t="str" cm="1">
        <f t="array" ref="P25">IFERROR(_xlfn.PERCENTILE.INC(_xlfn._xlws.FILTER('BDT''s'!W:W,('BDT''s'!L:L=VMI!M25)*('BDT''s'!F:F=VMI!B25)*('BDT''s'!E:E=VMI!A25)),0.75),"-")</f>
        <v>-</v>
      </c>
      <c r="Q25" s="18">
        <f>IFERROR(_xlfn.MAXIFS('BDT''s'!W:W,'BDT''s'!L:L,VMI!M25,'BDT''s'!F:F,VMI!B25,'BDT''s'!E:E,VMI!A25),"-")</f>
        <v>0</v>
      </c>
      <c r="R25" s="16">
        <f>IFERROR(COUNTIFS('BDT''s'!L:L,VMI!M25,'BDT''s'!F:F,VMI!B25,'BDT''s'!E:E,VMI!A25),"-")</f>
        <v>0</v>
      </c>
      <c r="S25" s="12" t="str">
        <f t="shared" si="3"/>
        <v>-</v>
      </c>
      <c r="T25" s="16" t="str">
        <f t="shared" si="4"/>
        <v>-</v>
      </c>
      <c r="U25" s="18" t="str">
        <f>IFERROR(AVERAGEIFS('BDT''s'!$W:$W,'BDT''s'!$L:$L,VMI!M25,'BDT''s'!$F:$F,VMI!$B25,'BDT''s'!$E:$E,VMI!$A25)*T25,"-")</f>
        <v>-</v>
      </c>
      <c r="V25" s="18" t="str">
        <f t="shared" si="5"/>
        <v>-</v>
      </c>
      <c r="W25" s="3" t="s">
        <v>20</v>
      </c>
      <c r="X25" s="18" t="str">
        <f>IFERROR(AVERAGEIFS('BDT''s'!W:W,'BDT''s'!L:L,VMI!W25,'BDT''s'!F:F,VMI!B25,'BDT''s'!E:E,VMI!A25),"-")</f>
        <v>-</v>
      </c>
      <c r="Y25" s="18" t="str" cm="1">
        <f t="array" ref="Y25">IFERROR(_xlfn.PERCENTILE.INC(_xlfn._xlws.FILTER('BDT''s'!W:W,('BDT''s'!L:L=VMI!W25)*('BDT''s'!F:F=VMI!B25)*('BDT''s'!E:E=VMI!A25)),0.5),"-")</f>
        <v>-</v>
      </c>
      <c r="Z25" s="18" t="str" cm="1">
        <f t="array" ref="Z25">IFERROR(_xlfn.PERCENTILE.INC(_xlfn._xlws.FILTER('BDT''s'!W:W,('BDT''s'!L:L=VMI!W25)*('BDT''s'!F:F=VMI!B25)*('BDT''s'!E:E=VMI!A25)),0.75),"-")</f>
        <v>-</v>
      </c>
      <c r="AA25" s="18">
        <f>IFERROR(_xlfn.MAXIFS('BDT''s'!W:W,'BDT''s'!L:L,VMI!W25,'BDT''s'!F:F,VMI!B25,'BDT''s'!E:E,VMI!A25),"-")</f>
        <v>0</v>
      </c>
      <c r="AB25" s="16">
        <f>IFERROR(COUNTIFS('BDT''s'!L:L,VMI!W25,'BDT''s'!F:F,VMI!B25,'BDT''s'!E:E,VMI!A25),"-")</f>
        <v>0</v>
      </c>
      <c r="AC25" s="12" t="str">
        <f t="shared" si="6"/>
        <v>-</v>
      </c>
      <c r="AD25" s="16" t="str">
        <f t="shared" si="7"/>
        <v>-</v>
      </c>
      <c r="AE25" s="18" t="str">
        <f>IFERROR(AVERAGEIFS('BDT''s'!$W:$W,'BDT''s'!$L:$L,VMI!W25,'BDT''s'!$F:$F,VMI!$B25,'BDT''s'!$E:$E,VMI!$A25)*AD25,"-")</f>
        <v>-</v>
      </c>
      <c r="AF25" s="18" t="str">
        <f t="shared" si="8"/>
        <v>-</v>
      </c>
    </row>
    <row r="26" spans="1:32" x14ac:dyDescent="0.3">
      <c r="A26" s="15">
        <v>0.25</v>
      </c>
      <c r="B26" s="12" t="s">
        <v>32</v>
      </c>
      <c r="C26" s="3" t="s">
        <v>18</v>
      </c>
      <c r="D26" s="18" t="str">
        <f>IFERROR(AVERAGEIFS('BDT''s'!W:W,'BDT''s'!L:L,VMI!C26,'BDT''s'!F:F,VMI!B26,'BDT''s'!E:E,VMI!A26),"-")</f>
        <v>-</v>
      </c>
      <c r="E26" s="18" t="str" cm="1">
        <f t="array" ref="E26">IFERROR(_xlfn.PERCENTILE.INC(_xlfn._xlws.FILTER('BDT''s'!W:W,('BDT''s'!L:L=VMI!C26)*('BDT''s'!F:F=VMI!B26)*('BDT''s'!E:E=VMI!A26)),0.5),"-")</f>
        <v>-</v>
      </c>
      <c r="F26" s="18" t="str" cm="1">
        <f t="array" ref="F26">IFERROR(_xlfn.PERCENTILE.INC(_xlfn._xlws.FILTER('BDT''s'!W:W,('BDT''s'!L:L=VMI!C26)*('BDT''s'!F:F=VMI!B26)*('BDT''s'!E:E=VMI!A26)),0.75),"-")</f>
        <v>-</v>
      </c>
      <c r="G26" s="18">
        <f>IFERROR(_xlfn.MAXIFS('BDT''s'!W:W,'BDT''s'!L:L,VMI!C26,'BDT''s'!F:F,VMI!B26,'BDT''s'!E:E,VMI!A26),"-")</f>
        <v>0</v>
      </c>
      <c r="H26" s="16">
        <f>IFERROR(COUNTIFS('BDT''s'!L:L,VMI!C26,'BDT''s'!F:F,VMI!B26,'BDT''s'!E:E,VMI!A26),"-")</f>
        <v>0</v>
      </c>
      <c r="I26" s="12" t="str">
        <f t="shared" si="0"/>
        <v>-</v>
      </c>
      <c r="J26" s="16" t="str">
        <f t="shared" si="1"/>
        <v>-</v>
      </c>
      <c r="K26" s="18" t="str">
        <f>IFERROR(AVERAGEIFS('BDT''s'!$W:$W,'BDT''s'!$L:$L,VMI!C26,'BDT''s'!$F:$F,VMI!$B26,'BDT''s'!$E:$E,VMI!$A26)*J26,"-")</f>
        <v>-</v>
      </c>
      <c r="L26" s="18" t="str">
        <f t="shared" si="2"/>
        <v>-</v>
      </c>
      <c r="M26" s="3" t="s">
        <v>19</v>
      </c>
      <c r="N26" s="18" t="str">
        <f>IFERROR(AVERAGEIFS('BDT''s'!W:W,'BDT''s'!L:L,VMI!M26,'BDT''s'!F:F,VMI!B26,'BDT''s'!E:E,VMI!A26),"-")</f>
        <v>-</v>
      </c>
      <c r="O26" s="18" t="str" cm="1">
        <f t="array" ref="O26">IFERROR(_xlfn.PERCENTILE.INC(_xlfn._xlws.FILTER('BDT''s'!W:W,('BDT''s'!L:L=VMI!M26)*('BDT''s'!F:F=VMI!B26)*('BDT''s'!E:E=VMI!A26)),0.5),"-")</f>
        <v>-</v>
      </c>
      <c r="P26" s="18" t="str" cm="1">
        <f t="array" ref="P26">IFERROR(_xlfn.PERCENTILE.INC(_xlfn._xlws.FILTER('BDT''s'!W:W,('BDT''s'!L:L=VMI!M26)*('BDT''s'!F:F=VMI!B26)*('BDT''s'!E:E=VMI!A26)),0.75),"-")</f>
        <v>-</v>
      </c>
      <c r="Q26" s="18">
        <f>IFERROR(_xlfn.MAXIFS('BDT''s'!W:W,'BDT''s'!L:L,VMI!M26,'BDT''s'!F:F,VMI!B26,'BDT''s'!E:E,VMI!A26),"-")</f>
        <v>0</v>
      </c>
      <c r="R26" s="16">
        <f>IFERROR(COUNTIFS('BDT''s'!L:L,VMI!M26,'BDT''s'!F:F,VMI!B26,'BDT''s'!E:E,VMI!A26),"-")</f>
        <v>0</v>
      </c>
      <c r="S26" s="12" t="str">
        <f t="shared" si="3"/>
        <v>-</v>
      </c>
      <c r="T26" s="16" t="str">
        <f t="shared" si="4"/>
        <v>-</v>
      </c>
      <c r="U26" s="18" t="str">
        <f>IFERROR(AVERAGEIFS('BDT''s'!$W:$W,'BDT''s'!$L:$L,VMI!M26,'BDT''s'!$F:$F,VMI!$B26,'BDT''s'!$E:$E,VMI!$A26)*T26,"-")</f>
        <v>-</v>
      </c>
      <c r="V26" s="18" t="str">
        <f t="shared" si="5"/>
        <v>-</v>
      </c>
      <c r="W26" s="3" t="s">
        <v>20</v>
      </c>
      <c r="X26" s="18" t="str">
        <f>IFERROR(AVERAGEIFS('BDT''s'!W:W,'BDT''s'!L:L,VMI!W26,'BDT''s'!F:F,VMI!B26,'BDT''s'!E:E,VMI!A26),"-")</f>
        <v>-</v>
      </c>
      <c r="Y26" s="18" t="str" cm="1">
        <f t="array" ref="Y26">IFERROR(_xlfn.PERCENTILE.INC(_xlfn._xlws.FILTER('BDT''s'!W:W,('BDT''s'!L:L=VMI!W26)*('BDT''s'!F:F=VMI!B26)*('BDT''s'!E:E=VMI!A26)),0.5),"-")</f>
        <v>-</v>
      </c>
      <c r="Z26" s="18" t="str" cm="1">
        <f t="array" ref="Z26">IFERROR(_xlfn.PERCENTILE.INC(_xlfn._xlws.FILTER('BDT''s'!W:W,('BDT''s'!L:L=VMI!W26)*('BDT''s'!F:F=VMI!B26)*('BDT''s'!E:E=VMI!A26)),0.75),"-")</f>
        <v>-</v>
      </c>
      <c r="AA26" s="18">
        <f>IFERROR(_xlfn.MAXIFS('BDT''s'!W:W,'BDT''s'!L:L,VMI!W26,'BDT''s'!F:F,VMI!B26,'BDT''s'!E:E,VMI!A26),"-")</f>
        <v>0</v>
      </c>
      <c r="AB26" s="16">
        <f>IFERROR(COUNTIFS('BDT''s'!L:L,VMI!W26,'BDT''s'!F:F,VMI!B26,'BDT''s'!E:E,VMI!A26),"-")</f>
        <v>0</v>
      </c>
      <c r="AC26" s="12" t="str">
        <f t="shared" si="6"/>
        <v>-</v>
      </c>
      <c r="AD26" s="16" t="str">
        <f t="shared" si="7"/>
        <v>-</v>
      </c>
      <c r="AE26" s="18" t="str">
        <f>IFERROR(AVERAGEIFS('BDT''s'!$W:$W,'BDT''s'!$L:$L,VMI!W26,'BDT''s'!$F:$F,VMI!$B26,'BDT''s'!$E:$E,VMI!$A26)*AD26,"-")</f>
        <v>-</v>
      </c>
      <c r="AF26" s="18" t="str">
        <f t="shared" si="8"/>
        <v>-</v>
      </c>
    </row>
    <row r="27" spans="1:32" x14ac:dyDescent="0.3">
      <c r="A27" s="15">
        <v>0.26</v>
      </c>
      <c r="B27" s="12" t="s">
        <v>33</v>
      </c>
      <c r="C27" s="3" t="s">
        <v>18</v>
      </c>
      <c r="D27" s="18" t="str">
        <f>IFERROR(AVERAGEIFS('BDT''s'!W:W,'BDT''s'!L:L,VMI!C27,'BDT''s'!F:F,VMI!B27,'BDT''s'!E:E,VMI!A27),"-")</f>
        <v>-</v>
      </c>
      <c r="E27" s="18" t="str" cm="1">
        <f t="array" ref="E27">IFERROR(_xlfn.PERCENTILE.INC(_xlfn._xlws.FILTER('BDT''s'!W:W,('BDT''s'!L:L=VMI!C27)*('BDT''s'!F:F=VMI!B27)*('BDT''s'!E:E=VMI!A27)),0.5),"-")</f>
        <v>-</v>
      </c>
      <c r="F27" s="18" t="str" cm="1">
        <f t="array" ref="F27">IFERROR(_xlfn.PERCENTILE.INC(_xlfn._xlws.FILTER('BDT''s'!W:W,('BDT''s'!L:L=VMI!C27)*('BDT''s'!F:F=VMI!B27)*('BDT''s'!E:E=VMI!A27)),0.75),"-")</f>
        <v>-</v>
      </c>
      <c r="G27" s="18">
        <f>IFERROR(_xlfn.MAXIFS('BDT''s'!W:W,'BDT''s'!L:L,VMI!C27,'BDT''s'!F:F,VMI!B27,'BDT''s'!E:E,VMI!A27),"-")</f>
        <v>0</v>
      </c>
      <c r="H27" s="16">
        <f>IFERROR(COUNTIFS('BDT''s'!L:L,VMI!C27,'BDT''s'!F:F,VMI!B27,'BDT''s'!E:E,VMI!A27),"-")</f>
        <v>0</v>
      </c>
      <c r="I27" s="12" t="str">
        <f t="shared" si="0"/>
        <v>-</v>
      </c>
      <c r="J27" s="16" t="str">
        <f t="shared" si="1"/>
        <v>-</v>
      </c>
      <c r="K27" s="18" t="str">
        <f>IFERROR(AVERAGEIFS('BDT''s'!$W:$W,'BDT''s'!$L:$L,VMI!C27,'BDT''s'!$F:$F,VMI!$B27,'BDT''s'!$E:$E,VMI!$A27)*J27,"-")</f>
        <v>-</v>
      </c>
      <c r="L27" s="18" t="str">
        <f t="shared" si="2"/>
        <v>-</v>
      </c>
      <c r="M27" s="3" t="s">
        <v>19</v>
      </c>
      <c r="N27" s="18" t="str">
        <f>IFERROR(AVERAGEIFS('BDT''s'!W:W,'BDT''s'!L:L,VMI!M27,'BDT''s'!F:F,VMI!B27,'BDT''s'!E:E,VMI!A27),"-")</f>
        <v>-</v>
      </c>
      <c r="O27" s="18" t="str" cm="1">
        <f t="array" ref="O27">IFERROR(_xlfn.PERCENTILE.INC(_xlfn._xlws.FILTER('BDT''s'!W:W,('BDT''s'!L:L=VMI!M27)*('BDT''s'!F:F=VMI!B27)*('BDT''s'!E:E=VMI!A27)),0.5),"-")</f>
        <v>-</v>
      </c>
      <c r="P27" s="18" t="str" cm="1">
        <f t="array" ref="P27">IFERROR(_xlfn.PERCENTILE.INC(_xlfn._xlws.FILTER('BDT''s'!W:W,('BDT''s'!L:L=VMI!M27)*('BDT''s'!F:F=VMI!B27)*('BDT''s'!E:E=VMI!A27)),0.75),"-")</f>
        <v>-</v>
      </c>
      <c r="Q27" s="18">
        <f>IFERROR(_xlfn.MAXIFS('BDT''s'!W:W,'BDT''s'!L:L,VMI!M27,'BDT''s'!F:F,VMI!B27,'BDT''s'!E:E,VMI!A27),"-")</f>
        <v>0</v>
      </c>
      <c r="R27" s="16">
        <f>IFERROR(COUNTIFS('BDT''s'!L:L,VMI!M27,'BDT''s'!F:F,VMI!B27,'BDT''s'!E:E,VMI!A27),"-")</f>
        <v>0</v>
      </c>
      <c r="S27" s="12" t="str">
        <f t="shared" si="3"/>
        <v>-</v>
      </c>
      <c r="T27" s="16" t="str">
        <f t="shared" si="4"/>
        <v>-</v>
      </c>
      <c r="U27" s="18" t="str">
        <f>IFERROR(AVERAGEIFS('BDT''s'!$W:$W,'BDT''s'!$L:$L,VMI!M27,'BDT''s'!$F:$F,VMI!$B27,'BDT''s'!$E:$E,VMI!$A27)*T27,"-")</f>
        <v>-</v>
      </c>
      <c r="V27" s="18" t="str">
        <f t="shared" si="5"/>
        <v>-</v>
      </c>
      <c r="W27" s="3" t="s">
        <v>20</v>
      </c>
      <c r="X27" s="18" t="str">
        <f>IFERROR(AVERAGEIFS('BDT''s'!W:W,'BDT''s'!L:L,VMI!W27,'BDT''s'!F:F,VMI!B27,'BDT''s'!E:E,VMI!A27),"-")</f>
        <v>-</v>
      </c>
      <c r="Y27" s="18" t="str" cm="1">
        <f t="array" ref="Y27">IFERROR(_xlfn.PERCENTILE.INC(_xlfn._xlws.FILTER('BDT''s'!W:W,('BDT''s'!L:L=VMI!W27)*('BDT''s'!F:F=VMI!B27)*('BDT''s'!E:E=VMI!A27)),0.5),"-")</f>
        <v>-</v>
      </c>
      <c r="Z27" s="18" t="str" cm="1">
        <f t="array" ref="Z27">IFERROR(_xlfn.PERCENTILE.INC(_xlfn._xlws.FILTER('BDT''s'!W:W,('BDT''s'!L:L=VMI!W27)*('BDT''s'!F:F=VMI!B27)*('BDT''s'!E:E=VMI!A27)),0.75),"-")</f>
        <v>-</v>
      </c>
      <c r="AA27" s="18">
        <f>IFERROR(_xlfn.MAXIFS('BDT''s'!W:W,'BDT''s'!L:L,VMI!W27,'BDT''s'!F:F,VMI!B27,'BDT''s'!E:E,VMI!A27),"-")</f>
        <v>0</v>
      </c>
      <c r="AB27" s="16">
        <f>IFERROR(COUNTIFS('BDT''s'!L:L,VMI!W27,'BDT''s'!F:F,VMI!B27,'BDT''s'!E:E,VMI!A27),"-")</f>
        <v>0</v>
      </c>
      <c r="AC27" s="12" t="str">
        <f t="shared" si="6"/>
        <v>-</v>
      </c>
      <c r="AD27" s="16" t="str">
        <f t="shared" si="7"/>
        <v>-</v>
      </c>
      <c r="AE27" s="18" t="str">
        <f>IFERROR(AVERAGEIFS('BDT''s'!$W:$W,'BDT''s'!$L:$L,VMI!W27,'BDT''s'!$F:$F,VMI!$B27,'BDT''s'!$E:$E,VMI!$A27)*AD27,"-")</f>
        <v>-</v>
      </c>
      <c r="AF27" s="18" t="str">
        <f t="shared" si="8"/>
        <v>-</v>
      </c>
    </row>
    <row r="28" spans="1:32" x14ac:dyDescent="0.3">
      <c r="A28" s="15">
        <v>0.27</v>
      </c>
      <c r="B28" s="12" t="s">
        <v>33</v>
      </c>
      <c r="C28" s="3" t="s">
        <v>18</v>
      </c>
      <c r="D28" s="18" t="str">
        <f>IFERROR(AVERAGEIFS('BDT''s'!W:W,'BDT''s'!L:L,VMI!C28,'BDT''s'!F:F,VMI!B28,'BDT''s'!E:E,VMI!A28),"-")</f>
        <v>-</v>
      </c>
      <c r="E28" s="18" t="str" cm="1">
        <f t="array" ref="E28">IFERROR(_xlfn.PERCENTILE.INC(_xlfn._xlws.FILTER('BDT''s'!W:W,('BDT''s'!L:L=VMI!C28)*('BDT''s'!F:F=VMI!B28)*('BDT''s'!E:E=VMI!A28)),0.5),"-")</f>
        <v>-</v>
      </c>
      <c r="F28" s="18" t="str" cm="1">
        <f t="array" ref="F28">IFERROR(_xlfn.PERCENTILE.INC(_xlfn._xlws.FILTER('BDT''s'!W:W,('BDT''s'!L:L=VMI!C28)*('BDT''s'!F:F=VMI!B28)*('BDT''s'!E:E=VMI!A28)),0.75),"-")</f>
        <v>-</v>
      </c>
      <c r="G28" s="18">
        <f>IFERROR(_xlfn.MAXIFS('BDT''s'!W:W,'BDT''s'!L:L,VMI!C28,'BDT''s'!F:F,VMI!B28,'BDT''s'!E:E,VMI!A28),"-")</f>
        <v>0</v>
      </c>
      <c r="H28" s="16">
        <f>IFERROR(COUNTIFS('BDT''s'!L:L,VMI!C28,'BDT''s'!F:F,VMI!B28,'BDT''s'!E:E,VMI!A28),"-")</f>
        <v>0</v>
      </c>
      <c r="I28" s="12" t="str">
        <f t="shared" si="0"/>
        <v>-</v>
      </c>
      <c r="J28" s="16" t="str">
        <f t="shared" si="1"/>
        <v>-</v>
      </c>
      <c r="K28" s="18" t="str">
        <f>IFERROR(AVERAGEIFS('BDT''s'!$W:$W,'BDT''s'!$L:$L,VMI!C28,'BDT''s'!$F:$F,VMI!$B28,'BDT''s'!$E:$E,VMI!$A28)*J28,"-")</f>
        <v>-</v>
      </c>
      <c r="L28" s="18" t="str">
        <f t="shared" si="2"/>
        <v>-</v>
      </c>
      <c r="M28" s="3" t="s">
        <v>19</v>
      </c>
      <c r="N28" s="18" t="str">
        <f>IFERROR(AVERAGEIFS('BDT''s'!W:W,'BDT''s'!L:L,VMI!M28,'BDT''s'!F:F,VMI!B28,'BDT''s'!E:E,VMI!A28),"-")</f>
        <v>-</v>
      </c>
      <c r="O28" s="18" t="str" cm="1">
        <f t="array" ref="O28">IFERROR(_xlfn.PERCENTILE.INC(_xlfn._xlws.FILTER('BDT''s'!W:W,('BDT''s'!L:L=VMI!M28)*('BDT''s'!F:F=VMI!B28)*('BDT''s'!E:E=VMI!A28)),0.5),"-")</f>
        <v>-</v>
      </c>
      <c r="P28" s="18" t="str" cm="1">
        <f t="array" ref="P28">IFERROR(_xlfn.PERCENTILE.INC(_xlfn._xlws.FILTER('BDT''s'!W:W,('BDT''s'!L:L=VMI!M28)*('BDT''s'!F:F=VMI!B28)*('BDT''s'!E:E=VMI!A28)),0.75),"-")</f>
        <v>-</v>
      </c>
      <c r="Q28" s="18">
        <f>IFERROR(_xlfn.MAXIFS('BDT''s'!W:W,'BDT''s'!L:L,VMI!M28,'BDT''s'!F:F,VMI!B28,'BDT''s'!E:E,VMI!A28),"-")</f>
        <v>0</v>
      </c>
      <c r="R28" s="16">
        <f>IFERROR(COUNTIFS('BDT''s'!L:L,VMI!M28,'BDT''s'!F:F,VMI!B28,'BDT''s'!E:E,VMI!A28),"-")</f>
        <v>0</v>
      </c>
      <c r="S28" s="12" t="str">
        <f t="shared" si="3"/>
        <v>-</v>
      </c>
      <c r="T28" s="16" t="str">
        <f t="shared" si="4"/>
        <v>-</v>
      </c>
      <c r="U28" s="18" t="str">
        <f>IFERROR(AVERAGEIFS('BDT''s'!$W:$W,'BDT''s'!$L:$L,VMI!M28,'BDT''s'!$F:$F,VMI!$B28,'BDT''s'!$E:$E,VMI!$A28)*T28,"-")</f>
        <v>-</v>
      </c>
      <c r="V28" s="18" t="str">
        <f t="shared" si="5"/>
        <v>-</v>
      </c>
      <c r="W28" s="3" t="s">
        <v>20</v>
      </c>
      <c r="X28" s="18" t="str">
        <f>IFERROR(AVERAGEIFS('BDT''s'!W:W,'BDT''s'!L:L,VMI!W28,'BDT''s'!F:F,VMI!B28,'BDT''s'!E:E,VMI!A28),"-")</f>
        <v>-</v>
      </c>
      <c r="Y28" s="18" t="str" cm="1">
        <f t="array" ref="Y28">IFERROR(_xlfn.PERCENTILE.INC(_xlfn._xlws.FILTER('BDT''s'!W:W,('BDT''s'!L:L=VMI!W28)*('BDT''s'!F:F=VMI!B28)*('BDT''s'!E:E=VMI!A28)),0.5),"-")</f>
        <v>-</v>
      </c>
      <c r="Z28" s="18" t="str" cm="1">
        <f t="array" ref="Z28">IFERROR(_xlfn.PERCENTILE.INC(_xlfn._xlws.FILTER('BDT''s'!W:W,('BDT''s'!L:L=VMI!W28)*('BDT''s'!F:F=VMI!B28)*('BDT''s'!E:E=VMI!A28)),0.75),"-")</f>
        <v>-</v>
      </c>
      <c r="AA28" s="18">
        <f>IFERROR(_xlfn.MAXIFS('BDT''s'!W:W,'BDT''s'!L:L,VMI!W28,'BDT''s'!F:F,VMI!B28,'BDT''s'!E:E,VMI!A28),"-")</f>
        <v>0</v>
      </c>
      <c r="AB28" s="16">
        <f>IFERROR(COUNTIFS('BDT''s'!L:L,VMI!W28,'BDT''s'!F:F,VMI!B28,'BDT''s'!E:E,VMI!A28),"-")</f>
        <v>0</v>
      </c>
      <c r="AC28" s="12" t="str">
        <f t="shared" si="6"/>
        <v>-</v>
      </c>
      <c r="AD28" s="16" t="str">
        <f t="shared" si="7"/>
        <v>-</v>
      </c>
      <c r="AE28" s="18" t="str">
        <f>IFERROR(AVERAGEIFS('BDT''s'!$W:$W,'BDT''s'!$L:$L,VMI!W28,'BDT''s'!$F:$F,VMI!$B28,'BDT''s'!$E:$E,VMI!$A28)*AD28,"-")</f>
        <v>-</v>
      </c>
      <c r="AF28" s="18" t="str">
        <f t="shared" si="8"/>
        <v>-</v>
      </c>
    </row>
    <row r="29" spans="1:32" x14ac:dyDescent="0.3">
      <c r="A29" s="15">
        <v>0.28000000000000003</v>
      </c>
      <c r="B29" s="12" t="s">
        <v>33</v>
      </c>
      <c r="C29" s="3" t="s">
        <v>18</v>
      </c>
      <c r="D29" s="18" t="str">
        <f>IFERROR(AVERAGEIFS('BDT''s'!W:W,'BDT''s'!L:L,VMI!C29,'BDT''s'!F:F,VMI!B29,'BDT''s'!E:E,VMI!A29),"-")</f>
        <v>-</v>
      </c>
      <c r="E29" s="18" t="str" cm="1">
        <f t="array" ref="E29">IFERROR(_xlfn.PERCENTILE.INC(_xlfn._xlws.FILTER('BDT''s'!W:W,('BDT''s'!L:L=VMI!C29)*('BDT''s'!F:F=VMI!B29)*('BDT''s'!E:E=VMI!A29)),0.5),"-")</f>
        <v>-</v>
      </c>
      <c r="F29" s="18" t="str" cm="1">
        <f t="array" ref="F29">IFERROR(_xlfn.PERCENTILE.INC(_xlfn._xlws.FILTER('BDT''s'!W:W,('BDT''s'!L:L=VMI!C29)*('BDT''s'!F:F=VMI!B29)*('BDT''s'!E:E=VMI!A29)),0.75),"-")</f>
        <v>-</v>
      </c>
      <c r="G29" s="18">
        <f>IFERROR(_xlfn.MAXIFS('BDT''s'!W:W,'BDT''s'!L:L,VMI!C29,'BDT''s'!F:F,VMI!B29,'BDT''s'!E:E,VMI!A29),"-")</f>
        <v>0</v>
      </c>
      <c r="H29" s="16">
        <f>IFERROR(COUNTIFS('BDT''s'!L:L,VMI!C29,'BDT''s'!F:F,VMI!B29,'BDT''s'!E:E,VMI!A29),"-")</f>
        <v>0</v>
      </c>
      <c r="I29" s="12" t="str">
        <f t="shared" si="0"/>
        <v>-</v>
      </c>
      <c r="J29" s="16" t="str">
        <f t="shared" si="1"/>
        <v>-</v>
      </c>
      <c r="K29" s="18" t="str">
        <f>IFERROR(AVERAGEIFS('BDT''s'!$W:$W,'BDT''s'!$L:$L,VMI!C29,'BDT''s'!$F:$F,VMI!$B29,'BDT''s'!$E:$E,VMI!$A29)*J29,"-")</f>
        <v>-</v>
      </c>
      <c r="L29" s="18" t="str">
        <f t="shared" si="2"/>
        <v>-</v>
      </c>
      <c r="M29" s="3" t="s">
        <v>19</v>
      </c>
      <c r="N29" s="18" t="str">
        <f>IFERROR(AVERAGEIFS('BDT''s'!W:W,'BDT''s'!L:L,VMI!M29,'BDT''s'!F:F,VMI!B29,'BDT''s'!E:E,VMI!A29),"-")</f>
        <v>-</v>
      </c>
      <c r="O29" s="18" t="str" cm="1">
        <f t="array" ref="O29">IFERROR(_xlfn.PERCENTILE.INC(_xlfn._xlws.FILTER('BDT''s'!W:W,('BDT''s'!L:L=VMI!M29)*('BDT''s'!F:F=VMI!B29)*('BDT''s'!E:E=VMI!A29)),0.5),"-")</f>
        <v>-</v>
      </c>
      <c r="P29" s="18" t="str" cm="1">
        <f t="array" ref="P29">IFERROR(_xlfn.PERCENTILE.INC(_xlfn._xlws.FILTER('BDT''s'!W:W,('BDT''s'!L:L=VMI!M29)*('BDT''s'!F:F=VMI!B29)*('BDT''s'!E:E=VMI!A29)),0.75),"-")</f>
        <v>-</v>
      </c>
      <c r="Q29" s="18">
        <f>IFERROR(_xlfn.MAXIFS('BDT''s'!W:W,'BDT''s'!L:L,VMI!M29,'BDT''s'!F:F,VMI!B29,'BDT''s'!E:E,VMI!A29),"-")</f>
        <v>0</v>
      </c>
      <c r="R29" s="16">
        <f>IFERROR(COUNTIFS('BDT''s'!L:L,VMI!M29,'BDT''s'!F:F,VMI!B29,'BDT''s'!E:E,VMI!A29),"-")</f>
        <v>0</v>
      </c>
      <c r="S29" s="12" t="str">
        <f t="shared" si="3"/>
        <v>-</v>
      </c>
      <c r="T29" s="16" t="str">
        <f t="shared" si="4"/>
        <v>-</v>
      </c>
      <c r="U29" s="18" t="str">
        <f>IFERROR(AVERAGEIFS('BDT''s'!$W:$W,'BDT''s'!$L:$L,VMI!M29,'BDT''s'!$F:$F,VMI!$B29,'BDT''s'!$E:$E,VMI!$A29)*T29,"-")</f>
        <v>-</v>
      </c>
      <c r="V29" s="18" t="str">
        <f t="shared" si="5"/>
        <v>-</v>
      </c>
      <c r="W29" s="3" t="s">
        <v>20</v>
      </c>
      <c r="X29" s="18" t="str">
        <f>IFERROR(AVERAGEIFS('BDT''s'!W:W,'BDT''s'!L:L,VMI!W29,'BDT''s'!F:F,VMI!B29,'BDT''s'!E:E,VMI!A29),"-")</f>
        <v>-</v>
      </c>
      <c r="Y29" s="18" t="str" cm="1">
        <f t="array" ref="Y29">IFERROR(_xlfn.PERCENTILE.INC(_xlfn._xlws.FILTER('BDT''s'!W:W,('BDT''s'!L:L=VMI!W29)*('BDT''s'!F:F=VMI!B29)*('BDT''s'!E:E=VMI!A29)),0.5),"-")</f>
        <v>-</v>
      </c>
      <c r="Z29" s="18" t="str" cm="1">
        <f t="array" ref="Z29">IFERROR(_xlfn.PERCENTILE.INC(_xlfn._xlws.FILTER('BDT''s'!W:W,('BDT''s'!L:L=VMI!W29)*('BDT''s'!F:F=VMI!B29)*('BDT''s'!E:E=VMI!A29)),0.75),"-")</f>
        <v>-</v>
      </c>
      <c r="AA29" s="18">
        <f>IFERROR(_xlfn.MAXIFS('BDT''s'!W:W,'BDT''s'!L:L,VMI!W29,'BDT''s'!F:F,VMI!B29,'BDT''s'!E:E,VMI!A29),"-")</f>
        <v>0</v>
      </c>
      <c r="AB29" s="16">
        <f>IFERROR(COUNTIFS('BDT''s'!L:L,VMI!W29,'BDT''s'!F:F,VMI!B29,'BDT''s'!E:E,VMI!A29),"-")</f>
        <v>0</v>
      </c>
      <c r="AC29" s="12" t="str">
        <f t="shared" si="6"/>
        <v>-</v>
      </c>
      <c r="AD29" s="16" t="str">
        <f t="shared" si="7"/>
        <v>-</v>
      </c>
      <c r="AE29" s="18" t="str">
        <f>IFERROR(AVERAGEIFS('BDT''s'!$W:$W,'BDT''s'!$L:$L,VMI!W29,'BDT''s'!$F:$F,VMI!$B29,'BDT''s'!$E:$E,VMI!$A29)*AD29,"-")</f>
        <v>-</v>
      </c>
      <c r="AF29" s="18" t="str">
        <f t="shared" si="8"/>
        <v>-</v>
      </c>
    </row>
    <row r="30" spans="1:32" x14ac:dyDescent="0.3">
      <c r="A30" s="15">
        <v>0.28999999999999998</v>
      </c>
      <c r="B30" s="12" t="s">
        <v>33</v>
      </c>
      <c r="C30" s="3" t="s">
        <v>18</v>
      </c>
      <c r="D30" s="18" t="str">
        <f>IFERROR(AVERAGEIFS('BDT''s'!W:W,'BDT''s'!L:L,VMI!C30,'BDT''s'!F:F,VMI!B30,'BDT''s'!E:E,VMI!A30),"-")</f>
        <v>-</v>
      </c>
      <c r="E30" s="18" t="str" cm="1">
        <f t="array" ref="E30">IFERROR(_xlfn.PERCENTILE.INC(_xlfn._xlws.FILTER('BDT''s'!W:W,('BDT''s'!L:L=VMI!C30)*('BDT''s'!F:F=VMI!B30)*('BDT''s'!E:E=VMI!A30)),0.5),"-")</f>
        <v>-</v>
      </c>
      <c r="F30" s="18" t="str" cm="1">
        <f t="array" ref="F30">IFERROR(_xlfn.PERCENTILE.INC(_xlfn._xlws.FILTER('BDT''s'!W:W,('BDT''s'!L:L=VMI!C30)*('BDT''s'!F:F=VMI!B30)*('BDT''s'!E:E=VMI!A30)),0.75),"-")</f>
        <v>-</v>
      </c>
      <c r="G30" s="18">
        <f>IFERROR(_xlfn.MAXIFS('BDT''s'!W:W,'BDT''s'!L:L,VMI!C30,'BDT''s'!F:F,VMI!B30,'BDT''s'!E:E,VMI!A30),"-")</f>
        <v>0</v>
      </c>
      <c r="H30" s="16">
        <f>IFERROR(COUNTIFS('BDT''s'!L:L,VMI!C30,'BDT''s'!F:F,VMI!B30,'BDT''s'!E:E,VMI!A30),"-")</f>
        <v>0</v>
      </c>
      <c r="I30" s="12" t="str">
        <f t="shared" si="0"/>
        <v>-</v>
      </c>
      <c r="J30" s="16" t="str">
        <f t="shared" si="1"/>
        <v>-</v>
      </c>
      <c r="K30" s="18" t="str">
        <f>IFERROR(AVERAGEIFS('BDT''s'!$W:$W,'BDT''s'!$L:$L,VMI!C30,'BDT''s'!$F:$F,VMI!$B30,'BDT''s'!$E:$E,VMI!$A30)*J30,"-")</f>
        <v>-</v>
      </c>
      <c r="L30" s="18" t="str">
        <f t="shared" si="2"/>
        <v>-</v>
      </c>
      <c r="M30" s="3" t="s">
        <v>19</v>
      </c>
      <c r="N30" s="18" t="str">
        <f>IFERROR(AVERAGEIFS('BDT''s'!W:W,'BDT''s'!L:L,VMI!M30,'BDT''s'!F:F,VMI!B30,'BDT''s'!E:E,VMI!A30),"-")</f>
        <v>-</v>
      </c>
      <c r="O30" s="18" t="str" cm="1">
        <f t="array" ref="O30">IFERROR(_xlfn.PERCENTILE.INC(_xlfn._xlws.FILTER('BDT''s'!W:W,('BDT''s'!L:L=VMI!M30)*('BDT''s'!F:F=VMI!B30)*('BDT''s'!E:E=VMI!A30)),0.5),"-")</f>
        <v>-</v>
      </c>
      <c r="P30" s="18" t="str" cm="1">
        <f t="array" ref="P30">IFERROR(_xlfn.PERCENTILE.INC(_xlfn._xlws.FILTER('BDT''s'!W:W,('BDT''s'!L:L=VMI!M30)*('BDT''s'!F:F=VMI!B30)*('BDT''s'!E:E=VMI!A30)),0.75),"-")</f>
        <v>-</v>
      </c>
      <c r="Q30" s="18">
        <f>IFERROR(_xlfn.MAXIFS('BDT''s'!W:W,'BDT''s'!L:L,VMI!M30,'BDT''s'!F:F,VMI!B30,'BDT''s'!E:E,VMI!A30),"-")</f>
        <v>0</v>
      </c>
      <c r="R30" s="16">
        <f>IFERROR(COUNTIFS('BDT''s'!L:L,VMI!M30,'BDT''s'!F:F,VMI!B30,'BDT''s'!E:E,VMI!A30),"-")</f>
        <v>0</v>
      </c>
      <c r="S30" s="12" t="str">
        <f t="shared" si="3"/>
        <v>-</v>
      </c>
      <c r="T30" s="16" t="str">
        <f t="shared" si="4"/>
        <v>-</v>
      </c>
      <c r="U30" s="18" t="str">
        <f>IFERROR(AVERAGEIFS('BDT''s'!$W:$W,'BDT''s'!$L:$L,VMI!M30,'BDT''s'!$F:$F,VMI!$B30,'BDT''s'!$E:$E,VMI!$A30)*T30,"-")</f>
        <v>-</v>
      </c>
      <c r="V30" s="18" t="str">
        <f t="shared" si="5"/>
        <v>-</v>
      </c>
      <c r="W30" s="3" t="s">
        <v>20</v>
      </c>
      <c r="X30" s="18" t="str">
        <f>IFERROR(AVERAGEIFS('BDT''s'!W:W,'BDT''s'!L:L,VMI!W30,'BDT''s'!F:F,VMI!B30,'BDT''s'!E:E,VMI!A30),"-")</f>
        <v>-</v>
      </c>
      <c r="Y30" s="18" t="str" cm="1">
        <f t="array" ref="Y30">IFERROR(_xlfn.PERCENTILE.INC(_xlfn._xlws.FILTER('BDT''s'!W:W,('BDT''s'!L:L=VMI!W30)*('BDT''s'!F:F=VMI!B30)*('BDT''s'!E:E=VMI!A30)),0.5),"-")</f>
        <v>-</v>
      </c>
      <c r="Z30" s="18" t="str" cm="1">
        <f t="array" ref="Z30">IFERROR(_xlfn.PERCENTILE.INC(_xlfn._xlws.FILTER('BDT''s'!W:W,('BDT''s'!L:L=VMI!W30)*('BDT''s'!F:F=VMI!B30)*('BDT''s'!E:E=VMI!A30)),0.75),"-")</f>
        <v>-</v>
      </c>
      <c r="AA30" s="18">
        <f>IFERROR(_xlfn.MAXIFS('BDT''s'!W:W,'BDT''s'!L:L,VMI!W30,'BDT''s'!F:F,VMI!B30,'BDT''s'!E:E,VMI!A30),"-")</f>
        <v>0</v>
      </c>
      <c r="AB30" s="16">
        <f>IFERROR(COUNTIFS('BDT''s'!L:L,VMI!W30,'BDT''s'!F:F,VMI!B30,'BDT''s'!E:E,VMI!A30),"-")</f>
        <v>0</v>
      </c>
      <c r="AC30" s="12" t="str">
        <f t="shared" si="6"/>
        <v>-</v>
      </c>
      <c r="AD30" s="16" t="str">
        <f t="shared" si="7"/>
        <v>-</v>
      </c>
      <c r="AE30" s="18" t="str">
        <f>IFERROR(AVERAGEIFS('BDT''s'!$W:$W,'BDT''s'!$L:$L,VMI!W30,'BDT''s'!$F:$F,VMI!$B30,'BDT''s'!$E:$E,VMI!$A30)*AD30,"-")</f>
        <v>-</v>
      </c>
      <c r="AF30" s="18" t="str">
        <f t="shared" si="8"/>
        <v>-</v>
      </c>
    </row>
    <row r="31" spans="1:32" x14ac:dyDescent="0.3">
      <c r="A31" s="15">
        <v>0.3</v>
      </c>
      <c r="B31" s="12" t="s">
        <v>33</v>
      </c>
      <c r="C31" s="3" t="s">
        <v>18</v>
      </c>
      <c r="D31" s="18" t="str">
        <f>IFERROR(AVERAGEIFS('BDT''s'!W:W,'BDT''s'!L:L,VMI!C31,'BDT''s'!F:F,VMI!B31,'BDT''s'!E:E,VMI!A31),"-")</f>
        <v>-</v>
      </c>
      <c r="E31" s="18" t="str" cm="1">
        <f t="array" ref="E31">IFERROR(_xlfn.PERCENTILE.INC(_xlfn._xlws.FILTER('BDT''s'!W:W,('BDT''s'!L:L=VMI!C31)*('BDT''s'!F:F=VMI!B31)*('BDT''s'!E:E=VMI!A31)),0.5),"-")</f>
        <v>-</v>
      </c>
      <c r="F31" s="18" t="str" cm="1">
        <f t="array" ref="F31">IFERROR(_xlfn.PERCENTILE.INC(_xlfn._xlws.FILTER('BDT''s'!W:W,('BDT''s'!L:L=VMI!C31)*('BDT''s'!F:F=VMI!B31)*('BDT''s'!E:E=VMI!A31)),0.75),"-")</f>
        <v>-</v>
      </c>
      <c r="G31" s="18">
        <f>IFERROR(_xlfn.MAXIFS('BDT''s'!W:W,'BDT''s'!L:L,VMI!C31,'BDT''s'!F:F,VMI!B31,'BDT''s'!E:E,VMI!A31),"-")</f>
        <v>0</v>
      </c>
      <c r="H31" s="16">
        <f>IFERROR(COUNTIFS('BDT''s'!L:L,VMI!C31,'BDT''s'!F:F,VMI!B31,'BDT''s'!E:E,VMI!A31),"-")</f>
        <v>0</v>
      </c>
      <c r="I31" s="12" t="str">
        <f t="shared" si="0"/>
        <v>-</v>
      </c>
      <c r="J31" s="16" t="str">
        <f t="shared" si="1"/>
        <v>-</v>
      </c>
      <c r="K31" s="18" t="str">
        <f>IFERROR(AVERAGEIFS('BDT''s'!$W:$W,'BDT''s'!$L:$L,VMI!C31,'BDT''s'!$F:$F,VMI!$B31,'BDT''s'!$E:$E,VMI!$A31)*J31,"-")</f>
        <v>-</v>
      </c>
      <c r="L31" s="18" t="str">
        <f t="shared" si="2"/>
        <v>-</v>
      </c>
      <c r="M31" s="3" t="s">
        <v>19</v>
      </c>
      <c r="N31" s="18" t="str">
        <f>IFERROR(AVERAGEIFS('BDT''s'!W:W,'BDT''s'!L:L,VMI!M31,'BDT''s'!F:F,VMI!B31,'BDT''s'!E:E,VMI!A31),"-")</f>
        <v>-</v>
      </c>
      <c r="O31" s="18" t="str" cm="1">
        <f t="array" ref="O31">IFERROR(_xlfn.PERCENTILE.INC(_xlfn._xlws.FILTER('BDT''s'!W:W,('BDT''s'!L:L=VMI!M31)*('BDT''s'!F:F=VMI!B31)*('BDT''s'!E:E=VMI!A31)),0.5),"-")</f>
        <v>-</v>
      </c>
      <c r="P31" s="18" t="str" cm="1">
        <f t="array" ref="P31">IFERROR(_xlfn.PERCENTILE.INC(_xlfn._xlws.FILTER('BDT''s'!W:W,('BDT''s'!L:L=VMI!M31)*('BDT''s'!F:F=VMI!B31)*('BDT''s'!E:E=VMI!A31)),0.75),"-")</f>
        <v>-</v>
      </c>
      <c r="Q31" s="18">
        <f>IFERROR(_xlfn.MAXIFS('BDT''s'!W:W,'BDT''s'!L:L,VMI!M31,'BDT''s'!F:F,VMI!B31,'BDT''s'!E:E,VMI!A31),"-")</f>
        <v>0</v>
      </c>
      <c r="R31" s="16">
        <f>IFERROR(COUNTIFS('BDT''s'!L:L,VMI!M31,'BDT''s'!F:F,VMI!B31,'BDT''s'!E:E,VMI!A31),"-")</f>
        <v>0</v>
      </c>
      <c r="S31" s="12" t="str">
        <f t="shared" si="3"/>
        <v>-</v>
      </c>
      <c r="T31" s="16" t="str">
        <f t="shared" si="4"/>
        <v>-</v>
      </c>
      <c r="U31" s="18" t="str">
        <f>IFERROR(AVERAGEIFS('BDT''s'!$W:$W,'BDT''s'!$L:$L,VMI!M31,'BDT''s'!$F:$F,VMI!$B31,'BDT''s'!$E:$E,VMI!$A31)*T31,"-")</f>
        <v>-</v>
      </c>
      <c r="V31" s="18" t="str">
        <f t="shared" si="5"/>
        <v>-</v>
      </c>
      <c r="W31" s="3" t="s">
        <v>20</v>
      </c>
      <c r="X31" s="18" t="str">
        <f>IFERROR(AVERAGEIFS('BDT''s'!W:W,'BDT''s'!L:L,VMI!W31,'BDT''s'!F:F,VMI!B31,'BDT''s'!E:E,VMI!A31),"-")</f>
        <v>-</v>
      </c>
      <c r="Y31" s="18" t="str" cm="1">
        <f t="array" ref="Y31">IFERROR(_xlfn.PERCENTILE.INC(_xlfn._xlws.FILTER('BDT''s'!W:W,('BDT''s'!L:L=VMI!W31)*('BDT''s'!F:F=VMI!B31)*('BDT''s'!E:E=VMI!A31)),0.5),"-")</f>
        <v>-</v>
      </c>
      <c r="Z31" s="18" t="str" cm="1">
        <f t="array" ref="Z31">IFERROR(_xlfn.PERCENTILE.INC(_xlfn._xlws.FILTER('BDT''s'!W:W,('BDT''s'!L:L=VMI!W31)*('BDT''s'!F:F=VMI!B31)*('BDT''s'!E:E=VMI!A31)),0.75),"-")</f>
        <v>-</v>
      </c>
      <c r="AA31" s="18">
        <f>IFERROR(_xlfn.MAXIFS('BDT''s'!W:W,'BDT''s'!L:L,VMI!W31,'BDT''s'!F:F,VMI!B31,'BDT''s'!E:E,VMI!A31),"-")</f>
        <v>0</v>
      </c>
      <c r="AB31" s="16">
        <f>IFERROR(COUNTIFS('BDT''s'!L:L,VMI!W31,'BDT''s'!F:F,VMI!B31,'BDT''s'!E:E,VMI!A31),"-")</f>
        <v>0</v>
      </c>
      <c r="AC31" s="12" t="str">
        <f t="shared" si="6"/>
        <v>-</v>
      </c>
      <c r="AD31" s="16" t="str">
        <f t="shared" si="7"/>
        <v>-</v>
      </c>
      <c r="AE31" s="18" t="str">
        <f>IFERROR(AVERAGEIFS('BDT''s'!$W:$W,'BDT''s'!$L:$L,VMI!W31,'BDT''s'!$F:$F,VMI!$B31,'BDT''s'!$E:$E,VMI!$A31)*AD31,"-")</f>
        <v>-</v>
      </c>
      <c r="AF31" s="18" t="str">
        <f t="shared" si="8"/>
        <v>-</v>
      </c>
    </row>
    <row r="32" spans="1:32" x14ac:dyDescent="0.3">
      <c r="A32" s="15">
        <v>0.31</v>
      </c>
      <c r="B32" s="12" t="s">
        <v>34</v>
      </c>
      <c r="C32" s="3" t="s">
        <v>18</v>
      </c>
      <c r="D32" s="18" t="str">
        <f>IFERROR(AVERAGEIFS('BDT''s'!W:W,'BDT''s'!L:L,VMI!C32,'BDT''s'!F:F,VMI!B32,'BDT''s'!E:E,VMI!A32),"-")</f>
        <v>-</v>
      </c>
      <c r="E32" s="18" t="str" cm="1">
        <f t="array" ref="E32">IFERROR(_xlfn.PERCENTILE.INC(_xlfn._xlws.FILTER('BDT''s'!W:W,('BDT''s'!L:L=VMI!C32)*('BDT''s'!F:F=VMI!B32)*('BDT''s'!E:E=VMI!A32)),0.5),"-")</f>
        <v>-</v>
      </c>
      <c r="F32" s="18" t="str" cm="1">
        <f t="array" ref="F32">IFERROR(_xlfn.PERCENTILE.INC(_xlfn._xlws.FILTER('BDT''s'!W:W,('BDT''s'!L:L=VMI!C32)*('BDT''s'!F:F=VMI!B32)*('BDT''s'!E:E=VMI!A32)),0.75),"-")</f>
        <v>-</v>
      </c>
      <c r="G32" s="18">
        <f>IFERROR(_xlfn.MAXIFS('BDT''s'!W:W,'BDT''s'!L:L,VMI!C32,'BDT''s'!F:F,VMI!B32,'BDT''s'!E:E,VMI!A32),"-")</f>
        <v>0</v>
      </c>
      <c r="H32" s="16">
        <f>IFERROR(COUNTIFS('BDT''s'!L:L,VMI!C32,'BDT''s'!F:F,VMI!B32,'BDT''s'!E:E,VMI!A32),"-")</f>
        <v>0</v>
      </c>
      <c r="I32" s="12" t="str">
        <f t="shared" si="0"/>
        <v>-</v>
      </c>
      <c r="J32" s="16" t="str">
        <f t="shared" si="1"/>
        <v>-</v>
      </c>
      <c r="K32" s="18" t="str">
        <f>IFERROR(AVERAGEIFS('BDT''s'!$W:$W,'BDT''s'!$L:$L,VMI!C32,'BDT''s'!$F:$F,VMI!$B32,'BDT''s'!$E:$E,VMI!$A32)*J32,"-")</f>
        <v>-</v>
      </c>
      <c r="L32" s="18" t="str">
        <f t="shared" si="2"/>
        <v>-</v>
      </c>
      <c r="M32" s="3" t="s">
        <v>19</v>
      </c>
      <c r="N32" s="18" t="str">
        <f>IFERROR(AVERAGEIFS('BDT''s'!W:W,'BDT''s'!L:L,VMI!M32,'BDT''s'!F:F,VMI!B32,'BDT''s'!E:E,VMI!A32),"-")</f>
        <v>-</v>
      </c>
      <c r="O32" s="18" t="str" cm="1">
        <f t="array" ref="O32">IFERROR(_xlfn.PERCENTILE.INC(_xlfn._xlws.FILTER('BDT''s'!W:W,('BDT''s'!L:L=VMI!M32)*('BDT''s'!F:F=VMI!B32)*('BDT''s'!E:E=VMI!A32)),0.5),"-")</f>
        <v>-</v>
      </c>
      <c r="P32" s="18" t="str" cm="1">
        <f t="array" ref="P32">IFERROR(_xlfn.PERCENTILE.INC(_xlfn._xlws.FILTER('BDT''s'!W:W,('BDT''s'!L:L=VMI!M32)*('BDT''s'!F:F=VMI!B32)*('BDT''s'!E:E=VMI!A32)),0.75),"-")</f>
        <v>-</v>
      </c>
      <c r="Q32" s="18">
        <f>IFERROR(_xlfn.MAXIFS('BDT''s'!W:W,'BDT''s'!L:L,VMI!M32,'BDT''s'!F:F,VMI!B32,'BDT''s'!E:E,VMI!A32),"-")</f>
        <v>0</v>
      </c>
      <c r="R32" s="16">
        <f>IFERROR(COUNTIFS('BDT''s'!L:L,VMI!M32,'BDT''s'!F:F,VMI!B32,'BDT''s'!E:E,VMI!A32),"-")</f>
        <v>0</v>
      </c>
      <c r="S32" s="12" t="str">
        <f t="shared" si="3"/>
        <v>-</v>
      </c>
      <c r="T32" s="16" t="str">
        <f t="shared" si="4"/>
        <v>-</v>
      </c>
      <c r="U32" s="18" t="str">
        <f>IFERROR(AVERAGEIFS('BDT''s'!$W:$W,'BDT''s'!$L:$L,VMI!M32,'BDT''s'!$F:$F,VMI!$B32,'BDT''s'!$E:$E,VMI!$A32)*T32,"-")</f>
        <v>-</v>
      </c>
      <c r="V32" s="18" t="str">
        <f t="shared" si="5"/>
        <v>-</v>
      </c>
      <c r="W32" s="3" t="s">
        <v>20</v>
      </c>
      <c r="X32" s="18" t="str">
        <f>IFERROR(AVERAGEIFS('BDT''s'!W:W,'BDT''s'!L:L,VMI!W32,'BDT''s'!F:F,VMI!B32,'BDT''s'!E:E,VMI!A32),"-")</f>
        <v>-</v>
      </c>
      <c r="Y32" s="18" t="str" cm="1">
        <f t="array" ref="Y32">IFERROR(_xlfn.PERCENTILE.INC(_xlfn._xlws.FILTER('BDT''s'!W:W,('BDT''s'!L:L=VMI!W32)*('BDT''s'!F:F=VMI!B32)*('BDT''s'!E:E=VMI!A32)),0.5),"-")</f>
        <v>-</v>
      </c>
      <c r="Z32" s="18" t="str" cm="1">
        <f t="array" ref="Z32">IFERROR(_xlfn.PERCENTILE.INC(_xlfn._xlws.FILTER('BDT''s'!W:W,('BDT''s'!L:L=VMI!W32)*('BDT''s'!F:F=VMI!B32)*('BDT''s'!E:E=VMI!A32)),0.75),"-")</f>
        <v>-</v>
      </c>
      <c r="AA32" s="18">
        <f>IFERROR(_xlfn.MAXIFS('BDT''s'!W:W,'BDT''s'!L:L,VMI!W32,'BDT''s'!F:F,VMI!B32,'BDT''s'!E:E,VMI!A32),"-")</f>
        <v>0</v>
      </c>
      <c r="AB32" s="16">
        <f>IFERROR(COUNTIFS('BDT''s'!L:L,VMI!W32,'BDT''s'!F:F,VMI!B32,'BDT''s'!E:E,VMI!A32),"-")</f>
        <v>0</v>
      </c>
      <c r="AC32" s="12" t="str">
        <f t="shared" si="6"/>
        <v>-</v>
      </c>
      <c r="AD32" s="16" t="str">
        <f t="shared" si="7"/>
        <v>-</v>
      </c>
      <c r="AE32" s="18" t="str">
        <f>IFERROR(AVERAGEIFS('BDT''s'!$W:$W,'BDT''s'!$L:$L,VMI!W32,'BDT''s'!$F:$F,VMI!$B32,'BDT''s'!$E:$E,VMI!$A32)*AD32,"-")</f>
        <v>-</v>
      </c>
      <c r="AF32" s="18" t="str">
        <f t="shared" si="8"/>
        <v>-</v>
      </c>
    </row>
    <row r="33" spans="1:32" x14ac:dyDescent="0.3">
      <c r="A33" s="15">
        <v>0.32</v>
      </c>
      <c r="B33" s="12" t="s">
        <v>34</v>
      </c>
      <c r="C33" s="3" t="s">
        <v>18</v>
      </c>
      <c r="D33" s="18" t="str">
        <f>IFERROR(AVERAGEIFS('BDT''s'!W:W,'BDT''s'!L:L,VMI!C33,'BDT''s'!F:F,VMI!B33,'BDT''s'!E:E,VMI!A33),"-")</f>
        <v>-</v>
      </c>
      <c r="E33" s="18" t="str" cm="1">
        <f t="array" ref="E33">IFERROR(_xlfn.PERCENTILE.INC(_xlfn._xlws.FILTER('BDT''s'!W:W,('BDT''s'!L:L=VMI!C33)*('BDT''s'!F:F=VMI!B33)*('BDT''s'!E:E=VMI!A33)),0.5),"-")</f>
        <v>-</v>
      </c>
      <c r="F33" s="18" t="str" cm="1">
        <f t="array" ref="F33">IFERROR(_xlfn.PERCENTILE.INC(_xlfn._xlws.FILTER('BDT''s'!W:W,('BDT''s'!L:L=VMI!C33)*('BDT''s'!F:F=VMI!B33)*('BDT''s'!E:E=VMI!A33)),0.75),"-")</f>
        <v>-</v>
      </c>
      <c r="G33" s="18">
        <f>IFERROR(_xlfn.MAXIFS('BDT''s'!W:W,'BDT''s'!L:L,VMI!C33,'BDT''s'!F:F,VMI!B33,'BDT''s'!E:E,VMI!A33),"-")</f>
        <v>0</v>
      </c>
      <c r="H33" s="16">
        <f>IFERROR(COUNTIFS('BDT''s'!L:L,VMI!C33,'BDT''s'!F:F,VMI!B33,'BDT''s'!E:E,VMI!A33),"-")</f>
        <v>0</v>
      </c>
      <c r="I33" s="12" t="str">
        <f t="shared" si="0"/>
        <v>-</v>
      </c>
      <c r="J33" s="16" t="str">
        <f t="shared" si="1"/>
        <v>-</v>
      </c>
      <c r="K33" s="18" t="str">
        <f>IFERROR(AVERAGEIFS('BDT''s'!$W:$W,'BDT''s'!$L:$L,VMI!C33,'BDT''s'!$F:$F,VMI!$B33,'BDT''s'!$E:$E,VMI!$A33)*J33,"-")</f>
        <v>-</v>
      </c>
      <c r="L33" s="18" t="str">
        <f t="shared" si="2"/>
        <v>-</v>
      </c>
      <c r="M33" s="3" t="s">
        <v>19</v>
      </c>
      <c r="N33" s="18" t="str">
        <f>IFERROR(AVERAGEIFS('BDT''s'!W:W,'BDT''s'!L:L,VMI!M33,'BDT''s'!F:F,VMI!B33,'BDT''s'!E:E,VMI!A33),"-")</f>
        <v>-</v>
      </c>
      <c r="O33" s="18" t="str" cm="1">
        <f t="array" ref="O33">IFERROR(_xlfn.PERCENTILE.INC(_xlfn._xlws.FILTER('BDT''s'!W:W,('BDT''s'!L:L=VMI!M33)*('BDT''s'!F:F=VMI!B33)*('BDT''s'!E:E=VMI!A33)),0.5),"-")</f>
        <v>-</v>
      </c>
      <c r="P33" s="18" t="str" cm="1">
        <f t="array" ref="P33">IFERROR(_xlfn.PERCENTILE.INC(_xlfn._xlws.FILTER('BDT''s'!W:W,('BDT''s'!L:L=VMI!M33)*('BDT''s'!F:F=VMI!B33)*('BDT''s'!E:E=VMI!A33)),0.75),"-")</f>
        <v>-</v>
      </c>
      <c r="Q33" s="18">
        <f>IFERROR(_xlfn.MAXIFS('BDT''s'!W:W,'BDT''s'!L:L,VMI!M33,'BDT''s'!F:F,VMI!B33,'BDT''s'!E:E,VMI!A33),"-")</f>
        <v>0</v>
      </c>
      <c r="R33" s="16">
        <f>IFERROR(COUNTIFS('BDT''s'!L:L,VMI!M33,'BDT''s'!F:F,VMI!B33,'BDT''s'!E:E,VMI!A33),"-")</f>
        <v>0</v>
      </c>
      <c r="S33" s="12" t="str">
        <f t="shared" si="3"/>
        <v>-</v>
      </c>
      <c r="T33" s="16" t="str">
        <f t="shared" si="4"/>
        <v>-</v>
      </c>
      <c r="U33" s="18" t="str">
        <f>IFERROR(AVERAGEIFS('BDT''s'!$W:$W,'BDT''s'!$L:$L,VMI!M33,'BDT''s'!$F:$F,VMI!$B33,'BDT''s'!$E:$E,VMI!$A33)*T33,"-")</f>
        <v>-</v>
      </c>
      <c r="V33" s="18" t="str">
        <f t="shared" si="5"/>
        <v>-</v>
      </c>
      <c r="W33" s="3" t="s">
        <v>20</v>
      </c>
      <c r="X33" s="18" t="str">
        <f>IFERROR(AVERAGEIFS('BDT''s'!W:W,'BDT''s'!L:L,VMI!W33,'BDT''s'!F:F,VMI!B33,'BDT''s'!E:E,VMI!A33),"-")</f>
        <v>-</v>
      </c>
      <c r="Y33" s="18" t="str" cm="1">
        <f t="array" ref="Y33">IFERROR(_xlfn.PERCENTILE.INC(_xlfn._xlws.FILTER('BDT''s'!W:W,('BDT''s'!L:L=VMI!W33)*('BDT''s'!F:F=VMI!B33)*('BDT''s'!E:E=VMI!A33)),0.5),"-")</f>
        <v>-</v>
      </c>
      <c r="Z33" s="18" t="str" cm="1">
        <f t="array" ref="Z33">IFERROR(_xlfn.PERCENTILE.INC(_xlfn._xlws.FILTER('BDT''s'!W:W,('BDT''s'!L:L=VMI!W33)*('BDT''s'!F:F=VMI!B33)*('BDT''s'!E:E=VMI!A33)),0.75),"-")</f>
        <v>-</v>
      </c>
      <c r="AA33" s="18">
        <f>IFERROR(_xlfn.MAXIFS('BDT''s'!W:W,'BDT''s'!L:L,VMI!W33,'BDT''s'!F:F,VMI!B33,'BDT''s'!E:E,VMI!A33),"-")</f>
        <v>0</v>
      </c>
      <c r="AB33" s="16">
        <f>IFERROR(COUNTIFS('BDT''s'!L:L,VMI!W33,'BDT''s'!F:F,VMI!B33,'BDT''s'!E:E,VMI!A33),"-")</f>
        <v>0</v>
      </c>
      <c r="AC33" s="12" t="str">
        <f t="shared" si="6"/>
        <v>-</v>
      </c>
      <c r="AD33" s="16" t="str">
        <f t="shared" si="7"/>
        <v>-</v>
      </c>
      <c r="AE33" s="18" t="str">
        <f>IFERROR(AVERAGEIFS('BDT''s'!$W:$W,'BDT''s'!$L:$L,VMI!W33,'BDT''s'!$F:$F,VMI!$B33,'BDT''s'!$E:$E,VMI!$A33)*AD33,"-")</f>
        <v>-</v>
      </c>
      <c r="AF33" s="18" t="str">
        <f t="shared" si="8"/>
        <v>-</v>
      </c>
    </row>
    <row r="34" spans="1:32" x14ac:dyDescent="0.3">
      <c r="A34" s="15">
        <v>0.33</v>
      </c>
      <c r="B34" s="12" t="s">
        <v>34</v>
      </c>
      <c r="C34" s="3" t="s">
        <v>18</v>
      </c>
      <c r="D34" s="18" t="str">
        <f>IFERROR(AVERAGEIFS('BDT''s'!W:W,'BDT''s'!L:L,VMI!C34,'BDT''s'!F:F,VMI!B34,'BDT''s'!E:E,VMI!A34),"-")</f>
        <v>-</v>
      </c>
      <c r="E34" s="18" t="str" cm="1">
        <f t="array" ref="E34">IFERROR(_xlfn.PERCENTILE.INC(_xlfn._xlws.FILTER('BDT''s'!W:W,('BDT''s'!L:L=VMI!C34)*('BDT''s'!F:F=VMI!B34)*('BDT''s'!E:E=VMI!A34)),0.5),"-")</f>
        <v>-</v>
      </c>
      <c r="F34" s="18" t="str" cm="1">
        <f t="array" ref="F34">IFERROR(_xlfn.PERCENTILE.INC(_xlfn._xlws.FILTER('BDT''s'!W:W,('BDT''s'!L:L=VMI!C34)*('BDT''s'!F:F=VMI!B34)*('BDT''s'!E:E=VMI!A34)),0.75),"-")</f>
        <v>-</v>
      </c>
      <c r="G34" s="18">
        <f>IFERROR(_xlfn.MAXIFS('BDT''s'!W:W,'BDT''s'!L:L,VMI!C34,'BDT''s'!F:F,VMI!B34,'BDT''s'!E:E,VMI!A34),"-")</f>
        <v>0</v>
      </c>
      <c r="H34" s="16">
        <f>IFERROR(COUNTIFS('BDT''s'!L:L,VMI!C34,'BDT''s'!F:F,VMI!B34,'BDT''s'!E:E,VMI!A34),"-")</f>
        <v>0</v>
      </c>
      <c r="I34" s="12" t="str">
        <f t="shared" si="0"/>
        <v>-</v>
      </c>
      <c r="J34" s="16" t="str">
        <f t="shared" si="1"/>
        <v>-</v>
      </c>
      <c r="K34" s="18" t="str">
        <f>IFERROR(AVERAGEIFS('BDT''s'!$W:$W,'BDT''s'!$L:$L,VMI!C34,'BDT''s'!$F:$F,VMI!$B34,'BDT''s'!$E:$E,VMI!$A34)*J34,"-")</f>
        <v>-</v>
      </c>
      <c r="L34" s="18" t="str">
        <f t="shared" si="2"/>
        <v>-</v>
      </c>
      <c r="M34" s="3" t="s">
        <v>19</v>
      </c>
      <c r="N34" s="18" t="str">
        <f>IFERROR(AVERAGEIFS('BDT''s'!W:W,'BDT''s'!L:L,VMI!M34,'BDT''s'!F:F,VMI!B34,'BDT''s'!E:E,VMI!A34),"-")</f>
        <v>-</v>
      </c>
      <c r="O34" s="18" t="str" cm="1">
        <f t="array" ref="O34">IFERROR(_xlfn.PERCENTILE.INC(_xlfn._xlws.FILTER('BDT''s'!W:W,('BDT''s'!L:L=VMI!M34)*('BDT''s'!F:F=VMI!B34)*('BDT''s'!E:E=VMI!A34)),0.5),"-")</f>
        <v>-</v>
      </c>
      <c r="P34" s="18" t="str" cm="1">
        <f t="array" ref="P34">IFERROR(_xlfn.PERCENTILE.INC(_xlfn._xlws.FILTER('BDT''s'!W:W,('BDT''s'!L:L=VMI!M34)*('BDT''s'!F:F=VMI!B34)*('BDT''s'!E:E=VMI!A34)),0.75),"-")</f>
        <v>-</v>
      </c>
      <c r="Q34" s="18">
        <f>IFERROR(_xlfn.MAXIFS('BDT''s'!W:W,'BDT''s'!L:L,VMI!M34,'BDT''s'!F:F,VMI!B34,'BDT''s'!E:E,VMI!A34),"-")</f>
        <v>0</v>
      </c>
      <c r="R34" s="16">
        <f>IFERROR(COUNTIFS('BDT''s'!L:L,VMI!M34,'BDT''s'!F:F,VMI!B34,'BDT''s'!E:E,VMI!A34),"-")</f>
        <v>0</v>
      </c>
      <c r="S34" s="12" t="str">
        <f t="shared" si="3"/>
        <v>-</v>
      </c>
      <c r="T34" s="16" t="str">
        <f t="shared" si="4"/>
        <v>-</v>
      </c>
      <c r="U34" s="18" t="str">
        <f>IFERROR(AVERAGEIFS('BDT''s'!$W:$W,'BDT''s'!$L:$L,VMI!M34,'BDT''s'!$F:$F,VMI!$B34,'BDT''s'!$E:$E,VMI!$A34)*T34,"-")</f>
        <v>-</v>
      </c>
      <c r="V34" s="18" t="str">
        <f t="shared" si="5"/>
        <v>-</v>
      </c>
      <c r="W34" s="3" t="s">
        <v>20</v>
      </c>
      <c r="X34" s="18" t="str">
        <f>IFERROR(AVERAGEIFS('BDT''s'!W:W,'BDT''s'!L:L,VMI!W34,'BDT''s'!F:F,VMI!B34,'BDT''s'!E:E,VMI!A34),"-")</f>
        <v>-</v>
      </c>
      <c r="Y34" s="18" t="str" cm="1">
        <f t="array" ref="Y34">IFERROR(_xlfn.PERCENTILE.INC(_xlfn._xlws.FILTER('BDT''s'!W:W,('BDT''s'!L:L=VMI!W34)*('BDT''s'!F:F=VMI!B34)*('BDT''s'!E:E=VMI!A34)),0.5),"-")</f>
        <v>-</v>
      </c>
      <c r="Z34" s="18" t="str" cm="1">
        <f t="array" ref="Z34">IFERROR(_xlfn.PERCENTILE.INC(_xlfn._xlws.FILTER('BDT''s'!W:W,('BDT''s'!L:L=VMI!W34)*('BDT''s'!F:F=VMI!B34)*('BDT''s'!E:E=VMI!A34)),0.75),"-")</f>
        <v>-</v>
      </c>
      <c r="AA34" s="18">
        <f>IFERROR(_xlfn.MAXIFS('BDT''s'!W:W,'BDT''s'!L:L,VMI!W34,'BDT''s'!F:F,VMI!B34,'BDT''s'!E:E,VMI!A34),"-")</f>
        <v>0</v>
      </c>
      <c r="AB34" s="16">
        <f>IFERROR(COUNTIFS('BDT''s'!L:L,VMI!W34,'BDT''s'!F:F,VMI!B34,'BDT''s'!E:E,VMI!A34),"-")</f>
        <v>0</v>
      </c>
      <c r="AC34" s="12" t="str">
        <f t="shared" si="6"/>
        <v>-</v>
      </c>
      <c r="AD34" s="16" t="str">
        <f t="shared" si="7"/>
        <v>-</v>
      </c>
      <c r="AE34" s="18" t="str">
        <f>IFERROR(AVERAGEIFS('BDT''s'!$W:$W,'BDT''s'!$L:$L,VMI!W34,'BDT''s'!$F:$F,VMI!$B34,'BDT''s'!$E:$E,VMI!$A34)*AD34,"-")</f>
        <v>-</v>
      </c>
      <c r="AF34" s="18" t="str">
        <f t="shared" si="8"/>
        <v>-</v>
      </c>
    </row>
    <row r="35" spans="1:32" x14ac:dyDescent="0.3">
      <c r="A35" s="15">
        <v>0.34</v>
      </c>
      <c r="B35" s="12" t="s">
        <v>34</v>
      </c>
      <c r="C35" s="3" t="s">
        <v>18</v>
      </c>
      <c r="D35" s="18" t="str">
        <f>IFERROR(AVERAGEIFS('BDT''s'!W:W,'BDT''s'!L:L,VMI!C35,'BDT''s'!F:F,VMI!B35,'BDT''s'!E:E,VMI!A35),"-")</f>
        <v>-</v>
      </c>
      <c r="E35" s="18" t="str" cm="1">
        <f t="array" ref="E35">IFERROR(_xlfn.PERCENTILE.INC(_xlfn._xlws.FILTER('BDT''s'!W:W,('BDT''s'!L:L=VMI!C35)*('BDT''s'!F:F=VMI!B35)*('BDT''s'!E:E=VMI!A35)),0.5),"-")</f>
        <v>-</v>
      </c>
      <c r="F35" s="18" t="str" cm="1">
        <f t="array" ref="F35">IFERROR(_xlfn.PERCENTILE.INC(_xlfn._xlws.FILTER('BDT''s'!W:W,('BDT''s'!L:L=VMI!C35)*('BDT''s'!F:F=VMI!B35)*('BDT''s'!E:E=VMI!A35)),0.75),"-")</f>
        <v>-</v>
      </c>
      <c r="G35" s="18">
        <f>IFERROR(_xlfn.MAXIFS('BDT''s'!W:W,'BDT''s'!L:L,VMI!C35,'BDT''s'!F:F,VMI!B35,'BDT''s'!E:E,VMI!A35),"-")</f>
        <v>0</v>
      </c>
      <c r="H35" s="16">
        <f>IFERROR(COUNTIFS('BDT''s'!L:L,VMI!C35,'BDT''s'!F:F,VMI!B35,'BDT''s'!E:E,VMI!A35),"-")</f>
        <v>0</v>
      </c>
      <c r="I35" s="12" t="str">
        <f t="shared" si="0"/>
        <v>-</v>
      </c>
      <c r="J35" s="16" t="str">
        <f t="shared" si="1"/>
        <v>-</v>
      </c>
      <c r="K35" s="18" t="str">
        <f>IFERROR(AVERAGEIFS('BDT''s'!$W:$W,'BDT''s'!$L:$L,VMI!C35,'BDT''s'!$F:$F,VMI!$B35,'BDT''s'!$E:$E,VMI!$A35)*J35,"-")</f>
        <v>-</v>
      </c>
      <c r="L35" s="18" t="str">
        <f t="shared" si="2"/>
        <v>-</v>
      </c>
      <c r="M35" s="3" t="s">
        <v>19</v>
      </c>
      <c r="N35" s="18" t="str">
        <f>IFERROR(AVERAGEIFS('BDT''s'!W:W,'BDT''s'!L:L,VMI!M35,'BDT''s'!F:F,VMI!B35,'BDT''s'!E:E,VMI!A35),"-")</f>
        <v>-</v>
      </c>
      <c r="O35" s="18" t="str" cm="1">
        <f t="array" ref="O35">IFERROR(_xlfn.PERCENTILE.INC(_xlfn._xlws.FILTER('BDT''s'!W:W,('BDT''s'!L:L=VMI!M35)*('BDT''s'!F:F=VMI!B35)*('BDT''s'!E:E=VMI!A35)),0.5),"-")</f>
        <v>-</v>
      </c>
      <c r="P35" s="18" t="str" cm="1">
        <f t="array" ref="P35">IFERROR(_xlfn.PERCENTILE.INC(_xlfn._xlws.FILTER('BDT''s'!W:W,('BDT''s'!L:L=VMI!M35)*('BDT''s'!F:F=VMI!B35)*('BDT''s'!E:E=VMI!A35)),0.75),"-")</f>
        <v>-</v>
      </c>
      <c r="Q35" s="18">
        <f>IFERROR(_xlfn.MAXIFS('BDT''s'!W:W,'BDT''s'!L:L,VMI!M35,'BDT''s'!F:F,VMI!B35,'BDT''s'!E:E,VMI!A35),"-")</f>
        <v>0</v>
      </c>
      <c r="R35" s="16">
        <f>IFERROR(COUNTIFS('BDT''s'!L:L,VMI!M35,'BDT''s'!F:F,VMI!B35,'BDT''s'!E:E,VMI!A35),"-")</f>
        <v>0</v>
      </c>
      <c r="S35" s="12" t="str">
        <f t="shared" si="3"/>
        <v>-</v>
      </c>
      <c r="T35" s="16" t="str">
        <f t="shared" si="4"/>
        <v>-</v>
      </c>
      <c r="U35" s="18" t="str">
        <f>IFERROR(AVERAGEIFS('BDT''s'!$W:$W,'BDT''s'!$L:$L,VMI!M35,'BDT''s'!$F:$F,VMI!$B35,'BDT''s'!$E:$E,VMI!$A35)*T35,"-")</f>
        <v>-</v>
      </c>
      <c r="V35" s="18" t="str">
        <f t="shared" si="5"/>
        <v>-</v>
      </c>
      <c r="W35" s="3" t="s">
        <v>20</v>
      </c>
      <c r="X35" s="18" t="str">
        <f>IFERROR(AVERAGEIFS('BDT''s'!W:W,'BDT''s'!L:L,VMI!W35,'BDT''s'!F:F,VMI!B35,'BDT''s'!E:E,VMI!A35),"-")</f>
        <v>-</v>
      </c>
      <c r="Y35" s="18" t="str" cm="1">
        <f t="array" ref="Y35">IFERROR(_xlfn.PERCENTILE.INC(_xlfn._xlws.FILTER('BDT''s'!W:W,('BDT''s'!L:L=VMI!W35)*('BDT''s'!F:F=VMI!B35)*('BDT''s'!E:E=VMI!A35)),0.5),"-")</f>
        <v>-</v>
      </c>
      <c r="Z35" s="18" t="str" cm="1">
        <f t="array" ref="Z35">IFERROR(_xlfn.PERCENTILE.INC(_xlfn._xlws.FILTER('BDT''s'!W:W,('BDT''s'!L:L=VMI!W35)*('BDT''s'!F:F=VMI!B35)*('BDT''s'!E:E=VMI!A35)),0.75),"-")</f>
        <v>-</v>
      </c>
      <c r="AA35" s="18">
        <f>IFERROR(_xlfn.MAXIFS('BDT''s'!W:W,'BDT''s'!L:L,VMI!W35,'BDT''s'!F:F,VMI!B35,'BDT''s'!E:E,VMI!A35),"-")</f>
        <v>0</v>
      </c>
      <c r="AB35" s="16">
        <f>IFERROR(COUNTIFS('BDT''s'!L:L,VMI!W35,'BDT''s'!F:F,VMI!B35,'BDT''s'!E:E,VMI!A35),"-")</f>
        <v>0</v>
      </c>
      <c r="AC35" s="12" t="str">
        <f t="shared" si="6"/>
        <v>-</v>
      </c>
      <c r="AD35" s="16" t="str">
        <f t="shared" si="7"/>
        <v>-</v>
      </c>
      <c r="AE35" s="18" t="str">
        <f>IFERROR(AVERAGEIFS('BDT''s'!$W:$W,'BDT''s'!$L:$L,VMI!W35,'BDT''s'!$F:$F,VMI!$B35,'BDT''s'!$E:$E,VMI!$A35)*AD35,"-")</f>
        <v>-</v>
      </c>
      <c r="AF35" s="18" t="str">
        <f t="shared" si="8"/>
        <v>-</v>
      </c>
    </row>
    <row r="36" spans="1:32" x14ac:dyDescent="0.3">
      <c r="A36" s="15">
        <v>0.35</v>
      </c>
      <c r="B36" s="12" t="s">
        <v>34</v>
      </c>
      <c r="C36" s="3" t="s">
        <v>18</v>
      </c>
      <c r="D36" s="18" t="str">
        <f>IFERROR(AVERAGEIFS('BDT''s'!W:W,'BDT''s'!L:L,VMI!C36,'BDT''s'!F:F,VMI!B36,'BDT''s'!E:E,VMI!A36),"-")</f>
        <v>-</v>
      </c>
      <c r="E36" s="18" t="str" cm="1">
        <f t="array" ref="E36">IFERROR(_xlfn.PERCENTILE.INC(_xlfn._xlws.FILTER('BDT''s'!W:W,('BDT''s'!L:L=VMI!C36)*('BDT''s'!F:F=VMI!B36)*('BDT''s'!E:E=VMI!A36)),0.5),"-")</f>
        <v>-</v>
      </c>
      <c r="F36" s="18" t="str" cm="1">
        <f t="array" ref="F36">IFERROR(_xlfn.PERCENTILE.INC(_xlfn._xlws.FILTER('BDT''s'!W:W,('BDT''s'!L:L=VMI!C36)*('BDT''s'!F:F=VMI!B36)*('BDT''s'!E:E=VMI!A36)),0.75),"-")</f>
        <v>-</v>
      </c>
      <c r="G36" s="18">
        <f>IFERROR(_xlfn.MAXIFS('BDT''s'!W:W,'BDT''s'!L:L,VMI!C36,'BDT''s'!F:F,VMI!B36,'BDT''s'!E:E,VMI!A36),"-")</f>
        <v>0</v>
      </c>
      <c r="H36" s="16">
        <f>IFERROR(COUNTIFS('BDT''s'!L:L,VMI!C36,'BDT''s'!F:F,VMI!B36,'BDT''s'!E:E,VMI!A36),"-")</f>
        <v>0</v>
      </c>
      <c r="I36" s="12" t="str">
        <f t="shared" si="0"/>
        <v>-</v>
      </c>
      <c r="J36" s="16" t="str">
        <f t="shared" si="1"/>
        <v>-</v>
      </c>
      <c r="K36" s="18" t="str">
        <f>IFERROR(AVERAGEIFS('BDT''s'!$W:$W,'BDT''s'!$L:$L,VMI!C36,'BDT''s'!$F:$F,VMI!$B36,'BDT''s'!$E:$E,VMI!$A36)*J36,"-")</f>
        <v>-</v>
      </c>
      <c r="L36" s="18" t="str">
        <f t="shared" si="2"/>
        <v>-</v>
      </c>
      <c r="M36" s="3" t="s">
        <v>19</v>
      </c>
      <c r="N36" s="18" t="str">
        <f>IFERROR(AVERAGEIFS('BDT''s'!W:W,'BDT''s'!L:L,VMI!M36,'BDT''s'!F:F,VMI!B36,'BDT''s'!E:E,VMI!A36),"-")</f>
        <v>-</v>
      </c>
      <c r="O36" s="18" t="str" cm="1">
        <f t="array" ref="O36">IFERROR(_xlfn.PERCENTILE.INC(_xlfn._xlws.FILTER('BDT''s'!W:W,('BDT''s'!L:L=VMI!M36)*('BDT''s'!F:F=VMI!B36)*('BDT''s'!E:E=VMI!A36)),0.5),"-")</f>
        <v>-</v>
      </c>
      <c r="P36" s="18" t="str" cm="1">
        <f t="array" ref="P36">IFERROR(_xlfn.PERCENTILE.INC(_xlfn._xlws.FILTER('BDT''s'!W:W,('BDT''s'!L:L=VMI!M36)*('BDT''s'!F:F=VMI!B36)*('BDT''s'!E:E=VMI!A36)),0.75),"-")</f>
        <v>-</v>
      </c>
      <c r="Q36" s="18">
        <f>IFERROR(_xlfn.MAXIFS('BDT''s'!W:W,'BDT''s'!L:L,VMI!M36,'BDT''s'!F:F,VMI!B36,'BDT''s'!E:E,VMI!A36),"-")</f>
        <v>0</v>
      </c>
      <c r="R36" s="16">
        <f>IFERROR(COUNTIFS('BDT''s'!L:L,VMI!M36,'BDT''s'!F:F,VMI!B36,'BDT''s'!E:E,VMI!A36),"-")</f>
        <v>0</v>
      </c>
      <c r="S36" s="12" t="str">
        <f t="shared" si="3"/>
        <v>-</v>
      </c>
      <c r="T36" s="16" t="str">
        <f t="shared" si="4"/>
        <v>-</v>
      </c>
      <c r="U36" s="18" t="str">
        <f>IFERROR(AVERAGEIFS('BDT''s'!$W:$W,'BDT''s'!$L:$L,VMI!M36,'BDT''s'!$F:$F,VMI!$B36,'BDT''s'!$E:$E,VMI!$A36)*T36,"-")</f>
        <v>-</v>
      </c>
      <c r="V36" s="18" t="str">
        <f t="shared" si="5"/>
        <v>-</v>
      </c>
      <c r="W36" s="3" t="s">
        <v>20</v>
      </c>
      <c r="X36" s="18" t="str">
        <f>IFERROR(AVERAGEIFS('BDT''s'!W:W,'BDT''s'!L:L,VMI!W36,'BDT''s'!F:F,VMI!B36,'BDT''s'!E:E,VMI!A36),"-")</f>
        <v>-</v>
      </c>
      <c r="Y36" s="18" t="str" cm="1">
        <f t="array" ref="Y36">IFERROR(_xlfn.PERCENTILE.INC(_xlfn._xlws.FILTER('BDT''s'!W:W,('BDT''s'!L:L=VMI!W36)*('BDT''s'!F:F=VMI!B36)*('BDT''s'!E:E=VMI!A36)),0.5),"-")</f>
        <v>-</v>
      </c>
      <c r="Z36" s="18" t="str" cm="1">
        <f t="array" ref="Z36">IFERROR(_xlfn.PERCENTILE.INC(_xlfn._xlws.FILTER('BDT''s'!W:W,('BDT''s'!L:L=VMI!W36)*('BDT''s'!F:F=VMI!B36)*('BDT''s'!E:E=VMI!A36)),0.75),"-")</f>
        <v>-</v>
      </c>
      <c r="AA36" s="18">
        <f>IFERROR(_xlfn.MAXIFS('BDT''s'!W:W,'BDT''s'!L:L,VMI!W36,'BDT''s'!F:F,VMI!B36,'BDT''s'!E:E,VMI!A36),"-")</f>
        <v>0</v>
      </c>
      <c r="AB36" s="16">
        <f>IFERROR(COUNTIFS('BDT''s'!L:L,VMI!W36,'BDT''s'!F:F,VMI!B36,'BDT''s'!E:E,VMI!A36),"-")</f>
        <v>0</v>
      </c>
      <c r="AC36" s="12" t="str">
        <f t="shared" si="6"/>
        <v>-</v>
      </c>
      <c r="AD36" s="16" t="str">
        <f t="shared" si="7"/>
        <v>-</v>
      </c>
      <c r="AE36" s="18" t="str">
        <f>IFERROR(AVERAGEIFS('BDT''s'!$W:$W,'BDT''s'!$L:$L,VMI!W36,'BDT''s'!$F:$F,VMI!$B36,'BDT''s'!$E:$E,VMI!$A36)*AD36,"-")</f>
        <v>-</v>
      </c>
      <c r="AF36" s="18" t="str">
        <f t="shared" si="8"/>
        <v>-</v>
      </c>
    </row>
    <row r="37" spans="1:32" x14ac:dyDescent="0.3">
      <c r="A37" s="15">
        <v>0.36</v>
      </c>
      <c r="B37" s="12" t="s">
        <v>35</v>
      </c>
      <c r="C37" s="3" t="s">
        <v>18</v>
      </c>
      <c r="D37" s="18" t="str">
        <f>IFERROR(AVERAGEIFS('BDT''s'!W:W,'BDT''s'!L:L,VMI!C37,'BDT''s'!F:F,VMI!B37,'BDT''s'!E:E,VMI!A37),"-")</f>
        <v>-</v>
      </c>
      <c r="E37" s="18" t="str" cm="1">
        <f t="array" ref="E37">IFERROR(_xlfn.PERCENTILE.INC(_xlfn._xlws.FILTER('BDT''s'!W:W,('BDT''s'!L:L=VMI!C37)*('BDT''s'!F:F=VMI!B37)*('BDT''s'!E:E=VMI!A37)),0.5),"-")</f>
        <v>-</v>
      </c>
      <c r="F37" s="18" t="str" cm="1">
        <f t="array" ref="F37">IFERROR(_xlfn.PERCENTILE.INC(_xlfn._xlws.FILTER('BDT''s'!W:W,('BDT''s'!L:L=VMI!C37)*('BDT''s'!F:F=VMI!B37)*('BDT''s'!E:E=VMI!A37)),0.75),"-")</f>
        <v>-</v>
      </c>
      <c r="G37" s="18">
        <f>IFERROR(_xlfn.MAXIFS('BDT''s'!W:W,'BDT''s'!L:L,VMI!C37,'BDT''s'!F:F,VMI!B37,'BDT''s'!E:E,VMI!A37),"-")</f>
        <v>0</v>
      </c>
      <c r="H37" s="16">
        <f>IFERROR(COUNTIFS('BDT''s'!L:L,VMI!C37,'BDT''s'!F:F,VMI!B37,'BDT''s'!E:E,VMI!A37),"-")</f>
        <v>0</v>
      </c>
      <c r="I37" s="12" t="str">
        <f t="shared" si="0"/>
        <v>-</v>
      </c>
      <c r="J37" s="16" t="str">
        <f t="shared" si="1"/>
        <v>-</v>
      </c>
      <c r="K37" s="18" t="str">
        <f>IFERROR(AVERAGEIFS('BDT''s'!$W:$W,'BDT''s'!$L:$L,VMI!C37,'BDT''s'!$F:$F,VMI!$B37,'BDT''s'!$E:$E,VMI!$A37)*J37,"-")</f>
        <v>-</v>
      </c>
      <c r="L37" s="18" t="str">
        <f t="shared" si="2"/>
        <v>-</v>
      </c>
      <c r="M37" s="3" t="s">
        <v>19</v>
      </c>
      <c r="N37" s="18" t="str">
        <f>IFERROR(AVERAGEIFS('BDT''s'!W:W,'BDT''s'!L:L,VMI!M37,'BDT''s'!F:F,VMI!B37,'BDT''s'!E:E,VMI!A37),"-")</f>
        <v>-</v>
      </c>
      <c r="O37" s="18" t="str" cm="1">
        <f t="array" ref="O37">IFERROR(_xlfn.PERCENTILE.INC(_xlfn._xlws.FILTER('BDT''s'!W:W,('BDT''s'!L:L=VMI!M37)*('BDT''s'!F:F=VMI!B37)*('BDT''s'!E:E=VMI!A37)),0.5),"-")</f>
        <v>-</v>
      </c>
      <c r="P37" s="18" t="str" cm="1">
        <f t="array" ref="P37">IFERROR(_xlfn.PERCENTILE.INC(_xlfn._xlws.FILTER('BDT''s'!W:W,('BDT''s'!L:L=VMI!M37)*('BDT''s'!F:F=VMI!B37)*('BDT''s'!E:E=VMI!A37)),0.75),"-")</f>
        <v>-</v>
      </c>
      <c r="Q37" s="18">
        <f>IFERROR(_xlfn.MAXIFS('BDT''s'!W:W,'BDT''s'!L:L,VMI!M37,'BDT''s'!F:F,VMI!B37,'BDT''s'!E:E,VMI!A37),"-")</f>
        <v>0</v>
      </c>
      <c r="R37" s="16">
        <f>IFERROR(COUNTIFS('BDT''s'!L:L,VMI!M37,'BDT''s'!F:F,VMI!B37,'BDT''s'!E:E,VMI!A37),"-")</f>
        <v>0</v>
      </c>
      <c r="S37" s="12" t="str">
        <f t="shared" si="3"/>
        <v>-</v>
      </c>
      <c r="T37" s="16" t="str">
        <f t="shared" si="4"/>
        <v>-</v>
      </c>
      <c r="U37" s="18" t="str">
        <f>IFERROR(AVERAGEIFS('BDT''s'!$W:$W,'BDT''s'!$L:$L,VMI!M37,'BDT''s'!$F:$F,VMI!$B37,'BDT''s'!$E:$E,VMI!$A37)*T37,"-")</f>
        <v>-</v>
      </c>
      <c r="V37" s="18" t="str">
        <f t="shared" si="5"/>
        <v>-</v>
      </c>
      <c r="W37" s="3" t="s">
        <v>20</v>
      </c>
      <c r="X37" s="18" t="str">
        <f>IFERROR(AVERAGEIFS('BDT''s'!W:W,'BDT''s'!L:L,VMI!W37,'BDT''s'!F:F,VMI!B37,'BDT''s'!E:E,VMI!A37),"-")</f>
        <v>-</v>
      </c>
      <c r="Y37" s="18" t="str" cm="1">
        <f t="array" ref="Y37">IFERROR(_xlfn.PERCENTILE.INC(_xlfn._xlws.FILTER('BDT''s'!W:W,('BDT''s'!L:L=VMI!W37)*('BDT''s'!F:F=VMI!B37)*('BDT''s'!E:E=VMI!A37)),0.5),"-")</f>
        <v>-</v>
      </c>
      <c r="Z37" s="18" t="str" cm="1">
        <f t="array" ref="Z37">IFERROR(_xlfn.PERCENTILE.INC(_xlfn._xlws.FILTER('BDT''s'!W:W,('BDT''s'!L:L=VMI!W37)*('BDT''s'!F:F=VMI!B37)*('BDT''s'!E:E=VMI!A37)),0.75),"-")</f>
        <v>-</v>
      </c>
      <c r="AA37" s="18">
        <f>IFERROR(_xlfn.MAXIFS('BDT''s'!W:W,'BDT''s'!L:L,VMI!W37,'BDT''s'!F:F,VMI!B37,'BDT''s'!E:E,VMI!A37),"-")</f>
        <v>0</v>
      </c>
      <c r="AB37" s="16">
        <f>IFERROR(COUNTIFS('BDT''s'!L:L,VMI!W37,'BDT''s'!F:F,VMI!B37,'BDT''s'!E:E,VMI!A37),"-")</f>
        <v>0</v>
      </c>
      <c r="AC37" s="12" t="str">
        <f t="shared" si="6"/>
        <v>-</v>
      </c>
      <c r="AD37" s="16" t="str">
        <f t="shared" si="7"/>
        <v>-</v>
      </c>
      <c r="AE37" s="18" t="str">
        <f>IFERROR(AVERAGEIFS('BDT''s'!$W:$W,'BDT''s'!$L:$L,VMI!W37,'BDT''s'!$F:$F,VMI!$B37,'BDT''s'!$E:$E,VMI!$A37)*AD37,"-")</f>
        <v>-</v>
      </c>
      <c r="AF37" s="18" t="str">
        <f t="shared" si="8"/>
        <v>-</v>
      </c>
    </row>
    <row r="38" spans="1:32" x14ac:dyDescent="0.3">
      <c r="A38" s="15">
        <v>0.37</v>
      </c>
      <c r="B38" s="12" t="s">
        <v>35</v>
      </c>
      <c r="C38" s="3" t="s">
        <v>18</v>
      </c>
      <c r="D38" s="18" t="str">
        <f>IFERROR(AVERAGEIFS('BDT''s'!W:W,'BDT''s'!L:L,VMI!C38,'BDT''s'!F:F,VMI!B38,'BDT''s'!E:E,VMI!A38),"-")</f>
        <v>-</v>
      </c>
      <c r="E38" s="18" t="str" cm="1">
        <f t="array" ref="E38">IFERROR(_xlfn.PERCENTILE.INC(_xlfn._xlws.FILTER('BDT''s'!W:W,('BDT''s'!L:L=VMI!C38)*('BDT''s'!F:F=VMI!B38)*('BDT''s'!E:E=VMI!A38)),0.5),"-")</f>
        <v>-</v>
      </c>
      <c r="F38" s="18" t="str" cm="1">
        <f t="array" ref="F38">IFERROR(_xlfn.PERCENTILE.INC(_xlfn._xlws.FILTER('BDT''s'!W:W,('BDT''s'!L:L=VMI!C38)*('BDT''s'!F:F=VMI!B38)*('BDT''s'!E:E=VMI!A38)),0.75),"-")</f>
        <v>-</v>
      </c>
      <c r="G38" s="18">
        <f>IFERROR(_xlfn.MAXIFS('BDT''s'!W:W,'BDT''s'!L:L,VMI!C38,'BDT''s'!F:F,VMI!B38,'BDT''s'!E:E,VMI!A38),"-")</f>
        <v>0</v>
      </c>
      <c r="H38" s="16">
        <f>IFERROR(COUNTIFS('BDT''s'!L:L,VMI!C38,'BDT''s'!F:F,VMI!B38,'BDT''s'!E:E,VMI!A38),"-")</f>
        <v>0</v>
      </c>
      <c r="I38" s="12" t="str">
        <f t="shared" si="0"/>
        <v>-</v>
      </c>
      <c r="J38" s="16" t="str">
        <f t="shared" si="1"/>
        <v>-</v>
      </c>
      <c r="K38" s="18" t="str">
        <f>IFERROR(AVERAGEIFS('BDT''s'!$W:$W,'BDT''s'!$L:$L,VMI!C38,'BDT''s'!$F:$F,VMI!$B38,'BDT''s'!$E:$E,VMI!$A38)*J38,"-")</f>
        <v>-</v>
      </c>
      <c r="L38" s="18" t="str">
        <f t="shared" si="2"/>
        <v>-</v>
      </c>
      <c r="M38" s="3" t="s">
        <v>19</v>
      </c>
      <c r="N38" s="18" t="str">
        <f>IFERROR(AVERAGEIFS('BDT''s'!W:W,'BDT''s'!L:L,VMI!M38,'BDT''s'!F:F,VMI!B38,'BDT''s'!E:E,VMI!A38),"-")</f>
        <v>-</v>
      </c>
      <c r="O38" s="18" t="str" cm="1">
        <f t="array" ref="O38">IFERROR(_xlfn.PERCENTILE.INC(_xlfn._xlws.FILTER('BDT''s'!W:W,('BDT''s'!L:L=VMI!M38)*('BDT''s'!F:F=VMI!B38)*('BDT''s'!E:E=VMI!A38)),0.5),"-")</f>
        <v>-</v>
      </c>
      <c r="P38" s="18" t="str" cm="1">
        <f t="array" ref="P38">IFERROR(_xlfn.PERCENTILE.INC(_xlfn._xlws.FILTER('BDT''s'!W:W,('BDT''s'!L:L=VMI!M38)*('BDT''s'!F:F=VMI!B38)*('BDT''s'!E:E=VMI!A38)),0.75),"-")</f>
        <v>-</v>
      </c>
      <c r="Q38" s="18">
        <f>IFERROR(_xlfn.MAXIFS('BDT''s'!W:W,'BDT''s'!L:L,VMI!M38,'BDT''s'!F:F,VMI!B38,'BDT''s'!E:E,VMI!A38),"-")</f>
        <v>0</v>
      </c>
      <c r="R38" s="16">
        <f>IFERROR(COUNTIFS('BDT''s'!L:L,VMI!M38,'BDT''s'!F:F,VMI!B38,'BDT''s'!E:E,VMI!A38),"-")</f>
        <v>0</v>
      </c>
      <c r="S38" s="12" t="str">
        <f t="shared" si="3"/>
        <v>-</v>
      </c>
      <c r="T38" s="16" t="str">
        <f t="shared" si="4"/>
        <v>-</v>
      </c>
      <c r="U38" s="18" t="str">
        <f>IFERROR(AVERAGEIFS('BDT''s'!$W:$W,'BDT''s'!$L:$L,VMI!M38,'BDT''s'!$F:$F,VMI!$B38,'BDT''s'!$E:$E,VMI!$A38)*T38,"-")</f>
        <v>-</v>
      </c>
      <c r="V38" s="18" t="str">
        <f t="shared" si="5"/>
        <v>-</v>
      </c>
      <c r="W38" s="3" t="s">
        <v>20</v>
      </c>
      <c r="X38" s="18" t="str">
        <f>IFERROR(AVERAGEIFS('BDT''s'!W:W,'BDT''s'!L:L,VMI!W38,'BDT''s'!F:F,VMI!B38,'BDT''s'!E:E,VMI!A38),"-")</f>
        <v>-</v>
      </c>
      <c r="Y38" s="18" t="str" cm="1">
        <f t="array" ref="Y38">IFERROR(_xlfn.PERCENTILE.INC(_xlfn._xlws.FILTER('BDT''s'!W:W,('BDT''s'!L:L=VMI!W38)*('BDT''s'!F:F=VMI!B38)*('BDT''s'!E:E=VMI!A38)),0.5),"-")</f>
        <v>-</v>
      </c>
      <c r="Z38" s="18" t="str" cm="1">
        <f t="array" ref="Z38">IFERROR(_xlfn.PERCENTILE.INC(_xlfn._xlws.FILTER('BDT''s'!W:W,('BDT''s'!L:L=VMI!W38)*('BDT''s'!F:F=VMI!B38)*('BDT''s'!E:E=VMI!A38)),0.75),"-")</f>
        <v>-</v>
      </c>
      <c r="AA38" s="18">
        <f>IFERROR(_xlfn.MAXIFS('BDT''s'!W:W,'BDT''s'!L:L,VMI!W38,'BDT''s'!F:F,VMI!B38,'BDT''s'!E:E,VMI!A38),"-")</f>
        <v>0</v>
      </c>
      <c r="AB38" s="16">
        <f>IFERROR(COUNTIFS('BDT''s'!L:L,VMI!W38,'BDT''s'!F:F,VMI!B38,'BDT''s'!E:E,VMI!A38),"-")</f>
        <v>0</v>
      </c>
      <c r="AC38" s="12" t="str">
        <f t="shared" si="6"/>
        <v>-</v>
      </c>
      <c r="AD38" s="16" t="str">
        <f t="shared" si="7"/>
        <v>-</v>
      </c>
      <c r="AE38" s="18" t="str">
        <f>IFERROR(AVERAGEIFS('BDT''s'!$W:$W,'BDT''s'!$L:$L,VMI!W38,'BDT''s'!$F:$F,VMI!$B38,'BDT''s'!$E:$E,VMI!$A38)*AD38,"-")</f>
        <v>-</v>
      </c>
      <c r="AF38" s="18" t="str">
        <f t="shared" si="8"/>
        <v>-</v>
      </c>
    </row>
    <row r="39" spans="1:32" x14ac:dyDescent="0.3">
      <c r="A39" s="15">
        <v>0.38</v>
      </c>
      <c r="B39" s="12" t="s">
        <v>35</v>
      </c>
      <c r="C39" s="3" t="s">
        <v>18</v>
      </c>
      <c r="D39" s="18" t="str">
        <f>IFERROR(AVERAGEIFS('BDT''s'!W:W,'BDT''s'!L:L,VMI!C39,'BDT''s'!F:F,VMI!B39,'BDT''s'!E:E,VMI!A39),"-")</f>
        <v>-</v>
      </c>
      <c r="E39" s="18" t="str" cm="1">
        <f t="array" ref="E39">IFERROR(_xlfn.PERCENTILE.INC(_xlfn._xlws.FILTER('BDT''s'!W:W,('BDT''s'!L:L=VMI!C39)*('BDT''s'!F:F=VMI!B39)*('BDT''s'!E:E=VMI!A39)),0.5),"-")</f>
        <v>-</v>
      </c>
      <c r="F39" s="18" t="str" cm="1">
        <f t="array" ref="F39">IFERROR(_xlfn.PERCENTILE.INC(_xlfn._xlws.FILTER('BDT''s'!W:W,('BDT''s'!L:L=VMI!C39)*('BDT''s'!F:F=VMI!B39)*('BDT''s'!E:E=VMI!A39)),0.75),"-")</f>
        <v>-</v>
      </c>
      <c r="G39" s="18">
        <f>IFERROR(_xlfn.MAXIFS('BDT''s'!W:W,'BDT''s'!L:L,VMI!C39,'BDT''s'!F:F,VMI!B39,'BDT''s'!E:E,VMI!A39),"-")</f>
        <v>0</v>
      </c>
      <c r="H39" s="16">
        <f>IFERROR(COUNTIFS('BDT''s'!L:L,VMI!C39,'BDT''s'!F:F,VMI!B39,'BDT''s'!E:E,VMI!A39),"-")</f>
        <v>0</v>
      </c>
      <c r="I39" s="12" t="str">
        <f t="shared" si="0"/>
        <v>-</v>
      </c>
      <c r="J39" s="16" t="str">
        <f t="shared" si="1"/>
        <v>-</v>
      </c>
      <c r="K39" s="18" t="str">
        <f>IFERROR(AVERAGEIFS('BDT''s'!$W:$W,'BDT''s'!$L:$L,VMI!C39,'BDT''s'!$F:$F,VMI!$B39,'BDT''s'!$E:$E,VMI!$A39)*J39,"-")</f>
        <v>-</v>
      </c>
      <c r="L39" s="18" t="str">
        <f t="shared" si="2"/>
        <v>-</v>
      </c>
      <c r="M39" s="3" t="s">
        <v>19</v>
      </c>
      <c r="N39" s="18" t="str">
        <f>IFERROR(AVERAGEIFS('BDT''s'!W:W,'BDT''s'!L:L,VMI!M39,'BDT''s'!F:F,VMI!B39,'BDT''s'!E:E,VMI!A39),"-")</f>
        <v>-</v>
      </c>
      <c r="O39" s="18" t="str" cm="1">
        <f t="array" ref="O39">IFERROR(_xlfn.PERCENTILE.INC(_xlfn._xlws.FILTER('BDT''s'!W:W,('BDT''s'!L:L=VMI!M39)*('BDT''s'!F:F=VMI!B39)*('BDT''s'!E:E=VMI!A39)),0.5),"-")</f>
        <v>-</v>
      </c>
      <c r="P39" s="18" t="str" cm="1">
        <f t="array" ref="P39">IFERROR(_xlfn.PERCENTILE.INC(_xlfn._xlws.FILTER('BDT''s'!W:W,('BDT''s'!L:L=VMI!M39)*('BDT''s'!F:F=VMI!B39)*('BDT''s'!E:E=VMI!A39)),0.75),"-")</f>
        <v>-</v>
      </c>
      <c r="Q39" s="18">
        <f>IFERROR(_xlfn.MAXIFS('BDT''s'!W:W,'BDT''s'!L:L,VMI!M39,'BDT''s'!F:F,VMI!B39,'BDT''s'!E:E,VMI!A39),"-")</f>
        <v>0</v>
      </c>
      <c r="R39" s="16">
        <f>IFERROR(COUNTIFS('BDT''s'!L:L,VMI!M39,'BDT''s'!F:F,VMI!B39,'BDT''s'!E:E,VMI!A39),"-")</f>
        <v>0</v>
      </c>
      <c r="S39" s="12" t="str">
        <f t="shared" si="3"/>
        <v>-</v>
      </c>
      <c r="T39" s="16" t="str">
        <f t="shared" si="4"/>
        <v>-</v>
      </c>
      <c r="U39" s="18" t="str">
        <f>IFERROR(AVERAGEIFS('BDT''s'!$W:$W,'BDT''s'!$L:$L,VMI!M39,'BDT''s'!$F:$F,VMI!$B39,'BDT''s'!$E:$E,VMI!$A39)*T39,"-")</f>
        <v>-</v>
      </c>
      <c r="V39" s="18" t="str">
        <f t="shared" si="5"/>
        <v>-</v>
      </c>
      <c r="W39" s="3" t="s">
        <v>20</v>
      </c>
      <c r="X39" s="18" t="str">
        <f>IFERROR(AVERAGEIFS('BDT''s'!W:W,'BDT''s'!L:L,VMI!W39,'BDT''s'!F:F,VMI!B39,'BDT''s'!E:E,VMI!A39),"-")</f>
        <v>-</v>
      </c>
      <c r="Y39" s="18" t="str" cm="1">
        <f t="array" ref="Y39">IFERROR(_xlfn.PERCENTILE.INC(_xlfn._xlws.FILTER('BDT''s'!W:W,('BDT''s'!L:L=VMI!W39)*('BDT''s'!F:F=VMI!B39)*('BDT''s'!E:E=VMI!A39)),0.5),"-")</f>
        <v>-</v>
      </c>
      <c r="Z39" s="18" t="str" cm="1">
        <f t="array" ref="Z39">IFERROR(_xlfn.PERCENTILE.INC(_xlfn._xlws.FILTER('BDT''s'!W:W,('BDT''s'!L:L=VMI!W39)*('BDT''s'!F:F=VMI!B39)*('BDT''s'!E:E=VMI!A39)),0.75),"-")</f>
        <v>-</v>
      </c>
      <c r="AA39" s="18">
        <f>IFERROR(_xlfn.MAXIFS('BDT''s'!W:W,'BDT''s'!L:L,VMI!W39,'BDT''s'!F:F,VMI!B39,'BDT''s'!E:E,VMI!A39),"-")</f>
        <v>0</v>
      </c>
      <c r="AB39" s="16">
        <f>IFERROR(COUNTIFS('BDT''s'!L:L,VMI!W39,'BDT''s'!F:F,VMI!B39,'BDT''s'!E:E,VMI!A39),"-")</f>
        <v>0</v>
      </c>
      <c r="AC39" s="12" t="str">
        <f t="shared" si="6"/>
        <v>-</v>
      </c>
      <c r="AD39" s="16" t="str">
        <f t="shared" si="7"/>
        <v>-</v>
      </c>
      <c r="AE39" s="18" t="str">
        <f>IFERROR(AVERAGEIFS('BDT''s'!$W:$W,'BDT''s'!$L:$L,VMI!W39,'BDT''s'!$F:$F,VMI!$B39,'BDT''s'!$E:$E,VMI!$A39)*AD39,"-")</f>
        <v>-</v>
      </c>
      <c r="AF39" s="18" t="str">
        <f t="shared" si="8"/>
        <v>-</v>
      </c>
    </row>
    <row r="40" spans="1:32" x14ac:dyDescent="0.3">
      <c r="A40" s="15">
        <v>0.39</v>
      </c>
      <c r="B40" s="12" t="s">
        <v>35</v>
      </c>
      <c r="C40" s="3" t="s">
        <v>18</v>
      </c>
      <c r="D40" s="18" t="str">
        <f>IFERROR(AVERAGEIFS('BDT''s'!W:W,'BDT''s'!L:L,VMI!C40,'BDT''s'!F:F,VMI!B40,'BDT''s'!E:E,VMI!A40),"-")</f>
        <v>-</v>
      </c>
      <c r="E40" s="18" t="str" cm="1">
        <f t="array" ref="E40">IFERROR(_xlfn.PERCENTILE.INC(_xlfn._xlws.FILTER('BDT''s'!W:W,('BDT''s'!L:L=VMI!C40)*('BDT''s'!F:F=VMI!B40)*('BDT''s'!E:E=VMI!A40)),0.5),"-")</f>
        <v>-</v>
      </c>
      <c r="F40" s="18" t="str" cm="1">
        <f t="array" ref="F40">IFERROR(_xlfn.PERCENTILE.INC(_xlfn._xlws.FILTER('BDT''s'!W:W,('BDT''s'!L:L=VMI!C40)*('BDT''s'!F:F=VMI!B40)*('BDT''s'!E:E=VMI!A40)),0.75),"-")</f>
        <v>-</v>
      </c>
      <c r="G40" s="18">
        <f>IFERROR(_xlfn.MAXIFS('BDT''s'!W:W,'BDT''s'!L:L,VMI!C40,'BDT''s'!F:F,VMI!B40,'BDT''s'!E:E,VMI!A40),"-")</f>
        <v>0</v>
      </c>
      <c r="H40" s="16">
        <f>IFERROR(COUNTIFS('BDT''s'!L:L,VMI!C40,'BDT''s'!F:F,VMI!B40,'BDT''s'!E:E,VMI!A40),"-")</f>
        <v>0</v>
      </c>
      <c r="I40" s="12" t="str">
        <f t="shared" si="0"/>
        <v>-</v>
      </c>
      <c r="J40" s="16" t="str">
        <f t="shared" si="1"/>
        <v>-</v>
      </c>
      <c r="K40" s="18" t="str">
        <f>IFERROR(AVERAGEIFS('BDT''s'!$W:$W,'BDT''s'!$L:$L,VMI!C40,'BDT''s'!$F:$F,VMI!$B40,'BDT''s'!$E:$E,VMI!$A40)*J40,"-")</f>
        <v>-</v>
      </c>
      <c r="L40" s="18" t="str">
        <f t="shared" si="2"/>
        <v>-</v>
      </c>
      <c r="M40" s="3" t="s">
        <v>19</v>
      </c>
      <c r="N40" s="18" t="str">
        <f>IFERROR(AVERAGEIFS('BDT''s'!W:W,'BDT''s'!L:L,VMI!M40,'BDT''s'!F:F,VMI!B40,'BDT''s'!E:E,VMI!A40),"-")</f>
        <v>-</v>
      </c>
      <c r="O40" s="18" t="str" cm="1">
        <f t="array" ref="O40">IFERROR(_xlfn.PERCENTILE.INC(_xlfn._xlws.FILTER('BDT''s'!W:W,('BDT''s'!L:L=VMI!M40)*('BDT''s'!F:F=VMI!B40)*('BDT''s'!E:E=VMI!A40)),0.5),"-")</f>
        <v>-</v>
      </c>
      <c r="P40" s="18" t="str" cm="1">
        <f t="array" ref="P40">IFERROR(_xlfn.PERCENTILE.INC(_xlfn._xlws.FILTER('BDT''s'!W:W,('BDT''s'!L:L=VMI!M40)*('BDT''s'!F:F=VMI!B40)*('BDT''s'!E:E=VMI!A40)),0.75),"-")</f>
        <v>-</v>
      </c>
      <c r="Q40" s="18">
        <f>IFERROR(_xlfn.MAXIFS('BDT''s'!W:W,'BDT''s'!L:L,VMI!M40,'BDT''s'!F:F,VMI!B40,'BDT''s'!E:E,VMI!A40),"-")</f>
        <v>0</v>
      </c>
      <c r="R40" s="16">
        <f>IFERROR(COUNTIFS('BDT''s'!L:L,VMI!M40,'BDT''s'!F:F,VMI!B40,'BDT''s'!E:E,VMI!A40),"-")</f>
        <v>0</v>
      </c>
      <c r="S40" s="12" t="str">
        <f t="shared" si="3"/>
        <v>-</v>
      </c>
      <c r="T40" s="16" t="str">
        <f t="shared" si="4"/>
        <v>-</v>
      </c>
      <c r="U40" s="18" t="str">
        <f>IFERROR(AVERAGEIFS('BDT''s'!$W:$W,'BDT''s'!$L:$L,VMI!M40,'BDT''s'!$F:$F,VMI!$B40,'BDT''s'!$E:$E,VMI!$A40)*T40,"-")</f>
        <v>-</v>
      </c>
      <c r="V40" s="18" t="str">
        <f t="shared" si="5"/>
        <v>-</v>
      </c>
      <c r="W40" s="3" t="s">
        <v>20</v>
      </c>
      <c r="X40" s="18" t="str">
        <f>IFERROR(AVERAGEIFS('BDT''s'!W:W,'BDT''s'!L:L,VMI!W40,'BDT''s'!F:F,VMI!B40,'BDT''s'!E:E,VMI!A40),"-")</f>
        <v>-</v>
      </c>
      <c r="Y40" s="18" t="str" cm="1">
        <f t="array" ref="Y40">IFERROR(_xlfn.PERCENTILE.INC(_xlfn._xlws.FILTER('BDT''s'!W:W,('BDT''s'!L:L=VMI!W40)*('BDT''s'!F:F=VMI!B40)*('BDT''s'!E:E=VMI!A40)),0.5),"-")</f>
        <v>-</v>
      </c>
      <c r="Z40" s="18" t="str" cm="1">
        <f t="array" ref="Z40">IFERROR(_xlfn.PERCENTILE.INC(_xlfn._xlws.FILTER('BDT''s'!W:W,('BDT''s'!L:L=VMI!W40)*('BDT''s'!F:F=VMI!B40)*('BDT''s'!E:E=VMI!A40)),0.75),"-")</f>
        <v>-</v>
      </c>
      <c r="AA40" s="18">
        <f>IFERROR(_xlfn.MAXIFS('BDT''s'!W:W,'BDT''s'!L:L,VMI!W40,'BDT''s'!F:F,VMI!B40,'BDT''s'!E:E,VMI!A40),"-")</f>
        <v>0</v>
      </c>
      <c r="AB40" s="16">
        <f>IFERROR(COUNTIFS('BDT''s'!L:L,VMI!W40,'BDT''s'!F:F,VMI!B40,'BDT''s'!E:E,VMI!A40),"-")</f>
        <v>0</v>
      </c>
      <c r="AC40" s="12" t="str">
        <f t="shared" si="6"/>
        <v>-</v>
      </c>
      <c r="AD40" s="16" t="str">
        <f t="shared" si="7"/>
        <v>-</v>
      </c>
      <c r="AE40" s="18" t="str">
        <f>IFERROR(AVERAGEIFS('BDT''s'!$W:$W,'BDT''s'!$L:$L,VMI!W40,'BDT''s'!$F:$F,VMI!$B40,'BDT''s'!$E:$E,VMI!$A40)*AD40,"-")</f>
        <v>-</v>
      </c>
      <c r="AF40" s="18" t="str">
        <f t="shared" si="8"/>
        <v>-</v>
      </c>
    </row>
    <row r="41" spans="1:32" x14ac:dyDescent="0.3">
      <c r="A41" s="15">
        <v>0.4</v>
      </c>
      <c r="B41" s="12" t="s">
        <v>35</v>
      </c>
      <c r="C41" s="3" t="s">
        <v>18</v>
      </c>
      <c r="D41" s="18" t="str">
        <f>IFERROR(AVERAGEIFS('BDT''s'!W:W,'BDT''s'!L:L,VMI!C41,'BDT''s'!F:F,VMI!B41,'BDT''s'!E:E,VMI!A41),"-")</f>
        <v>-</v>
      </c>
      <c r="E41" s="18" t="str" cm="1">
        <f t="array" ref="E41">IFERROR(_xlfn.PERCENTILE.INC(_xlfn._xlws.FILTER('BDT''s'!W:W,('BDT''s'!L:L=VMI!C41)*('BDT''s'!F:F=VMI!B41)*('BDT''s'!E:E=VMI!A41)),0.5),"-")</f>
        <v>-</v>
      </c>
      <c r="F41" s="18" t="str" cm="1">
        <f t="array" ref="F41">IFERROR(_xlfn.PERCENTILE.INC(_xlfn._xlws.FILTER('BDT''s'!W:W,('BDT''s'!L:L=VMI!C41)*('BDT''s'!F:F=VMI!B41)*('BDT''s'!E:E=VMI!A41)),0.75),"-")</f>
        <v>-</v>
      </c>
      <c r="G41" s="18">
        <f>IFERROR(_xlfn.MAXIFS('BDT''s'!W:W,'BDT''s'!L:L,VMI!C41,'BDT''s'!F:F,VMI!B41,'BDT''s'!E:E,VMI!A41),"-")</f>
        <v>0</v>
      </c>
      <c r="H41" s="16">
        <f>IFERROR(COUNTIFS('BDT''s'!L:L,VMI!C41,'BDT''s'!F:F,VMI!B41,'BDT''s'!E:E,VMI!A41),"-")</f>
        <v>0</v>
      </c>
      <c r="I41" s="12" t="str">
        <f t="shared" si="0"/>
        <v>-</v>
      </c>
      <c r="J41" s="16" t="str">
        <f t="shared" si="1"/>
        <v>-</v>
      </c>
      <c r="K41" s="18" t="str">
        <f>IFERROR(AVERAGEIFS('BDT''s'!$W:$W,'BDT''s'!$L:$L,VMI!C41,'BDT''s'!$F:$F,VMI!$B41,'BDT''s'!$E:$E,VMI!$A41)*J41,"-")</f>
        <v>-</v>
      </c>
      <c r="L41" s="18" t="str">
        <f t="shared" si="2"/>
        <v>-</v>
      </c>
      <c r="M41" s="3" t="s">
        <v>19</v>
      </c>
      <c r="N41" s="18" t="str">
        <f>IFERROR(AVERAGEIFS('BDT''s'!W:W,'BDT''s'!L:L,VMI!M41,'BDT''s'!F:F,VMI!B41,'BDT''s'!E:E,VMI!A41),"-")</f>
        <v>-</v>
      </c>
      <c r="O41" s="18" t="str" cm="1">
        <f t="array" ref="O41">IFERROR(_xlfn.PERCENTILE.INC(_xlfn._xlws.FILTER('BDT''s'!W:W,('BDT''s'!L:L=VMI!M41)*('BDT''s'!F:F=VMI!B41)*('BDT''s'!E:E=VMI!A41)),0.5),"-")</f>
        <v>-</v>
      </c>
      <c r="P41" s="18" t="str" cm="1">
        <f t="array" ref="P41">IFERROR(_xlfn.PERCENTILE.INC(_xlfn._xlws.FILTER('BDT''s'!W:W,('BDT''s'!L:L=VMI!M41)*('BDT''s'!F:F=VMI!B41)*('BDT''s'!E:E=VMI!A41)),0.75),"-")</f>
        <v>-</v>
      </c>
      <c r="Q41" s="18">
        <f>IFERROR(_xlfn.MAXIFS('BDT''s'!W:W,'BDT''s'!L:L,VMI!M41,'BDT''s'!F:F,VMI!B41,'BDT''s'!E:E,VMI!A41),"-")</f>
        <v>0</v>
      </c>
      <c r="R41" s="16">
        <f>IFERROR(COUNTIFS('BDT''s'!L:L,VMI!M41,'BDT''s'!F:F,VMI!B41,'BDT''s'!E:E,VMI!A41),"-")</f>
        <v>0</v>
      </c>
      <c r="S41" s="12" t="str">
        <f t="shared" si="3"/>
        <v>-</v>
      </c>
      <c r="T41" s="16" t="str">
        <f t="shared" si="4"/>
        <v>-</v>
      </c>
      <c r="U41" s="18" t="str">
        <f>IFERROR(AVERAGEIFS('BDT''s'!$W:$W,'BDT''s'!$L:$L,VMI!M41,'BDT''s'!$F:$F,VMI!$B41,'BDT''s'!$E:$E,VMI!$A41)*T41,"-")</f>
        <v>-</v>
      </c>
      <c r="V41" s="18" t="str">
        <f t="shared" si="5"/>
        <v>-</v>
      </c>
      <c r="W41" s="3" t="s">
        <v>20</v>
      </c>
      <c r="X41" s="18" t="str">
        <f>IFERROR(AVERAGEIFS('BDT''s'!W:W,'BDT''s'!L:L,VMI!W41,'BDT''s'!F:F,VMI!B41,'BDT''s'!E:E,VMI!A41),"-")</f>
        <v>-</v>
      </c>
      <c r="Y41" s="18" t="str" cm="1">
        <f t="array" ref="Y41">IFERROR(_xlfn.PERCENTILE.INC(_xlfn._xlws.FILTER('BDT''s'!W:W,('BDT''s'!L:L=VMI!W41)*('BDT''s'!F:F=VMI!B41)*('BDT''s'!E:E=VMI!A41)),0.5),"-")</f>
        <v>-</v>
      </c>
      <c r="Z41" s="18" t="str" cm="1">
        <f t="array" ref="Z41">IFERROR(_xlfn.PERCENTILE.INC(_xlfn._xlws.FILTER('BDT''s'!W:W,('BDT''s'!L:L=VMI!W41)*('BDT''s'!F:F=VMI!B41)*('BDT''s'!E:E=VMI!A41)),0.75),"-")</f>
        <v>-</v>
      </c>
      <c r="AA41" s="18">
        <f>IFERROR(_xlfn.MAXIFS('BDT''s'!W:W,'BDT''s'!L:L,VMI!W41,'BDT''s'!F:F,VMI!B41,'BDT''s'!E:E,VMI!A41),"-")</f>
        <v>0</v>
      </c>
      <c r="AB41" s="16">
        <f>IFERROR(COUNTIFS('BDT''s'!L:L,VMI!W41,'BDT''s'!F:F,VMI!B41,'BDT''s'!E:E,VMI!A41),"-")</f>
        <v>0</v>
      </c>
      <c r="AC41" s="12" t="str">
        <f t="shared" si="6"/>
        <v>-</v>
      </c>
      <c r="AD41" s="16" t="str">
        <f t="shared" si="7"/>
        <v>-</v>
      </c>
      <c r="AE41" s="18" t="str">
        <f>IFERROR(AVERAGEIFS('BDT''s'!$W:$W,'BDT''s'!$L:$L,VMI!W41,'BDT''s'!$F:$F,VMI!$B41,'BDT''s'!$E:$E,VMI!$A41)*AD41,"-")</f>
        <v>-</v>
      </c>
      <c r="AF41" s="18" t="str">
        <f t="shared" si="8"/>
        <v>-</v>
      </c>
    </row>
    <row r="42" spans="1:32" x14ac:dyDescent="0.3">
      <c r="A42" s="15">
        <v>0.41</v>
      </c>
      <c r="B42" s="12" t="s">
        <v>36</v>
      </c>
      <c r="C42" s="3" t="s">
        <v>18</v>
      </c>
      <c r="D42" s="18" t="str">
        <f>IFERROR(AVERAGEIFS('BDT''s'!W:W,'BDT''s'!L:L,VMI!C42,'BDT''s'!F:F,VMI!B42,'BDT''s'!E:E,VMI!A42),"-")</f>
        <v>-</v>
      </c>
      <c r="E42" s="18" t="str" cm="1">
        <f t="array" ref="E42">IFERROR(_xlfn.PERCENTILE.INC(_xlfn._xlws.FILTER('BDT''s'!W:W,('BDT''s'!L:L=VMI!C42)*('BDT''s'!F:F=VMI!B42)*('BDT''s'!E:E=VMI!A42)),0.5),"-")</f>
        <v>-</v>
      </c>
      <c r="F42" s="18" t="str" cm="1">
        <f t="array" ref="F42">IFERROR(_xlfn.PERCENTILE.INC(_xlfn._xlws.FILTER('BDT''s'!W:W,('BDT''s'!L:L=VMI!C42)*('BDT''s'!F:F=VMI!B42)*('BDT''s'!E:E=VMI!A42)),0.75),"-")</f>
        <v>-</v>
      </c>
      <c r="G42" s="18">
        <f>IFERROR(_xlfn.MAXIFS('BDT''s'!W:W,'BDT''s'!L:L,VMI!C42,'BDT''s'!F:F,VMI!B42,'BDT''s'!E:E,VMI!A42),"-")</f>
        <v>0</v>
      </c>
      <c r="H42" s="16">
        <f>IFERROR(COUNTIFS('BDT''s'!L:L,VMI!C42,'BDT''s'!F:F,VMI!B42,'BDT''s'!E:E,VMI!A42),"-")</f>
        <v>0</v>
      </c>
      <c r="I42" s="12" t="str">
        <f t="shared" si="0"/>
        <v>-</v>
      </c>
      <c r="J42" s="16" t="str">
        <f t="shared" si="1"/>
        <v>-</v>
      </c>
      <c r="K42" s="18" t="str">
        <f>IFERROR(AVERAGEIFS('BDT''s'!$W:$W,'BDT''s'!$L:$L,VMI!C42,'BDT''s'!$F:$F,VMI!$B42,'BDT''s'!$E:$E,VMI!$A42)*J42,"-")</f>
        <v>-</v>
      </c>
      <c r="L42" s="18" t="str">
        <f t="shared" si="2"/>
        <v>-</v>
      </c>
      <c r="M42" s="3" t="s">
        <v>19</v>
      </c>
      <c r="N42" s="18" t="str">
        <f>IFERROR(AVERAGEIFS('BDT''s'!W:W,'BDT''s'!L:L,VMI!M42,'BDT''s'!F:F,VMI!B42,'BDT''s'!E:E,VMI!A42),"-")</f>
        <v>-</v>
      </c>
      <c r="O42" s="18" t="str" cm="1">
        <f t="array" ref="O42">IFERROR(_xlfn.PERCENTILE.INC(_xlfn._xlws.FILTER('BDT''s'!W:W,('BDT''s'!L:L=VMI!M42)*('BDT''s'!F:F=VMI!B42)*('BDT''s'!E:E=VMI!A42)),0.5),"-")</f>
        <v>-</v>
      </c>
      <c r="P42" s="18" t="str" cm="1">
        <f t="array" ref="P42">IFERROR(_xlfn.PERCENTILE.INC(_xlfn._xlws.FILTER('BDT''s'!W:W,('BDT''s'!L:L=VMI!M42)*('BDT''s'!F:F=VMI!B42)*('BDT''s'!E:E=VMI!A42)),0.75),"-")</f>
        <v>-</v>
      </c>
      <c r="Q42" s="18">
        <f>IFERROR(_xlfn.MAXIFS('BDT''s'!W:W,'BDT''s'!L:L,VMI!M42,'BDT''s'!F:F,VMI!B42,'BDT''s'!E:E,VMI!A42),"-")</f>
        <v>0</v>
      </c>
      <c r="R42" s="16">
        <f>IFERROR(COUNTIFS('BDT''s'!L:L,VMI!M42,'BDT''s'!F:F,VMI!B42,'BDT''s'!E:E,VMI!A42),"-")</f>
        <v>0</v>
      </c>
      <c r="S42" s="12" t="str">
        <f t="shared" si="3"/>
        <v>-</v>
      </c>
      <c r="T42" s="16" t="str">
        <f t="shared" si="4"/>
        <v>-</v>
      </c>
      <c r="U42" s="18" t="str">
        <f>IFERROR(AVERAGEIFS('BDT''s'!$W:$W,'BDT''s'!$L:$L,VMI!M42,'BDT''s'!$F:$F,VMI!$B42,'BDT''s'!$E:$E,VMI!$A42)*T42,"-")</f>
        <v>-</v>
      </c>
      <c r="V42" s="18" t="str">
        <f t="shared" si="5"/>
        <v>-</v>
      </c>
      <c r="W42" s="3" t="s">
        <v>20</v>
      </c>
      <c r="X42" s="18" t="str">
        <f>IFERROR(AVERAGEIFS('BDT''s'!W:W,'BDT''s'!L:L,VMI!W42,'BDT''s'!F:F,VMI!B42,'BDT''s'!E:E,VMI!A42),"-")</f>
        <v>-</v>
      </c>
      <c r="Y42" s="18" t="str" cm="1">
        <f t="array" ref="Y42">IFERROR(_xlfn.PERCENTILE.INC(_xlfn._xlws.FILTER('BDT''s'!W:W,('BDT''s'!L:L=VMI!W42)*('BDT''s'!F:F=VMI!B42)*('BDT''s'!E:E=VMI!A42)),0.5),"-")</f>
        <v>-</v>
      </c>
      <c r="Z42" s="18" t="str" cm="1">
        <f t="array" ref="Z42">IFERROR(_xlfn.PERCENTILE.INC(_xlfn._xlws.FILTER('BDT''s'!W:W,('BDT''s'!L:L=VMI!W42)*('BDT''s'!F:F=VMI!B42)*('BDT''s'!E:E=VMI!A42)),0.75),"-")</f>
        <v>-</v>
      </c>
      <c r="AA42" s="18">
        <f>IFERROR(_xlfn.MAXIFS('BDT''s'!W:W,'BDT''s'!L:L,VMI!W42,'BDT''s'!F:F,VMI!B42,'BDT''s'!E:E,VMI!A42),"-")</f>
        <v>0</v>
      </c>
      <c r="AB42" s="16">
        <f>IFERROR(COUNTIFS('BDT''s'!L:L,VMI!W42,'BDT''s'!F:F,VMI!B42,'BDT''s'!E:E,VMI!A42),"-")</f>
        <v>0</v>
      </c>
      <c r="AC42" s="12" t="str">
        <f t="shared" si="6"/>
        <v>-</v>
      </c>
      <c r="AD42" s="16" t="str">
        <f t="shared" si="7"/>
        <v>-</v>
      </c>
      <c r="AE42" s="18" t="str">
        <f>IFERROR(AVERAGEIFS('BDT''s'!$W:$W,'BDT''s'!$L:$L,VMI!W42,'BDT''s'!$F:$F,VMI!$B42,'BDT''s'!$E:$E,VMI!$A42)*AD42,"-")</f>
        <v>-</v>
      </c>
      <c r="AF42" s="18" t="str">
        <f t="shared" si="8"/>
        <v>-</v>
      </c>
    </row>
    <row r="43" spans="1:32" x14ac:dyDescent="0.3">
      <c r="A43" s="15">
        <v>0.42</v>
      </c>
      <c r="B43" s="12" t="s">
        <v>36</v>
      </c>
      <c r="C43" s="3" t="s">
        <v>18</v>
      </c>
      <c r="D43" s="18" t="str">
        <f>IFERROR(AVERAGEIFS('BDT''s'!W:W,'BDT''s'!L:L,VMI!C43,'BDT''s'!F:F,VMI!B43,'BDT''s'!E:E,VMI!A43),"-")</f>
        <v>-</v>
      </c>
      <c r="E43" s="18" t="str" cm="1">
        <f t="array" ref="E43">IFERROR(_xlfn.PERCENTILE.INC(_xlfn._xlws.FILTER('BDT''s'!W:W,('BDT''s'!L:L=VMI!C43)*('BDT''s'!F:F=VMI!B43)*('BDT''s'!E:E=VMI!A43)),0.5),"-")</f>
        <v>-</v>
      </c>
      <c r="F43" s="18" t="str" cm="1">
        <f t="array" ref="F43">IFERROR(_xlfn.PERCENTILE.INC(_xlfn._xlws.FILTER('BDT''s'!W:W,('BDT''s'!L:L=VMI!C43)*('BDT''s'!F:F=VMI!B43)*('BDT''s'!E:E=VMI!A43)),0.75),"-")</f>
        <v>-</v>
      </c>
      <c r="G43" s="18">
        <f>IFERROR(_xlfn.MAXIFS('BDT''s'!W:W,'BDT''s'!L:L,VMI!C43,'BDT''s'!F:F,VMI!B43,'BDT''s'!E:E,VMI!A43),"-")</f>
        <v>0</v>
      </c>
      <c r="H43" s="16">
        <f>IFERROR(COUNTIFS('BDT''s'!L:L,VMI!C43,'BDT''s'!F:F,VMI!B43,'BDT''s'!E:E,VMI!A43),"-")</f>
        <v>0</v>
      </c>
      <c r="I43" s="12" t="str">
        <f t="shared" si="0"/>
        <v>-</v>
      </c>
      <c r="J43" s="16" t="str">
        <f t="shared" si="1"/>
        <v>-</v>
      </c>
      <c r="K43" s="18" t="str">
        <f>IFERROR(AVERAGEIFS('BDT''s'!$W:$W,'BDT''s'!$L:$L,VMI!C43,'BDT''s'!$F:$F,VMI!$B43,'BDT''s'!$E:$E,VMI!$A43)*J43,"-")</f>
        <v>-</v>
      </c>
      <c r="L43" s="18" t="str">
        <f t="shared" si="2"/>
        <v>-</v>
      </c>
      <c r="M43" s="3" t="s">
        <v>19</v>
      </c>
      <c r="N43" s="18" t="str">
        <f>IFERROR(AVERAGEIFS('BDT''s'!W:W,'BDT''s'!L:L,VMI!M43,'BDT''s'!F:F,VMI!B43,'BDT''s'!E:E,VMI!A43),"-")</f>
        <v>-</v>
      </c>
      <c r="O43" s="18" t="str" cm="1">
        <f t="array" ref="O43">IFERROR(_xlfn.PERCENTILE.INC(_xlfn._xlws.FILTER('BDT''s'!W:W,('BDT''s'!L:L=VMI!M43)*('BDT''s'!F:F=VMI!B43)*('BDT''s'!E:E=VMI!A43)),0.5),"-")</f>
        <v>-</v>
      </c>
      <c r="P43" s="18" t="str" cm="1">
        <f t="array" ref="P43">IFERROR(_xlfn.PERCENTILE.INC(_xlfn._xlws.FILTER('BDT''s'!W:W,('BDT''s'!L:L=VMI!M43)*('BDT''s'!F:F=VMI!B43)*('BDT''s'!E:E=VMI!A43)),0.75),"-")</f>
        <v>-</v>
      </c>
      <c r="Q43" s="18">
        <f>IFERROR(_xlfn.MAXIFS('BDT''s'!W:W,'BDT''s'!L:L,VMI!M43,'BDT''s'!F:F,VMI!B43,'BDT''s'!E:E,VMI!A43),"-")</f>
        <v>0</v>
      </c>
      <c r="R43" s="16">
        <f>IFERROR(COUNTIFS('BDT''s'!L:L,VMI!M43,'BDT''s'!F:F,VMI!B43,'BDT''s'!E:E,VMI!A43),"-")</f>
        <v>0</v>
      </c>
      <c r="S43" s="12" t="str">
        <f t="shared" si="3"/>
        <v>-</v>
      </c>
      <c r="T43" s="16" t="str">
        <f t="shared" si="4"/>
        <v>-</v>
      </c>
      <c r="U43" s="18" t="str">
        <f>IFERROR(AVERAGEIFS('BDT''s'!$W:$W,'BDT''s'!$L:$L,VMI!M43,'BDT''s'!$F:$F,VMI!$B43,'BDT''s'!$E:$E,VMI!$A43)*T43,"-")</f>
        <v>-</v>
      </c>
      <c r="V43" s="18" t="str">
        <f t="shared" si="5"/>
        <v>-</v>
      </c>
      <c r="W43" s="3" t="s">
        <v>20</v>
      </c>
      <c r="X43" s="18" t="str">
        <f>IFERROR(AVERAGEIFS('BDT''s'!W:W,'BDT''s'!L:L,VMI!W43,'BDT''s'!F:F,VMI!B43,'BDT''s'!E:E,VMI!A43),"-")</f>
        <v>-</v>
      </c>
      <c r="Y43" s="18" t="str" cm="1">
        <f t="array" ref="Y43">IFERROR(_xlfn.PERCENTILE.INC(_xlfn._xlws.FILTER('BDT''s'!W:W,('BDT''s'!L:L=VMI!W43)*('BDT''s'!F:F=VMI!B43)*('BDT''s'!E:E=VMI!A43)),0.5),"-")</f>
        <v>-</v>
      </c>
      <c r="Z43" s="18" t="str" cm="1">
        <f t="array" ref="Z43">IFERROR(_xlfn.PERCENTILE.INC(_xlfn._xlws.FILTER('BDT''s'!W:W,('BDT''s'!L:L=VMI!W43)*('BDT''s'!F:F=VMI!B43)*('BDT''s'!E:E=VMI!A43)),0.75),"-")</f>
        <v>-</v>
      </c>
      <c r="AA43" s="18">
        <f>IFERROR(_xlfn.MAXIFS('BDT''s'!W:W,'BDT''s'!L:L,VMI!W43,'BDT''s'!F:F,VMI!B43,'BDT''s'!E:E,VMI!A43),"-")</f>
        <v>0</v>
      </c>
      <c r="AB43" s="16">
        <f>IFERROR(COUNTIFS('BDT''s'!L:L,VMI!W43,'BDT''s'!F:F,VMI!B43,'BDT''s'!E:E,VMI!A43),"-")</f>
        <v>0</v>
      </c>
      <c r="AC43" s="12" t="str">
        <f t="shared" si="6"/>
        <v>-</v>
      </c>
      <c r="AD43" s="16" t="str">
        <f t="shared" si="7"/>
        <v>-</v>
      </c>
      <c r="AE43" s="18" t="str">
        <f>IFERROR(AVERAGEIFS('BDT''s'!$W:$W,'BDT''s'!$L:$L,VMI!W43,'BDT''s'!$F:$F,VMI!$B43,'BDT''s'!$E:$E,VMI!$A43)*AD43,"-")</f>
        <v>-</v>
      </c>
      <c r="AF43" s="18" t="str">
        <f t="shared" si="8"/>
        <v>-</v>
      </c>
    </row>
    <row r="44" spans="1:32" x14ac:dyDescent="0.3">
      <c r="A44" s="15">
        <v>0.43</v>
      </c>
      <c r="B44" s="12" t="s">
        <v>36</v>
      </c>
      <c r="C44" s="3" t="s">
        <v>18</v>
      </c>
      <c r="D44" s="18" t="str">
        <f>IFERROR(AVERAGEIFS('BDT''s'!W:W,'BDT''s'!L:L,VMI!C44,'BDT''s'!F:F,VMI!B44,'BDT''s'!E:E,VMI!A44),"-")</f>
        <v>-</v>
      </c>
      <c r="E44" s="18" t="str" cm="1">
        <f t="array" ref="E44">IFERROR(_xlfn.PERCENTILE.INC(_xlfn._xlws.FILTER('BDT''s'!W:W,('BDT''s'!L:L=VMI!C44)*('BDT''s'!F:F=VMI!B44)*('BDT''s'!E:E=VMI!A44)),0.5),"-")</f>
        <v>-</v>
      </c>
      <c r="F44" s="18" t="str" cm="1">
        <f t="array" ref="F44">IFERROR(_xlfn.PERCENTILE.INC(_xlfn._xlws.FILTER('BDT''s'!W:W,('BDT''s'!L:L=VMI!C44)*('BDT''s'!F:F=VMI!B44)*('BDT''s'!E:E=VMI!A44)),0.75),"-")</f>
        <v>-</v>
      </c>
      <c r="G44" s="18">
        <f>IFERROR(_xlfn.MAXIFS('BDT''s'!W:W,'BDT''s'!L:L,VMI!C44,'BDT''s'!F:F,VMI!B44,'BDT''s'!E:E,VMI!A44),"-")</f>
        <v>0</v>
      </c>
      <c r="H44" s="16">
        <f>IFERROR(COUNTIFS('BDT''s'!L:L,VMI!C44,'BDT''s'!F:F,VMI!B44,'BDT''s'!E:E,VMI!A44),"-")</f>
        <v>0</v>
      </c>
      <c r="I44" s="12" t="str">
        <f t="shared" si="0"/>
        <v>-</v>
      </c>
      <c r="J44" s="16" t="str">
        <f t="shared" si="1"/>
        <v>-</v>
      </c>
      <c r="K44" s="18" t="str">
        <f>IFERROR(AVERAGEIFS('BDT''s'!$W:$W,'BDT''s'!$L:$L,VMI!C44,'BDT''s'!$F:$F,VMI!$B44,'BDT''s'!$E:$E,VMI!$A44)*J44,"-")</f>
        <v>-</v>
      </c>
      <c r="L44" s="18" t="str">
        <f t="shared" si="2"/>
        <v>-</v>
      </c>
      <c r="M44" s="3" t="s">
        <v>19</v>
      </c>
      <c r="N44" s="18" t="str">
        <f>IFERROR(AVERAGEIFS('BDT''s'!W:W,'BDT''s'!L:L,VMI!M44,'BDT''s'!F:F,VMI!B44,'BDT''s'!E:E,VMI!A44),"-")</f>
        <v>-</v>
      </c>
      <c r="O44" s="18" t="str" cm="1">
        <f t="array" ref="O44">IFERROR(_xlfn.PERCENTILE.INC(_xlfn._xlws.FILTER('BDT''s'!W:W,('BDT''s'!L:L=VMI!M44)*('BDT''s'!F:F=VMI!B44)*('BDT''s'!E:E=VMI!A44)),0.5),"-")</f>
        <v>-</v>
      </c>
      <c r="P44" s="18" t="str" cm="1">
        <f t="array" ref="P44">IFERROR(_xlfn.PERCENTILE.INC(_xlfn._xlws.FILTER('BDT''s'!W:W,('BDT''s'!L:L=VMI!M44)*('BDT''s'!F:F=VMI!B44)*('BDT''s'!E:E=VMI!A44)),0.75),"-")</f>
        <v>-</v>
      </c>
      <c r="Q44" s="18">
        <f>IFERROR(_xlfn.MAXIFS('BDT''s'!W:W,'BDT''s'!L:L,VMI!M44,'BDT''s'!F:F,VMI!B44,'BDT''s'!E:E,VMI!A44),"-")</f>
        <v>0</v>
      </c>
      <c r="R44" s="16">
        <f>IFERROR(COUNTIFS('BDT''s'!L:L,VMI!M44,'BDT''s'!F:F,VMI!B44,'BDT''s'!E:E,VMI!A44),"-")</f>
        <v>0</v>
      </c>
      <c r="S44" s="12" t="str">
        <f t="shared" si="3"/>
        <v>-</v>
      </c>
      <c r="T44" s="16" t="str">
        <f t="shared" si="4"/>
        <v>-</v>
      </c>
      <c r="U44" s="18" t="str">
        <f>IFERROR(AVERAGEIFS('BDT''s'!$W:$W,'BDT''s'!$L:$L,VMI!M44,'BDT''s'!$F:$F,VMI!$B44,'BDT''s'!$E:$E,VMI!$A44)*T44,"-")</f>
        <v>-</v>
      </c>
      <c r="V44" s="18" t="str">
        <f t="shared" si="5"/>
        <v>-</v>
      </c>
      <c r="W44" s="3" t="s">
        <v>20</v>
      </c>
      <c r="X44" s="18" t="str">
        <f>IFERROR(AVERAGEIFS('BDT''s'!W:W,'BDT''s'!L:L,VMI!W44,'BDT''s'!F:F,VMI!B44,'BDT''s'!E:E,VMI!A44),"-")</f>
        <v>-</v>
      </c>
      <c r="Y44" s="18" t="str" cm="1">
        <f t="array" ref="Y44">IFERROR(_xlfn.PERCENTILE.INC(_xlfn._xlws.FILTER('BDT''s'!W:W,('BDT''s'!L:L=VMI!W44)*('BDT''s'!F:F=VMI!B44)*('BDT''s'!E:E=VMI!A44)),0.5),"-")</f>
        <v>-</v>
      </c>
      <c r="Z44" s="18" t="str" cm="1">
        <f t="array" ref="Z44">IFERROR(_xlfn.PERCENTILE.INC(_xlfn._xlws.FILTER('BDT''s'!W:W,('BDT''s'!L:L=VMI!W44)*('BDT''s'!F:F=VMI!B44)*('BDT''s'!E:E=VMI!A44)),0.75),"-")</f>
        <v>-</v>
      </c>
      <c r="AA44" s="18">
        <f>IFERROR(_xlfn.MAXIFS('BDT''s'!W:W,'BDT''s'!L:L,VMI!W44,'BDT''s'!F:F,VMI!B44,'BDT''s'!E:E,VMI!A44),"-")</f>
        <v>0</v>
      </c>
      <c r="AB44" s="16">
        <f>IFERROR(COUNTIFS('BDT''s'!L:L,VMI!W44,'BDT''s'!F:F,VMI!B44,'BDT''s'!E:E,VMI!A44),"-")</f>
        <v>0</v>
      </c>
      <c r="AC44" s="12" t="str">
        <f t="shared" si="6"/>
        <v>-</v>
      </c>
      <c r="AD44" s="16" t="str">
        <f t="shared" si="7"/>
        <v>-</v>
      </c>
      <c r="AE44" s="18" t="str">
        <f>IFERROR(AVERAGEIFS('BDT''s'!$W:$W,'BDT''s'!$L:$L,VMI!W44,'BDT''s'!$F:$F,VMI!$B44,'BDT''s'!$E:$E,VMI!$A44)*AD44,"-")</f>
        <v>-</v>
      </c>
      <c r="AF44" s="18" t="str">
        <f t="shared" si="8"/>
        <v>-</v>
      </c>
    </row>
    <row r="45" spans="1:32" x14ac:dyDescent="0.3">
      <c r="A45" s="15">
        <v>0.44</v>
      </c>
      <c r="B45" s="12" t="s">
        <v>36</v>
      </c>
      <c r="C45" s="3" t="s">
        <v>18</v>
      </c>
      <c r="D45" s="18" t="str">
        <f>IFERROR(AVERAGEIFS('BDT''s'!W:W,'BDT''s'!L:L,VMI!C45,'BDT''s'!F:F,VMI!B45,'BDT''s'!E:E,VMI!A45),"-")</f>
        <v>-</v>
      </c>
      <c r="E45" s="18" t="str" cm="1">
        <f t="array" ref="E45">IFERROR(_xlfn.PERCENTILE.INC(_xlfn._xlws.FILTER('BDT''s'!W:W,('BDT''s'!L:L=VMI!C45)*('BDT''s'!F:F=VMI!B45)*('BDT''s'!E:E=VMI!A45)),0.5),"-")</f>
        <v>-</v>
      </c>
      <c r="F45" s="18" t="str" cm="1">
        <f t="array" ref="F45">IFERROR(_xlfn.PERCENTILE.INC(_xlfn._xlws.FILTER('BDT''s'!W:W,('BDT''s'!L:L=VMI!C45)*('BDT''s'!F:F=VMI!B45)*('BDT''s'!E:E=VMI!A45)),0.75),"-")</f>
        <v>-</v>
      </c>
      <c r="G45" s="18">
        <f>IFERROR(_xlfn.MAXIFS('BDT''s'!W:W,'BDT''s'!L:L,VMI!C45,'BDT''s'!F:F,VMI!B45,'BDT''s'!E:E,VMI!A45),"-")</f>
        <v>0</v>
      </c>
      <c r="H45" s="16">
        <f>IFERROR(COUNTIFS('BDT''s'!L:L,VMI!C45,'BDT''s'!F:F,VMI!B45,'BDT''s'!E:E,VMI!A45),"-")</f>
        <v>0</v>
      </c>
      <c r="I45" s="12" t="str">
        <f t="shared" si="0"/>
        <v>-</v>
      </c>
      <c r="J45" s="16" t="str">
        <f t="shared" si="1"/>
        <v>-</v>
      </c>
      <c r="K45" s="18" t="str">
        <f>IFERROR(AVERAGEIFS('BDT''s'!$W:$W,'BDT''s'!$L:$L,VMI!C45,'BDT''s'!$F:$F,VMI!$B45,'BDT''s'!$E:$E,VMI!$A45)*J45,"-")</f>
        <v>-</v>
      </c>
      <c r="L45" s="18" t="str">
        <f t="shared" si="2"/>
        <v>-</v>
      </c>
      <c r="M45" s="3" t="s">
        <v>19</v>
      </c>
      <c r="N45" s="18" t="str">
        <f>IFERROR(AVERAGEIFS('BDT''s'!W:W,'BDT''s'!L:L,VMI!M45,'BDT''s'!F:F,VMI!B45,'BDT''s'!E:E,VMI!A45),"-")</f>
        <v>-</v>
      </c>
      <c r="O45" s="18" t="str" cm="1">
        <f t="array" ref="O45">IFERROR(_xlfn.PERCENTILE.INC(_xlfn._xlws.FILTER('BDT''s'!W:W,('BDT''s'!L:L=VMI!M45)*('BDT''s'!F:F=VMI!B45)*('BDT''s'!E:E=VMI!A45)),0.5),"-")</f>
        <v>-</v>
      </c>
      <c r="P45" s="18" t="str" cm="1">
        <f t="array" ref="P45">IFERROR(_xlfn.PERCENTILE.INC(_xlfn._xlws.FILTER('BDT''s'!W:W,('BDT''s'!L:L=VMI!M45)*('BDT''s'!F:F=VMI!B45)*('BDT''s'!E:E=VMI!A45)),0.75),"-")</f>
        <v>-</v>
      </c>
      <c r="Q45" s="18">
        <f>IFERROR(_xlfn.MAXIFS('BDT''s'!W:W,'BDT''s'!L:L,VMI!M45,'BDT''s'!F:F,VMI!B45,'BDT''s'!E:E,VMI!A45),"-")</f>
        <v>0</v>
      </c>
      <c r="R45" s="16">
        <f>IFERROR(COUNTIFS('BDT''s'!L:L,VMI!M45,'BDT''s'!F:F,VMI!B45,'BDT''s'!E:E,VMI!A45),"-")</f>
        <v>0</v>
      </c>
      <c r="S45" s="12" t="str">
        <f t="shared" si="3"/>
        <v>-</v>
      </c>
      <c r="T45" s="16" t="str">
        <f t="shared" si="4"/>
        <v>-</v>
      </c>
      <c r="U45" s="18" t="str">
        <f>IFERROR(AVERAGEIFS('BDT''s'!$W:$W,'BDT''s'!$L:$L,VMI!M45,'BDT''s'!$F:$F,VMI!$B45,'BDT''s'!$E:$E,VMI!$A45)*T45,"-")</f>
        <v>-</v>
      </c>
      <c r="V45" s="18" t="str">
        <f t="shared" si="5"/>
        <v>-</v>
      </c>
      <c r="W45" s="3" t="s">
        <v>20</v>
      </c>
      <c r="X45" s="18" t="str">
        <f>IFERROR(AVERAGEIFS('BDT''s'!W:W,'BDT''s'!L:L,VMI!W45,'BDT''s'!F:F,VMI!B45,'BDT''s'!E:E,VMI!A45),"-")</f>
        <v>-</v>
      </c>
      <c r="Y45" s="18" t="str" cm="1">
        <f t="array" ref="Y45">IFERROR(_xlfn.PERCENTILE.INC(_xlfn._xlws.FILTER('BDT''s'!W:W,('BDT''s'!L:L=VMI!W45)*('BDT''s'!F:F=VMI!B45)*('BDT''s'!E:E=VMI!A45)),0.5),"-")</f>
        <v>-</v>
      </c>
      <c r="Z45" s="18" t="str" cm="1">
        <f t="array" ref="Z45">IFERROR(_xlfn.PERCENTILE.INC(_xlfn._xlws.FILTER('BDT''s'!W:W,('BDT''s'!L:L=VMI!W45)*('BDT''s'!F:F=VMI!B45)*('BDT''s'!E:E=VMI!A45)),0.75),"-")</f>
        <v>-</v>
      </c>
      <c r="AA45" s="18">
        <f>IFERROR(_xlfn.MAXIFS('BDT''s'!W:W,'BDT''s'!L:L,VMI!W45,'BDT''s'!F:F,VMI!B45,'BDT''s'!E:E,VMI!A45),"-")</f>
        <v>0</v>
      </c>
      <c r="AB45" s="16">
        <f>IFERROR(COUNTIFS('BDT''s'!L:L,VMI!W45,'BDT''s'!F:F,VMI!B45,'BDT''s'!E:E,VMI!A45),"-")</f>
        <v>0</v>
      </c>
      <c r="AC45" s="12" t="str">
        <f t="shared" si="6"/>
        <v>-</v>
      </c>
      <c r="AD45" s="16" t="str">
        <f t="shared" si="7"/>
        <v>-</v>
      </c>
      <c r="AE45" s="18" t="str">
        <f>IFERROR(AVERAGEIFS('BDT''s'!$W:$W,'BDT''s'!$L:$L,VMI!W45,'BDT''s'!$F:$F,VMI!$B45,'BDT''s'!$E:$E,VMI!$A45)*AD45,"-")</f>
        <v>-</v>
      </c>
      <c r="AF45" s="18" t="str">
        <f t="shared" si="8"/>
        <v>-</v>
      </c>
    </row>
    <row r="46" spans="1:32" x14ac:dyDescent="0.3">
      <c r="A46" s="15">
        <v>0.45</v>
      </c>
      <c r="B46" s="12" t="s">
        <v>36</v>
      </c>
      <c r="C46" s="3" t="s">
        <v>18</v>
      </c>
      <c r="D46" s="18" t="str">
        <f>IFERROR(AVERAGEIFS('BDT''s'!W:W,'BDT''s'!L:L,VMI!C46,'BDT''s'!F:F,VMI!B46,'BDT''s'!E:E,VMI!A46),"-")</f>
        <v>-</v>
      </c>
      <c r="E46" s="18" t="str" cm="1">
        <f t="array" ref="E46">IFERROR(_xlfn.PERCENTILE.INC(_xlfn._xlws.FILTER('BDT''s'!W:W,('BDT''s'!L:L=VMI!C46)*('BDT''s'!F:F=VMI!B46)*('BDT''s'!E:E=VMI!A46)),0.5),"-")</f>
        <v>-</v>
      </c>
      <c r="F46" s="18" t="str" cm="1">
        <f t="array" ref="F46">IFERROR(_xlfn.PERCENTILE.INC(_xlfn._xlws.FILTER('BDT''s'!W:W,('BDT''s'!L:L=VMI!C46)*('BDT''s'!F:F=VMI!B46)*('BDT''s'!E:E=VMI!A46)),0.75),"-")</f>
        <v>-</v>
      </c>
      <c r="G46" s="18">
        <f>IFERROR(_xlfn.MAXIFS('BDT''s'!W:W,'BDT''s'!L:L,VMI!C46,'BDT''s'!F:F,VMI!B46,'BDT''s'!E:E,VMI!A46),"-")</f>
        <v>0</v>
      </c>
      <c r="H46" s="16">
        <f>IFERROR(COUNTIFS('BDT''s'!L:L,VMI!C46,'BDT''s'!F:F,VMI!B46,'BDT''s'!E:E,VMI!A46),"-")</f>
        <v>0</v>
      </c>
      <c r="I46" s="12" t="str">
        <f t="shared" si="0"/>
        <v>-</v>
      </c>
      <c r="J46" s="16" t="str">
        <f t="shared" si="1"/>
        <v>-</v>
      </c>
      <c r="K46" s="18" t="str">
        <f>IFERROR(AVERAGEIFS('BDT''s'!$W:$W,'BDT''s'!$L:$L,VMI!C46,'BDT''s'!$F:$F,VMI!$B46,'BDT''s'!$E:$E,VMI!$A46)*J46,"-")</f>
        <v>-</v>
      </c>
      <c r="L46" s="18" t="str">
        <f t="shared" si="2"/>
        <v>-</v>
      </c>
      <c r="M46" s="3" t="s">
        <v>19</v>
      </c>
      <c r="N46" s="18" t="str">
        <f>IFERROR(AVERAGEIFS('BDT''s'!W:W,'BDT''s'!L:L,VMI!M46,'BDT''s'!F:F,VMI!B46,'BDT''s'!E:E,VMI!A46),"-")</f>
        <v>-</v>
      </c>
      <c r="O46" s="18" t="str" cm="1">
        <f t="array" ref="O46">IFERROR(_xlfn.PERCENTILE.INC(_xlfn._xlws.FILTER('BDT''s'!W:W,('BDT''s'!L:L=VMI!M46)*('BDT''s'!F:F=VMI!B46)*('BDT''s'!E:E=VMI!A46)),0.5),"-")</f>
        <v>-</v>
      </c>
      <c r="P46" s="18" t="str" cm="1">
        <f t="array" ref="P46">IFERROR(_xlfn.PERCENTILE.INC(_xlfn._xlws.FILTER('BDT''s'!W:W,('BDT''s'!L:L=VMI!M46)*('BDT''s'!F:F=VMI!B46)*('BDT''s'!E:E=VMI!A46)),0.75),"-")</f>
        <v>-</v>
      </c>
      <c r="Q46" s="18">
        <f>IFERROR(_xlfn.MAXIFS('BDT''s'!W:W,'BDT''s'!L:L,VMI!M46,'BDT''s'!F:F,VMI!B46,'BDT''s'!E:E,VMI!A46),"-")</f>
        <v>0</v>
      </c>
      <c r="R46" s="16">
        <f>IFERROR(COUNTIFS('BDT''s'!L:L,VMI!M46,'BDT''s'!F:F,VMI!B46,'BDT''s'!E:E,VMI!A46),"-")</f>
        <v>0</v>
      </c>
      <c r="S46" s="12" t="str">
        <f t="shared" si="3"/>
        <v>-</v>
      </c>
      <c r="T46" s="16" t="str">
        <f t="shared" si="4"/>
        <v>-</v>
      </c>
      <c r="U46" s="18" t="str">
        <f>IFERROR(AVERAGEIFS('BDT''s'!$W:$W,'BDT''s'!$L:$L,VMI!M46,'BDT''s'!$F:$F,VMI!$B46,'BDT''s'!$E:$E,VMI!$A46)*T46,"-")</f>
        <v>-</v>
      </c>
      <c r="V46" s="18" t="str">
        <f t="shared" si="5"/>
        <v>-</v>
      </c>
      <c r="W46" s="3" t="s">
        <v>20</v>
      </c>
      <c r="X46" s="18" t="str">
        <f>IFERROR(AVERAGEIFS('BDT''s'!W:W,'BDT''s'!L:L,VMI!W46,'BDT''s'!F:F,VMI!B46,'BDT''s'!E:E,VMI!A46),"-")</f>
        <v>-</v>
      </c>
      <c r="Y46" s="18" t="str" cm="1">
        <f t="array" ref="Y46">IFERROR(_xlfn.PERCENTILE.INC(_xlfn._xlws.FILTER('BDT''s'!W:W,('BDT''s'!L:L=VMI!W46)*('BDT''s'!F:F=VMI!B46)*('BDT''s'!E:E=VMI!A46)),0.5),"-")</f>
        <v>-</v>
      </c>
      <c r="Z46" s="18" t="str" cm="1">
        <f t="array" ref="Z46">IFERROR(_xlfn.PERCENTILE.INC(_xlfn._xlws.FILTER('BDT''s'!W:W,('BDT''s'!L:L=VMI!W46)*('BDT''s'!F:F=VMI!B46)*('BDT''s'!E:E=VMI!A46)),0.75),"-")</f>
        <v>-</v>
      </c>
      <c r="AA46" s="18">
        <f>IFERROR(_xlfn.MAXIFS('BDT''s'!W:W,'BDT''s'!L:L,VMI!W46,'BDT''s'!F:F,VMI!B46,'BDT''s'!E:E,VMI!A46),"-")</f>
        <v>0</v>
      </c>
      <c r="AB46" s="16">
        <f>IFERROR(COUNTIFS('BDT''s'!L:L,VMI!W46,'BDT''s'!F:F,VMI!B46,'BDT''s'!E:E,VMI!A46),"-")</f>
        <v>0</v>
      </c>
      <c r="AC46" s="12" t="str">
        <f t="shared" si="6"/>
        <v>-</v>
      </c>
      <c r="AD46" s="16" t="str">
        <f t="shared" si="7"/>
        <v>-</v>
      </c>
      <c r="AE46" s="18" t="str">
        <f>IFERROR(AVERAGEIFS('BDT''s'!$W:$W,'BDT''s'!$L:$L,VMI!W46,'BDT''s'!$F:$F,VMI!$B46,'BDT''s'!$E:$E,VMI!$A46)*AD46,"-")</f>
        <v>-</v>
      </c>
      <c r="AF46" s="18" t="str">
        <f t="shared" si="8"/>
        <v>-</v>
      </c>
    </row>
    <row r="47" spans="1:32" x14ac:dyDescent="0.3">
      <c r="A47" s="15">
        <v>0.46</v>
      </c>
      <c r="B47" s="12" t="s">
        <v>37</v>
      </c>
      <c r="C47" s="3" t="s">
        <v>18</v>
      </c>
      <c r="D47" s="18" t="str">
        <f>IFERROR(AVERAGEIFS('BDT''s'!W:W,'BDT''s'!L:L,VMI!C47,'BDT''s'!F:F,VMI!B47,'BDT''s'!E:E,VMI!A47),"-")</f>
        <v>-</v>
      </c>
      <c r="E47" s="18" t="str" cm="1">
        <f t="array" ref="E47">IFERROR(_xlfn.PERCENTILE.INC(_xlfn._xlws.FILTER('BDT''s'!W:W,('BDT''s'!L:L=VMI!C47)*('BDT''s'!F:F=VMI!B47)*('BDT''s'!E:E=VMI!A47)),0.5),"-")</f>
        <v>-</v>
      </c>
      <c r="F47" s="18" t="str" cm="1">
        <f t="array" ref="F47">IFERROR(_xlfn.PERCENTILE.INC(_xlfn._xlws.FILTER('BDT''s'!W:W,('BDT''s'!L:L=VMI!C47)*('BDT''s'!F:F=VMI!B47)*('BDT''s'!E:E=VMI!A47)),0.75),"-")</f>
        <v>-</v>
      </c>
      <c r="G47" s="18">
        <f>IFERROR(_xlfn.MAXIFS('BDT''s'!W:W,'BDT''s'!L:L,VMI!C47,'BDT''s'!F:F,VMI!B47,'BDT''s'!E:E,VMI!A47),"-")</f>
        <v>0</v>
      </c>
      <c r="H47" s="16">
        <f>IFERROR(COUNTIFS('BDT''s'!L:L,VMI!C47,'BDT''s'!F:F,VMI!B47,'BDT''s'!E:E,VMI!A47),"-")</f>
        <v>0</v>
      </c>
      <c r="I47" s="12" t="str">
        <f t="shared" si="0"/>
        <v>-</v>
      </c>
      <c r="J47" s="16" t="str">
        <f t="shared" si="1"/>
        <v>-</v>
      </c>
      <c r="K47" s="18" t="str">
        <f>IFERROR(AVERAGEIFS('BDT''s'!$W:$W,'BDT''s'!$L:$L,VMI!C47,'BDT''s'!$F:$F,VMI!$B47,'BDT''s'!$E:$E,VMI!$A47)*J47,"-")</f>
        <v>-</v>
      </c>
      <c r="L47" s="18" t="str">
        <f t="shared" si="2"/>
        <v>-</v>
      </c>
      <c r="M47" s="3" t="s">
        <v>19</v>
      </c>
      <c r="N47" s="18" t="str">
        <f>IFERROR(AVERAGEIFS('BDT''s'!W:W,'BDT''s'!L:L,VMI!M47,'BDT''s'!F:F,VMI!B47,'BDT''s'!E:E,VMI!A47),"-")</f>
        <v>-</v>
      </c>
      <c r="O47" s="18" t="str" cm="1">
        <f t="array" ref="O47">IFERROR(_xlfn.PERCENTILE.INC(_xlfn._xlws.FILTER('BDT''s'!W:W,('BDT''s'!L:L=VMI!M47)*('BDT''s'!F:F=VMI!B47)*('BDT''s'!E:E=VMI!A47)),0.5),"-")</f>
        <v>-</v>
      </c>
      <c r="P47" s="18" t="str" cm="1">
        <f t="array" ref="P47">IFERROR(_xlfn.PERCENTILE.INC(_xlfn._xlws.FILTER('BDT''s'!W:W,('BDT''s'!L:L=VMI!M47)*('BDT''s'!F:F=VMI!B47)*('BDT''s'!E:E=VMI!A47)),0.75),"-")</f>
        <v>-</v>
      </c>
      <c r="Q47" s="18">
        <f>IFERROR(_xlfn.MAXIFS('BDT''s'!W:W,'BDT''s'!L:L,VMI!M47,'BDT''s'!F:F,VMI!B47,'BDT''s'!E:E,VMI!A47),"-")</f>
        <v>0</v>
      </c>
      <c r="R47" s="16">
        <f>IFERROR(COUNTIFS('BDT''s'!L:L,VMI!M47,'BDT''s'!F:F,VMI!B47,'BDT''s'!E:E,VMI!A47),"-")</f>
        <v>0</v>
      </c>
      <c r="S47" s="12" t="str">
        <f t="shared" si="3"/>
        <v>-</v>
      </c>
      <c r="T47" s="16" t="str">
        <f t="shared" si="4"/>
        <v>-</v>
      </c>
      <c r="U47" s="18" t="str">
        <f>IFERROR(AVERAGEIFS('BDT''s'!$W:$W,'BDT''s'!$L:$L,VMI!M47,'BDT''s'!$F:$F,VMI!$B47,'BDT''s'!$E:$E,VMI!$A47)*T47,"-")</f>
        <v>-</v>
      </c>
      <c r="V47" s="18" t="str">
        <f t="shared" si="5"/>
        <v>-</v>
      </c>
      <c r="W47" s="3" t="s">
        <v>20</v>
      </c>
      <c r="X47" s="18" t="str">
        <f>IFERROR(AVERAGEIFS('BDT''s'!W:W,'BDT''s'!L:L,VMI!W47,'BDT''s'!F:F,VMI!B47,'BDT''s'!E:E,VMI!A47),"-")</f>
        <v>-</v>
      </c>
      <c r="Y47" s="18" t="str" cm="1">
        <f t="array" ref="Y47">IFERROR(_xlfn.PERCENTILE.INC(_xlfn._xlws.FILTER('BDT''s'!W:W,('BDT''s'!L:L=VMI!W47)*('BDT''s'!F:F=VMI!B47)*('BDT''s'!E:E=VMI!A47)),0.5),"-")</f>
        <v>-</v>
      </c>
      <c r="Z47" s="18" t="str" cm="1">
        <f t="array" ref="Z47">IFERROR(_xlfn.PERCENTILE.INC(_xlfn._xlws.FILTER('BDT''s'!W:W,('BDT''s'!L:L=VMI!W47)*('BDT''s'!F:F=VMI!B47)*('BDT''s'!E:E=VMI!A47)),0.75),"-")</f>
        <v>-</v>
      </c>
      <c r="AA47" s="18">
        <f>IFERROR(_xlfn.MAXIFS('BDT''s'!W:W,'BDT''s'!L:L,VMI!W47,'BDT''s'!F:F,VMI!B47,'BDT''s'!E:E,VMI!A47),"-")</f>
        <v>0</v>
      </c>
      <c r="AB47" s="16">
        <f>IFERROR(COUNTIFS('BDT''s'!L:L,VMI!W47,'BDT''s'!F:F,VMI!B47,'BDT''s'!E:E,VMI!A47),"-")</f>
        <v>0</v>
      </c>
      <c r="AC47" s="12" t="str">
        <f t="shared" si="6"/>
        <v>-</v>
      </c>
      <c r="AD47" s="16" t="str">
        <f t="shared" si="7"/>
        <v>-</v>
      </c>
      <c r="AE47" s="18" t="str">
        <f>IFERROR(AVERAGEIFS('BDT''s'!$W:$W,'BDT''s'!$L:$L,VMI!W47,'BDT''s'!$F:$F,VMI!$B47,'BDT''s'!$E:$E,VMI!$A47)*AD47,"-")</f>
        <v>-</v>
      </c>
      <c r="AF47" s="18" t="str">
        <f t="shared" si="8"/>
        <v>-</v>
      </c>
    </row>
    <row r="48" spans="1:32" x14ac:dyDescent="0.3">
      <c r="A48" s="15">
        <v>0.47</v>
      </c>
      <c r="B48" s="12" t="s">
        <v>37</v>
      </c>
      <c r="C48" s="3" t="s">
        <v>18</v>
      </c>
      <c r="D48" s="18" t="str">
        <f>IFERROR(AVERAGEIFS('BDT''s'!W:W,'BDT''s'!L:L,VMI!C48,'BDT''s'!F:F,VMI!B48,'BDT''s'!E:E,VMI!A48),"-")</f>
        <v>-</v>
      </c>
      <c r="E48" s="18" t="str" cm="1">
        <f t="array" ref="E48">IFERROR(_xlfn.PERCENTILE.INC(_xlfn._xlws.FILTER('BDT''s'!W:W,('BDT''s'!L:L=VMI!C48)*('BDT''s'!F:F=VMI!B48)*('BDT''s'!E:E=VMI!A48)),0.5),"-")</f>
        <v>-</v>
      </c>
      <c r="F48" s="18" t="str" cm="1">
        <f t="array" ref="F48">IFERROR(_xlfn.PERCENTILE.INC(_xlfn._xlws.FILTER('BDT''s'!W:W,('BDT''s'!L:L=VMI!C48)*('BDT''s'!F:F=VMI!B48)*('BDT''s'!E:E=VMI!A48)),0.75),"-")</f>
        <v>-</v>
      </c>
      <c r="G48" s="18">
        <f>IFERROR(_xlfn.MAXIFS('BDT''s'!W:W,'BDT''s'!L:L,VMI!C48,'BDT''s'!F:F,VMI!B48,'BDT''s'!E:E,VMI!A48),"-")</f>
        <v>0</v>
      </c>
      <c r="H48" s="16">
        <f>IFERROR(COUNTIFS('BDT''s'!L:L,VMI!C48,'BDT''s'!F:F,VMI!B48,'BDT''s'!E:E,VMI!A48),"-")</f>
        <v>0</v>
      </c>
      <c r="I48" s="12" t="str">
        <f t="shared" si="0"/>
        <v>-</v>
      </c>
      <c r="J48" s="16" t="str">
        <f t="shared" si="1"/>
        <v>-</v>
      </c>
      <c r="K48" s="18" t="str">
        <f>IFERROR(AVERAGEIFS('BDT''s'!$W:$W,'BDT''s'!$L:$L,VMI!C48,'BDT''s'!$F:$F,VMI!$B48,'BDT''s'!$E:$E,VMI!$A48)*J48,"-")</f>
        <v>-</v>
      </c>
      <c r="L48" s="18" t="str">
        <f t="shared" si="2"/>
        <v>-</v>
      </c>
      <c r="M48" s="3" t="s">
        <v>19</v>
      </c>
      <c r="N48" s="18" t="str">
        <f>IFERROR(AVERAGEIFS('BDT''s'!W:W,'BDT''s'!L:L,VMI!M48,'BDT''s'!F:F,VMI!B48,'BDT''s'!E:E,VMI!A48),"-")</f>
        <v>-</v>
      </c>
      <c r="O48" s="18" t="str" cm="1">
        <f t="array" ref="O48">IFERROR(_xlfn.PERCENTILE.INC(_xlfn._xlws.FILTER('BDT''s'!W:W,('BDT''s'!L:L=VMI!M48)*('BDT''s'!F:F=VMI!B48)*('BDT''s'!E:E=VMI!A48)),0.5),"-")</f>
        <v>-</v>
      </c>
      <c r="P48" s="18" t="str" cm="1">
        <f t="array" ref="P48">IFERROR(_xlfn.PERCENTILE.INC(_xlfn._xlws.FILTER('BDT''s'!W:W,('BDT''s'!L:L=VMI!M48)*('BDT''s'!F:F=VMI!B48)*('BDT''s'!E:E=VMI!A48)),0.75),"-")</f>
        <v>-</v>
      </c>
      <c r="Q48" s="18">
        <f>IFERROR(_xlfn.MAXIFS('BDT''s'!W:W,'BDT''s'!L:L,VMI!M48,'BDT''s'!F:F,VMI!B48,'BDT''s'!E:E,VMI!A48),"-")</f>
        <v>0</v>
      </c>
      <c r="R48" s="16">
        <f>IFERROR(COUNTIFS('BDT''s'!L:L,VMI!M48,'BDT''s'!F:F,VMI!B48,'BDT''s'!E:E,VMI!A48),"-")</f>
        <v>0</v>
      </c>
      <c r="S48" s="12" t="str">
        <f t="shared" si="3"/>
        <v>-</v>
      </c>
      <c r="T48" s="16" t="str">
        <f t="shared" si="4"/>
        <v>-</v>
      </c>
      <c r="U48" s="18" t="str">
        <f>IFERROR(AVERAGEIFS('BDT''s'!$W:$W,'BDT''s'!$L:$L,VMI!M48,'BDT''s'!$F:$F,VMI!$B48,'BDT''s'!$E:$E,VMI!$A48)*T48,"-")</f>
        <v>-</v>
      </c>
      <c r="V48" s="18" t="str">
        <f t="shared" si="5"/>
        <v>-</v>
      </c>
      <c r="W48" s="3" t="s">
        <v>20</v>
      </c>
      <c r="X48" s="18" t="str">
        <f>IFERROR(AVERAGEIFS('BDT''s'!W:W,'BDT''s'!L:L,VMI!W48,'BDT''s'!F:F,VMI!B48,'BDT''s'!E:E,VMI!A48),"-")</f>
        <v>-</v>
      </c>
      <c r="Y48" s="18" t="str" cm="1">
        <f t="array" ref="Y48">IFERROR(_xlfn.PERCENTILE.INC(_xlfn._xlws.FILTER('BDT''s'!W:W,('BDT''s'!L:L=VMI!W48)*('BDT''s'!F:F=VMI!B48)*('BDT''s'!E:E=VMI!A48)),0.5),"-")</f>
        <v>-</v>
      </c>
      <c r="Z48" s="18" t="str" cm="1">
        <f t="array" ref="Z48">IFERROR(_xlfn.PERCENTILE.INC(_xlfn._xlws.FILTER('BDT''s'!W:W,('BDT''s'!L:L=VMI!W48)*('BDT''s'!F:F=VMI!B48)*('BDT''s'!E:E=VMI!A48)),0.75),"-")</f>
        <v>-</v>
      </c>
      <c r="AA48" s="18">
        <f>IFERROR(_xlfn.MAXIFS('BDT''s'!W:W,'BDT''s'!L:L,VMI!W48,'BDT''s'!F:F,VMI!B48,'BDT''s'!E:E,VMI!A48),"-")</f>
        <v>0</v>
      </c>
      <c r="AB48" s="16">
        <f>IFERROR(COUNTIFS('BDT''s'!L:L,VMI!W48,'BDT''s'!F:F,VMI!B48,'BDT''s'!E:E,VMI!A48),"-")</f>
        <v>0</v>
      </c>
      <c r="AC48" s="12" t="str">
        <f t="shared" si="6"/>
        <v>-</v>
      </c>
      <c r="AD48" s="16" t="str">
        <f t="shared" si="7"/>
        <v>-</v>
      </c>
      <c r="AE48" s="18" t="str">
        <f>IFERROR(AVERAGEIFS('BDT''s'!$W:$W,'BDT''s'!$L:$L,VMI!W48,'BDT''s'!$F:$F,VMI!$B48,'BDT''s'!$E:$E,VMI!$A48)*AD48,"-")</f>
        <v>-</v>
      </c>
      <c r="AF48" s="18" t="str">
        <f t="shared" si="8"/>
        <v>-</v>
      </c>
    </row>
    <row r="49" spans="1:32" x14ac:dyDescent="0.3">
      <c r="A49" s="15">
        <v>0.48</v>
      </c>
      <c r="B49" s="12" t="s">
        <v>37</v>
      </c>
      <c r="C49" s="3" t="s">
        <v>18</v>
      </c>
      <c r="D49" s="18" t="str">
        <f>IFERROR(AVERAGEIFS('BDT''s'!W:W,'BDT''s'!L:L,VMI!C49,'BDT''s'!F:F,VMI!B49,'BDT''s'!E:E,VMI!A49),"-")</f>
        <v>-</v>
      </c>
      <c r="E49" s="18" t="str" cm="1">
        <f t="array" ref="E49">IFERROR(_xlfn.PERCENTILE.INC(_xlfn._xlws.FILTER('BDT''s'!W:W,('BDT''s'!L:L=VMI!C49)*('BDT''s'!F:F=VMI!B49)*('BDT''s'!E:E=VMI!A49)),0.5),"-")</f>
        <v>-</v>
      </c>
      <c r="F49" s="18" t="str" cm="1">
        <f t="array" ref="F49">IFERROR(_xlfn.PERCENTILE.INC(_xlfn._xlws.FILTER('BDT''s'!W:W,('BDT''s'!L:L=VMI!C49)*('BDT''s'!F:F=VMI!B49)*('BDT''s'!E:E=VMI!A49)),0.75),"-")</f>
        <v>-</v>
      </c>
      <c r="G49" s="18">
        <f>IFERROR(_xlfn.MAXIFS('BDT''s'!W:W,'BDT''s'!L:L,VMI!C49,'BDT''s'!F:F,VMI!B49,'BDT''s'!E:E,VMI!A49),"-")</f>
        <v>0</v>
      </c>
      <c r="H49" s="16">
        <f>IFERROR(COUNTIFS('BDT''s'!L:L,VMI!C49,'BDT''s'!F:F,VMI!B49,'BDT''s'!E:E,VMI!A49),"-")</f>
        <v>0</v>
      </c>
      <c r="I49" s="12" t="str">
        <f t="shared" si="0"/>
        <v>-</v>
      </c>
      <c r="J49" s="16" t="str">
        <f t="shared" si="1"/>
        <v>-</v>
      </c>
      <c r="K49" s="18" t="str">
        <f>IFERROR(AVERAGEIFS('BDT''s'!$W:$W,'BDT''s'!$L:$L,VMI!C49,'BDT''s'!$F:$F,VMI!$B49,'BDT''s'!$E:$E,VMI!$A49)*J49,"-")</f>
        <v>-</v>
      </c>
      <c r="L49" s="18" t="str">
        <f t="shared" si="2"/>
        <v>-</v>
      </c>
      <c r="M49" s="3" t="s">
        <v>19</v>
      </c>
      <c r="N49" s="18" t="str">
        <f>IFERROR(AVERAGEIFS('BDT''s'!W:W,'BDT''s'!L:L,VMI!M49,'BDT''s'!F:F,VMI!B49,'BDT''s'!E:E,VMI!A49),"-")</f>
        <v>-</v>
      </c>
      <c r="O49" s="18" t="str" cm="1">
        <f t="array" ref="O49">IFERROR(_xlfn.PERCENTILE.INC(_xlfn._xlws.FILTER('BDT''s'!W:W,('BDT''s'!L:L=VMI!M49)*('BDT''s'!F:F=VMI!B49)*('BDT''s'!E:E=VMI!A49)),0.5),"-")</f>
        <v>-</v>
      </c>
      <c r="P49" s="18" t="str" cm="1">
        <f t="array" ref="P49">IFERROR(_xlfn.PERCENTILE.INC(_xlfn._xlws.FILTER('BDT''s'!W:W,('BDT''s'!L:L=VMI!M49)*('BDT''s'!F:F=VMI!B49)*('BDT''s'!E:E=VMI!A49)),0.75),"-")</f>
        <v>-</v>
      </c>
      <c r="Q49" s="18">
        <f>IFERROR(_xlfn.MAXIFS('BDT''s'!W:W,'BDT''s'!L:L,VMI!M49,'BDT''s'!F:F,VMI!B49,'BDT''s'!E:E,VMI!A49),"-")</f>
        <v>0</v>
      </c>
      <c r="R49" s="16">
        <f>IFERROR(COUNTIFS('BDT''s'!L:L,VMI!M49,'BDT''s'!F:F,VMI!B49,'BDT''s'!E:E,VMI!A49),"-")</f>
        <v>0</v>
      </c>
      <c r="S49" s="12" t="str">
        <f t="shared" si="3"/>
        <v>-</v>
      </c>
      <c r="T49" s="16" t="str">
        <f t="shared" si="4"/>
        <v>-</v>
      </c>
      <c r="U49" s="18" t="str">
        <f>IFERROR(AVERAGEIFS('BDT''s'!$W:$W,'BDT''s'!$L:$L,VMI!M49,'BDT''s'!$F:$F,VMI!$B49,'BDT''s'!$E:$E,VMI!$A49)*T49,"-")</f>
        <v>-</v>
      </c>
      <c r="V49" s="18" t="str">
        <f t="shared" si="5"/>
        <v>-</v>
      </c>
      <c r="W49" s="3" t="s">
        <v>20</v>
      </c>
      <c r="X49" s="18" t="str">
        <f>IFERROR(AVERAGEIFS('BDT''s'!W:W,'BDT''s'!L:L,VMI!W49,'BDT''s'!F:F,VMI!B49,'BDT''s'!E:E,VMI!A49),"-")</f>
        <v>-</v>
      </c>
      <c r="Y49" s="18" t="str" cm="1">
        <f t="array" ref="Y49">IFERROR(_xlfn.PERCENTILE.INC(_xlfn._xlws.FILTER('BDT''s'!W:W,('BDT''s'!L:L=VMI!W49)*('BDT''s'!F:F=VMI!B49)*('BDT''s'!E:E=VMI!A49)),0.5),"-")</f>
        <v>-</v>
      </c>
      <c r="Z49" s="18" t="str" cm="1">
        <f t="array" ref="Z49">IFERROR(_xlfn.PERCENTILE.INC(_xlfn._xlws.FILTER('BDT''s'!W:W,('BDT''s'!L:L=VMI!W49)*('BDT''s'!F:F=VMI!B49)*('BDT''s'!E:E=VMI!A49)),0.75),"-")</f>
        <v>-</v>
      </c>
      <c r="AA49" s="18">
        <f>IFERROR(_xlfn.MAXIFS('BDT''s'!W:W,'BDT''s'!L:L,VMI!W49,'BDT''s'!F:F,VMI!B49,'BDT''s'!E:E,VMI!A49),"-")</f>
        <v>0</v>
      </c>
      <c r="AB49" s="16">
        <f>IFERROR(COUNTIFS('BDT''s'!L:L,VMI!W49,'BDT''s'!F:F,VMI!B49,'BDT''s'!E:E,VMI!A49),"-")</f>
        <v>0</v>
      </c>
      <c r="AC49" s="12" t="str">
        <f t="shared" si="6"/>
        <v>-</v>
      </c>
      <c r="AD49" s="16" t="str">
        <f t="shared" si="7"/>
        <v>-</v>
      </c>
      <c r="AE49" s="18" t="str">
        <f>IFERROR(AVERAGEIFS('BDT''s'!$W:$W,'BDT''s'!$L:$L,VMI!W49,'BDT''s'!$F:$F,VMI!$B49,'BDT''s'!$E:$E,VMI!$A49)*AD49,"-")</f>
        <v>-</v>
      </c>
      <c r="AF49" s="18" t="str">
        <f t="shared" si="8"/>
        <v>-</v>
      </c>
    </row>
    <row r="50" spans="1:32" x14ac:dyDescent="0.3">
      <c r="A50" s="15">
        <v>0.49</v>
      </c>
      <c r="B50" s="12" t="s">
        <v>37</v>
      </c>
      <c r="C50" s="3" t="s">
        <v>18</v>
      </c>
      <c r="D50" s="18" t="str">
        <f>IFERROR(AVERAGEIFS('BDT''s'!W:W,'BDT''s'!L:L,VMI!C50,'BDT''s'!F:F,VMI!B50,'BDT''s'!E:E,VMI!A50),"-")</f>
        <v>-</v>
      </c>
      <c r="E50" s="18" t="str" cm="1">
        <f t="array" ref="E50">IFERROR(_xlfn.PERCENTILE.INC(_xlfn._xlws.FILTER('BDT''s'!W:W,('BDT''s'!L:L=VMI!C50)*('BDT''s'!F:F=VMI!B50)*('BDT''s'!E:E=VMI!A50)),0.5),"-")</f>
        <v>-</v>
      </c>
      <c r="F50" s="18" t="str" cm="1">
        <f t="array" ref="F50">IFERROR(_xlfn.PERCENTILE.INC(_xlfn._xlws.FILTER('BDT''s'!W:W,('BDT''s'!L:L=VMI!C50)*('BDT''s'!F:F=VMI!B50)*('BDT''s'!E:E=VMI!A50)),0.75),"-")</f>
        <v>-</v>
      </c>
      <c r="G50" s="18">
        <f>IFERROR(_xlfn.MAXIFS('BDT''s'!W:W,'BDT''s'!L:L,VMI!C50,'BDT''s'!F:F,VMI!B50,'BDT''s'!E:E,VMI!A50),"-")</f>
        <v>0</v>
      </c>
      <c r="H50" s="16">
        <f>IFERROR(COUNTIFS('BDT''s'!L:L,VMI!C50,'BDT''s'!F:F,VMI!B50,'BDT''s'!E:E,VMI!A50),"-")</f>
        <v>0</v>
      </c>
      <c r="I50" s="12" t="str">
        <f t="shared" si="0"/>
        <v>-</v>
      </c>
      <c r="J50" s="16" t="str">
        <f t="shared" si="1"/>
        <v>-</v>
      </c>
      <c r="K50" s="18" t="str">
        <f>IFERROR(AVERAGEIFS('BDT''s'!$W:$W,'BDT''s'!$L:$L,VMI!C50,'BDT''s'!$F:$F,VMI!$B50,'BDT''s'!$E:$E,VMI!$A50)*J50,"-")</f>
        <v>-</v>
      </c>
      <c r="L50" s="18" t="str">
        <f t="shared" si="2"/>
        <v>-</v>
      </c>
      <c r="M50" s="3" t="s">
        <v>19</v>
      </c>
      <c r="N50" s="18" t="str">
        <f>IFERROR(AVERAGEIFS('BDT''s'!W:W,'BDT''s'!L:L,VMI!M50,'BDT''s'!F:F,VMI!B50,'BDT''s'!E:E,VMI!A50),"-")</f>
        <v>-</v>
      </c>
      <c r="O50" s="18" t="str" cm="1">
        <f t="array" ref="O50">IFERROR(_xlfn.PERCENTILE.INC(_xlfn._xlws.FILTER('BDT''s'!W:W,('BDT''s'!L:L=VMI!M50)*('BDT''s'!F:F=VMI!B50)*('BDT''s'!E:E=VMI!A50)),0.5),"-")</f>
        <v>-</v>
      </c>
      <c r="P50" s="18" t="str" cm="1">
        <f t="array" ref="P50">IFERROR(_xlfn.PERCENTILE.INC(_xlfn._xlws.FILTER('BDT''s'!W:W,('BDT''s'!L:L=VMI!M50)*('BDT''s'!F:F=VMI!B50)*('BDT''s'!E:E=VMI!A50)),0.75),"-")</f>
        <v>-</v>
      </c>
      <c r="Q50" s="18">
        <f>IFERROR(_xlfn.MAXIFS('BDT''s'!W:W,'BDT''s'!L:L,VMI!M50,'BDT''s'!F:F,VMI!B50,'BDT''s'!E:E,VMI!A50),"-")</f>
        <v>0</v>
      </c>
      <c r="R50" s="16">
        <f>IFERROR(COUNTIFS('BDT''s'!L:L,VMI!M50,'BDT''s'!F:F,VMI!B50,'BDT''s'!E:E,VMI!A50),"-")</f>
        <v>0</v>
      </c>
      <c r="S50" s="12" t="str">
        <f t="shared" si="3"/>
        <v>-</v>
      </c>
      <c r="T50" s="16" t="str">
        <f t="shared" si="4"/>
        <v>-</v>
      </c>
      <c r="U50" s="18" t="str">
        <f>IFERROR(AVERAGEIFS('BDT''s'!$W:$W,'BDT''s'!$L:$L,VMI!M50,'BDT''s'!$F:$F,VMI!$B50,'BDT''s'!$E:$E,VMI!$A50)*T50,"-")</f>
        <v>-</v>
      </c>
      <c r="V50" s="18" t="str">
        <f t="shared" si="5"/>
        <v>-</v>
      </c>
      <c r="W50" s="3" t="s">
        <v>20</v>
      </c>
      <c r="X50" s="18" t="str">
        <f>IFERROR(AVERAGEIFS('BDT''s'!W:W,'BDT''s'!L:L,VMI!W50,'BDT''s'!F:F,VMI!B50,'BDT''s'!E:E,VMI!A50),"-")</f>
        <v>-</v>
      </c>
      <c r="Y50" s="18" t="str" cm="1">
        <f t="array" ref="Y50">IFERROR(_xlfn.PERCENTILE.INC(_xlfn._xlws.FILTER('BDT''s'!W:W,('BDT''s'!L:L=VMI!W50)*('BDT''s'!F:F=VMI!B50)*('BDT''s'!E:E=VMI!A50)),0.5),"-")</f>
        <v>-</v>
      </c>
      <c r="Z50" s="18" t="str" cm="1">
        <f t="array" ref="Z50">IFERROR(_xlfn.PERCENTILE.INC(_xlfn._xlws.FILTER('BDT''s'!W:W,('BDT''s'!L:L=VMI!W50)*('BDT''s'!F:F=VMI!B50)*('BDT''s'!E:E=VMI!A50)),0.75),"-")</f>
        <v>-</v>
      </c>
      <c r="AA50" s="18">
        <f>IFERROR(_xlfn.MAXIFS('BDT''s'!W:W,'BDT''s'!L:L,VMI!W50,'BDT''s'!F:F,VMI!B50,'BDT''s'!E:E,VMI!A50),"-")</f>
        <v>0</v>
      </c>
      <c r="AB50" s="16">
        <f>IFERROR(COUNTIFS('BDT''s'!L:L,VMI!W50,'BDT''s'!F:F,VMI!B50,'BDT''s'!E:E,VMI!A50),"-")</f>
        <v>0</v>
      </c>
      <c r="AC50" s="12" t="str">
        <f t="shared" si="6"/>
        <v>-</v>
      </c>
      <c r="AD50" s="16" t="str">
        <f t="shared" si="7"/>
        <v>-</v>
      </c>
      <c r="AE50" s="18" t="str">
        <f>IFERROR(AVERAGEIFS('BDT''s'!$W:$W,'BDT''s'!$L:$L,VMI!W50,'BDT''s'!$F:$F,VMI!$B50,'BDT''s'!$E:$E,VMI!$A50)*AD50,"-")</f>
        <v>-</v>
      </c>
      <c r="AF50" s="18" t="str">
        <f t="shared" si="8"/>
        <v>-</v>
      </c>
    </row>
    <row r="51" spans="1:32" x14ac:dyDescent="0.3">
      <c r="A51" s="15">
        <v>0.5</v>
      </c>
      <c r="B51" s="12" t="s">
        <v>37</v>
      </c>
      <c r="C51" s="3" t="s">
        <v>18</v>
      </c>
      <c r="D51" s="18" t="str">
        <f>IFERROR(AVERAGEIFS('BDT''s'!W:W,'BDT''s'!L:L,VMI!C51,'BDT''s'!F:F,VMI!B51,'BDT''s'!E:E,VMI!A51),"-")</f>
        <v>-</v>
      </c>
      <c r="E51" s="18" t="str" cm="1">
        <f t="array" ref="E51">IFERROR(_xlfn.PERCENTILE.INC(_xlfn._xlws.FILTER('BDT''s'!W:W,('BDT''s'!L:L=VMI!C51)*('BDT''s'!F:F=VMI!B51)*('BDT''s'!E:E=VMI!A51)),0.5),"-")</f>
        <v>-</v>
      </c>
      <c r="F51" s="18" t="str" cm="1">
        <f t="array" ref="F51">IFERROR(_xlfn.PERCENTILE.INC(_xlfn._xlws.FILTER('BDT''s'!W:W,('BDT''s'!L:L=VMI!C51)*('BDT''s'!F:F=VMI!B51)*('BDT''s'!E:E=VMI!A51)),0.75),"-")</f>
        <v>-</v>
      </c>
      <c r="G51" s="18">
        <f>IFERROR(_xlfn.MAXIFS('BDT''s'!W:W,'BDT''s'!L:L,VMI!C51,'BDT''s'!F:F,VMI!B51,'BDT''s'!E:E,VMI!A51),"-")</f>
        <v>0</v>
      </c>
      <c r="H51" s="16">
        <f>IFERROR(COUNTIFS('BDT''s'!L:L,VMI!C51,'BDT''s'!F:F,VMI!B51,'BDT''s'!E:E,VMI!A51),"-")</f>
        <v>0</v>
      </c>
      <c r="I51" s="12" t="str">
        <f t="shared" si="0"/>
        <v>-</v>
      </c>
      <c r="J51" s="16" t="str">
        <f t="shared" si="1"/>
        <v>-</v>
      </c>
      <c r="K51" s="18" t="str">
        <f>IFERROR(AVERAGEIFS('BDT''s'!$W:$W,'BDT''s'!$L:$L,VMI!C51,'BDT''s'!$F:$F,VMI!$B51,'BDT''s'!$E:$E,VMI!$A51)*J51,"-")</f>
        <v>-</v>
      </c>
      <c r="L51" s="18" t="str">
        <f t="shared" si="2"/>
        <v>-</v>
      </c>
      <c r="M51" s="3" t="s">
        <v>19</v>
      </c>
      <c r="N51" s="18" t="str">
        <f>IFERROR(AVERAGEIFS('BDT''s'!W:W,'BDT''s'!L:L,VMI!M51,'BDT''s'!F:F,VMI!B51,'BDT''s'!E:E,VMI!A51),"-")</f>
        <v>-</v>
      </c>
      <c r="O51" s="18" t="str" cm="1">
        <f t="array" ref="O51">IFERROR(_xlfn.PERCENTILE.INC(_xlfn._xlws.FILTER('BDT''s'!W:W,('BDT''s'!L:L=VMI!M51)*('BDT''s'!F:F=VMI!B51)*('BDT''s'!E:E=VMI!A51)),0.5),"-")</f>
        <v>-</v>
      </c>
      <c r="P51" s="18" t="str" cm="1">
        <f t="array" ref="P51">IFERROR(_xlfn.PERCENTILE.INC(_xlfn._xlws.FILTER('BDT''s'!W:W,('BDT''s'!L:L=VMI!M51)*('BDT''s'!F:F=VMI!B51)*('BDT''s'!E:E=VMI!A51)),0.75),"-")</f>
        <v>-</v>
      </c>
      <c r="Q51" s="18">
        <f>IFERROR(_xlfn.MAXIFS('BDT''s'!W:W,'BDT''s'!L:L,VMI!M51,'BDT''s'!F:F,VMI!B51,'BDT''s'!E:E,VMI!A51),"-")</f>
        <v>0</v>
      </c>
      <c r="R51" s="16">
        <f>IFERROR(COUNTIFS('BDT''s'!L:L,VMI!M51,'BDT''s'!F:F,VMI!B51,'BDT''s'!E:E,VMI!A51),"-")</f>
        <v>0</v>
      </c>
      <c r="S51" s="12" t="str">
        <f t="shared" si="3"/>
        <v>-</v>
      </c>
      <c r="T51" s="16" t="str">
        <f t="shared" si="4"/>
        <v>-</v>
      </c>
      <c r="U51" s="18" t="str">
        <f>IFERROR(AVERAGEIFS('BDT''s'!$W:$W,'BDT''s'!$L:$L,VMI!M51,'BDT''s'!$F:$F,VMI!$B51,'BDT''s'!$E:$E,VMI!$A51)*T51,"-")</f>
        <v>-</v>
      </c>
      <c r="V51" s="18" t="str">
        <f t="shared" si="5"/>
        <v>-</v>
      </c>
      <c r="W51" s="3" t="s">
        <v>20</v>
      </c>
      <c r="X51" s="18" t="str">
        <f>IFERROR(AVERAGEIFS('BDT''s'!W:W,'BDT''s'!L:L,VMI!W51,'BDT''s'!F:F,VMI!B51,'BDT''s'!E:E,VMI!A51),"-")</f>
        <v>-</v>
      </c>
      <c r="Y51" s="18" t="str" cm="1">
        <f t="array" ref="Y51">IFERROR(_xlfn.PERCENTILE.INC(_xlfn._xlws.FILTER('BDT''s'!W:W,('BDT''s'!L:L=VMI!W51)*('BDT''s'!F:F=VMI!B51)*('BDT''s'!E:E=VMI!A51)),0.5),"-")</f>
        <v>-</v>
      </c>
      <c r="Z51" s="18" t="str" cm="1">
        <f t="array" ref="Z51">IFERROR(_xlfn.PERCENTILE.INC(_xlfn._xlws.FILTER('BDT''s'!W:W,('BDT''s'!L:L=VMI!W51)*('BDT''s'!F:F=VMI!B51)*('BDT''s'!E:E=VMI!A51)),0.75),"-")</f>
        <v>-</v>
      </c>
      <c r="AA51" s="18">
        <f>IFERROR(_xlfn.MAXIFS('BDT''s'!W:W,'BDT''s'!L:L,VMI!W51,'BDT''s'!F:F,VMI!B51,'BDT''s'!E:E,VMI!A51),"-")</f>
        <v>0</v>
      </c>
      <c r="AB51" s="16">
        <f>IFERROR(COUNTIFS('BDT''s'!L:L,VMI!W51,'BDT''s'!F:F,VMI!B51,'BDT''s'!E:E,VMI!A51),"-")</f>
        <v>0</v>
      </c>
      <c r="AC51" s="12" t="str">
        <f t="shared" si="6"/>
        <v>-</v>
      </c>
      <c r="AD51" s="16" t="str">
        <f t="shared" si="7"/>
        <v>-</v>
      </c>
      <c r="AE51" s="18" t="str">
        <f>IFERROR(AVERAGEIFS('BDT''s'!$W:$W,'BDT''s'!$L:$L,VMI!W51,'BDT''s'!$F:$F,VMI!$B51,'BDT''s'!$E:$E,VMI!$A51)*AD51,"-")</f>
        <v>-</v>
      </c>
      <c r="AF51" s="18" t="str">
        <f t="shared" si="8"/>
        <v>-</v>
      </c>
    </row>
    <row r="52" spans="1:32" x14ac:dyDescent="0.3">
      <c r="A52" s="15">
        <v>0.51</v>
      </c>
      <c r="B52" s="12" t="s">
        <v>38</v>
      </c>
      <c r="C52" s="3" t="s">
        <v>18</v>
      </c>
      <c r="D52" s="18" t="str">
        <f>IFERROR(AVERAGEIFS('BDT''s'!W:W,'BDT''s'!L:L,VMI!C52,'BDT''s'!F:F,VMI!B52,'BDT''s'!E:E,VMI!A52),"-")</f>
        <v>-</v>
      </c>
      <c r="E52" s="18" t="str" cm="1">
        <f t="array" ref="E52">IFERROR(_xlfn.PERCENTILE.INC(_xlfn._xlws.FILTER('BDT''s'!W:W,('BDT''s'!L:L=VMI!C52)*('BDT''s'!F:F=VMI!B52)*('BDT''s'!E:E=VMI!A52)),0.5),"-")</f>
        <v>-</v>
      </c>
      <c r="F52" s="18" t="str" cm="1">
        <f t="array" ref="F52">IFERROR(_xlfn.PERCENTILE.INC(_xlfn._xlws.FILTER('BDT''s'!W:W,('BDT''s'!L:L=VMI!C52)*('BDT''s'!F:F=VMI!B52)*('BDT''s'!E:E=VMI!A52)),0.75),"-")</f>
        <v>-</v>
      </c>
      <c r="G52" s="18">
        <f>IFERROR(_xlfn.MAXIFS('BDT''s'!W:W,'BDT''s'!L:L,VMI!C52,'BDT''s'!F:F,VMI!B52,'BDT''s'!E:E,VMI!A52),"-")</f>
        <v>0</v>
      </c>
      <c r="H52" s="16">
        <f>IFERROR(COUNTIFS('BDT''s'!L:L,VMI!C52,'BDT''s'!F:F,VMI!B52,'BDT''s'!E:E,VMI!A52),"-")</f>
        <v>0</v>
      </c>
      <c r="I52" s="12" t="str">
        <f t="shared" si="0"/>
        <v>-</v>
      </c>
      <c r="J52" s="16" t="str">
        <f t="shared" si="1"/>
        <v>-</v>
      </c>
      <c r="K52" s="18" t="str">
        <f>IFERROR(AVERAGEIFS('BDT''s'!$W:$W,'BDT''s'!$L:$L,VMI!C52,'BDT''s'!$F:$F,VMI!$B52,'BDT''s'!$E:$E,VMI!$A52)*J52,"-")</f>
        <v>-</v>
      </c>
      <c r="L52" s="18" t="str">
        <f t="shared" si="2"/>
        <v>-</v>
      </c>
      <c r="M52" s="3" t="s">
        <v>19</v>
      </c>
      <c r="N52" s="18" t="str">
        <f>IFERROR(AVERAGEIFS('BDT''s'!W:W,'BDT''s'!L:L,VMI!M52,'BDT''s'!F:F,VMI!B52,'BDT''s'!E:E,VMI!A52),"-")</f>
        <v>-</v>
      </c>
      <c r="O52" s="18" t="str" cm="1">
        <f t="array" ref="O52">IFERROR(_xlfn.PERCENTILE.INC(_xlfn._xlws.FILTER('BDT''s'!W:W,('BDT''s'!L:L=VMI!M52)*('BDT''s'!F:F=VMI!B52)*('BDT''s'!E:E=VMI!A52)),0.5),"-")</f>
        <v>-</v>
      </c>
      <c r="P52" s="18" t="str" cm="1">
        <f t="array" ref="P52">IFERROR(_xlfn.PERCENTILE.INC(_xlfn._xlws.FILTER('BDT''s'!W:W,('BDT''s'!L:L=VMI!M52)*('BDT''s'!F:F=VMI!B52)*('BDT''s'!E:E=VMI!A52)),0.75),"-")</f>
        <v>-</v>
      </c>
      <c r="Q52" s="18">
        <f>IFERROR(_xlfn.MAXIFS('BDT''s'!W:W,'BDT''s'!L:L,VMI!M52,'BDT''s'!F:F,VMI!B52,'BDT''s'!E:E,VMI!A52),"-")</f>
        <v>0</v>
      </c>
      <c r="R52" s="16">
        <f>IFERROR(COUNTIFS('BDT''s'!L:L,VMI!M52,'BDT''s'!F:F,VMI!B52,'BDT''s'!E:E,VMI!A52),"-")</f>
        <v>0</v>
      </c>
      <c r="S52" s="12" t="str">
        <f t="shared" si="3"/>
        <v>-</v>
      </c>
      <c r="T52" s="16" t="str">
        <f t="shared" si="4"/>
        <v>-</v>
      </c>
      <c r="U52" s="18" t="str">
        <f>IFERROR(AVERAGEIFS('BDT''s'!$W:$W,'BDT''s'!$L:$L,VMI!M52,'BDT''s'!$F:$F,VMI!$B52,'BDT''s'!$E:$E,VMI!$A52)*T52,"-")</f>
        <v>-</v>
      </c>
      <c r="V52" s="18" t="str">
        <f t="shared" si="5"/>
        <v>-</v>
      </c>
      <c r="W52" s="3" t="s">
        <v>20</v>
      </c>
      <c r="X52" s="18" t="str">
        <f>IFERROR(AVERAGEIFS('BDT''s'!W:W,'BDT''s'!L:L,VMI!W52,'BDT''s'!F:F,VMI!B52,'BDT''s'!E:E,VMI!A52),"-")</f>
        <v>-</v>
      </c>
      <c r="Y52" s="18" t="str" cm="1">
        <f t="array" ref="Y52">IFERROR(_xlfn.PERCENTILE.INC(_xlfn._xlws.FILTER('BDT''s'!W:W,('BDT''s'!L:L=VMI!W52)*('BDT''s'!F:F=VMI!B52)*('BDT''s'!E:E=VMI!A52)),0.5),"-")</f>
        <v>-</v>
      </c>
      <c r="Z52" s="18" t="str" cm="1">
        <f t="array" ref="Z52">IFERROR(_xlfn.PERCENTILE.INC(_xlfn._xlws.FILTER('BDT''s'!W:W,('BDT''s'!L:L=VMI!W52)*('BDT''s'!F:F=VMI!B52)*('BDT''s'!E:E=VMI!A52)),0.75),"-")</f>
        <v>-</v>
      </c>
      <c r="AA52" s="18">
        <f>IFERROR(_xlfn.MAXIFS('BDT''s'!W:W,'BDT''s'!L:L,VMI!W52,'BDT''s'!F:F,VMI!B52,'BDT''s'!E:E,VMI!A52),"-")</f>
        <v>0</v>
      </c>
      <c r="AB52" s="16">
        <f>IFERROR(COUNTIFS('BDT''s'!L:L,VMI!W52,'BDT''s'!F:F,VMI!B52,'BDT''s'!E:E,VMI!A52),"-")</f>
        <v>0</v>
      </c>
      <c r="AC52" s="12" t="str">
        <f t="shared" si="6"/>
        <v>-</v>
      </c>
      <c r="AD52" s="16" t="str">
        <f t="shared" si="7"/>
        <v>-</v>
      </c>
      <c r="AE52" s="18" t="str">
        <f>IFERROR(AVERAGEIFS('BDT''s'!$W:$W,'BDT''s'!$L:$L,VMI!W52,'BDT''s'!$F:$F,VMI!$B52,'BDT''s'!$E:$E,VMI!$A52)*AD52,"-")</f>
        <v>-</v>
      </c>
      <c r="AF52" s="18" t="str">
        <f t="shared" si="8"/>
        <v>-</v>
      </c>
    </row>
    <row r="53" spans="1:32" x14ac:dyDescent="0.3">
      <c r="A53" s="15">
        <v>0.52</v>
      </c>
      <c r="B53" s="12" t="s">
        <v>38</v>
      </c>
      <c r="C53" s="3" t="s">
        <v>18</v>
      </c>
      <c r="D53" s="18" t="str">
        <f>IFERROR(AVERAGEIFS('BDT''s'!W:W,'BDT''s'!L:L,VMI!C53,'BDT''s'!F:F,VMI!B53,'BDT''s'!E:E,VMI!A53),"-")</f>
        <v>-</v>
      </c>
      <c r="E53" s="18" t="str" cm="1">
        <f t="array" ref="E53">IFERROR(_xlfn.PERCENTILE.INC(_xlfn._xlws.FILTER('BDT''s'!W:W,('BDT''s'!L:L=VMI!C53)*('BDT''s'!F:F=VMI!B53)*('BDT''s'!E:E=VMI!A53)),0.5),"-")</f>
        <v>-</v>
      </c>
      <c r="F53" s="18" t="str" cm="1">
        <f t="array" ref="F53">IFERROR(_xlfn.PERCENTILE.INC(_xlfn._xlws.FILTER('BDT''s'!W:W,('BDT''s'!L:L=VMI!C53)*('BDT''s'!F:F=VMI!B53)*('BDT''s'!E:E=VMI!A53)),0.75),"-")</f>
        <v>-</v>
      </c>
      <c r="G53" s="18">
        <f>IFERROR(_xlfn.MAXIFS('BDT''s'!W:W,'BDT''s'!L:L,VMI!C53,'BDT''s'!F:F,VMI!B53,'BDT''s'!E:E,VMI!A53),"-")</f>
        <v>0</v>
      </c>
      <c r="H53" s="16">
        <f>IFERROR(COUNTIFS('BDT''s'!L:L,VMI!C53,'BDT''s'!F:F,VMI!B53,'BDT''s'!E:E,VMI!A53),"-")</f>
        <v>0</v>
      </c>
      <c r="I53" s="12" t="str">
        <f t="shared" si="0"/>
        <v>-</v>
      </c>
      <c r="J53" s="16" t="str">
        <f t="shared" si="1"/>
        <v>-</v>
      </c>
      <c r="K53" s="18" t="str">
        <f>IFERROR(AVERAGEIFS('BDT''s'!$W:$W,'BDT''s'!$L:$L,VMI!C53,'BDT''s'!$F:$F,VMI!$B53,'BDT''s'!$E:$E,VMI!$A53)*J53,"-")</f>
        <v>-</v>
      </c>
      <c r="L53" s="18" t="str">
        <f t="shared" si="2"/>
        <v>-</v>
      </c>
      <c r="M53" s="3" t="s">
        <v>19</v>
      </c>
      <c r="N53" s="18" t="str">
        <f>IFERROR(AVERAGEIFS('BDT''s'!W:W,'BDT''s'!L:L,VMI!M53,'BDT''s'!F:F,VMI!B53,'BDT''s'!E:E,VMI!A53),"-")</f>
        <v>-</v>
      </c>
      <c r="O53" s="18" t="str" cm="1">
        <f t="array" ref="O53">IFERROR(_xlfn.PERCENTILE.INC(_xlfn._xlws.FILTER('BDT''s'!W:W,('BDT''s'!L:L=VMI!M53)*('BDT''s'!F:F=VMI!B53)*('BDT''s'!E:E=VMI!A53)),0.5),"-")</f>
        <v>-</v>
      </c>
      <c r="P53" s="18" t="str" cm="1">
        <f t="array" ref="P53">IFERROR(_xlfn.PERCENTILE.INC(_xlfn._xlws.FILTER('BDT''s'!W:W,('BDT''s'!L:L=VMI!M53)*('BDT''s'!F:F=VMI!B53)*('BDT''s'!E:E=VMI!A53)),0.75),"-")</f>
        <v>-</v>
      </c>
      <c r="Q53" s="18">
        <f>IFERROR(_xlfn.MAXIFS('BDT''s'!W:W,'BDT''s'!L:L,VMI!M53,'BDT''s'!F:F,VMI!B53,'BDT''s'!E:E,VMI!A53),"-")</f>
        <v>0</v>
      </c>
      <c r="R53" s="16">
        <f>IFERROR(COUNTIFS('BDT''s'!L:L,VMI!M53,'BDT''s'!F:F,VMI!B53,'BDT''s'!E:E,VMI!A53),"-")</f>
        <v>0</v>
      </c>
      <c r="S53" s="12" t="str">
        <f t="shared" si="3"/>
        <v>-</v>
      </c>
      <c r="T53" s="16" t="str">
        <f t="shared" si="4"/>
        <v>-</v>
      </c>
      <c r="U53" s="18" t="str">
        <f>IFERROR(AVERAGEIFS('BDT''s'!$W:$W,'BDT''s'!$L:$L,VMI!M53,'BDT''s'!$F:$F,VMI!$B53,'BDT''s'!$E:$E,VMI!$A53)*T53,"-")</f>
        <v>-</v>
      </c>
      <c r="V53" s="18" t="str">
        <f t="shared" si="5"/>
        <v>-</v>
      </c>
      <c r="W53" s="3" t="s">
        <v>20</v>
      </c>
      <c r="X53" s="18" t="str">
        <f>IFERROR(AVERAGEIFS('BDT''s'!W:W,'BDT''s'!L:L,VMI!W53,'BDT''s'!F:F,VMI!B53,'BDT''s'!E:E,VMI!A53),"-")</f>
        <v>-</v>
      </c>
      <c r="Y53" s="18" t="str" cm="1">
        <f t="array" ref="Y53">IFERROR(_xlfn.PERCENTILE.INC(_xlfn._xlws.FILTER('BDT''s'!W:W,('BDT''s'!L:L=VMI!W53)*('BDT''s'!F:F=VMI!B53)*('BDT''s'!E:E=VMI!A53)),0.5),"-")</f>
        <v>-</v>
      </c>
      <c r="Z53" s="18" t="str" cm="1">
        <f t="array" ref="Z53">IFERROR(_xlfn.PERCENTILE.INC(_xlfn._xlws.FILTER('BDT''s'!W:W,('BDT''s'!L:L=VMI!W53)*('BDT''s'!F:F=VMI!B53)*('BDT''s'!E:E=VMI!A53)),0.75),"-")</f>
        <v>-</v>
      </c>
      <c r="AA53" s="18">
        <f>IFERROR(_xlfn.MAXIFS('BDT''s'!W:W,'BDT''s'!L:L,VMI!W53,'BDT''s'!F:F,VMI!B53,'BDT''s'!E:E,VMI!A53),"-")</f>
        <v>0</v>
      </c>
      <c r="AB53" s="16">
        <f>IFERROR(COUNTIFS('BDT''s'!L:L,VMI!W53,'BDT''s'!F:F,VMI!B53,'BDT''s'!E:E,VMI!A53),"-")</f>
        <v>0</v>
      </c>
      <c r="AC53" s="12" t="str">
        <f t="shared" si="6"/>
        <v>-</v>
      </c>
      <c r="AD53" s="16" t="str">
        <f t="shared" si="7"/>
        <v>-</v>
      </c>
      <c r="AE53" s="18" t="str">
        <f>IFERROR(AVERAGEIFS('BDT''s'!$W:$W,'BDT''s'!$L:$L,VMI!W53,'BDT''s'!$F:$F,VMI!$B53,'BDT''s'!$E:$E,VMI!$A53)*AD53,"-")</f>
        <v>-</v>
      </c>
      <c r="AF53" s="18" t="str">
        <f t="shared" si="8"/>
        <v>-</v>
      </c>
    </row>
    <row r="54" spans="1:32" x14ac:dyDescent="0.3">
      <c r="A54" s="15">
        <v>0.53</v>
      </c>
      <c r="B54" s="12" t="s">
        <v>38</v>
      </c>
      <c r="C54" s="3" t="s">
        <v>18</v>
      </c>
      <c r="D54" s="18" t="str">
        <f>IFERROR(AVERAGEIFS('BDT''s'!W:W,'BDT''s'!L:L,VMI!C54,'BDT''s'!F:F,VMI!B54,'BDT''s'!E:E,VMI!A54),"-")</f>
        <v>-</v>
      </c>
      <c r="E54" s="18" t="str" cm="1">
        <f t="array" ref="E54">IFERROR(_xlfn.PERCENTILE.INC(_xlfn._xlws.FILTER('BDT''s'!W:W,('BDT''s'!L:L=VMI!C54)*('BDT''s'!F:F=VMI!B54)*('BDT''s'!E:E=VMI!A54)),0.5),"-")</f>
        <v>-</v>
      </c>
      <c r="F54" s="18" t="str" cm="1">
        <f t="array" ref="F54">IFERROR(_xlfn.PERCENTILE.INC(_xlfn._xlws.FILTER('BDT''s'!W:W,('BDT''s'!L:L=VMI!C54)*('BDT''s'!F:F=VMI!B54)*('BDT''s'!E:E=VMI!A54)),0.75),"-")</f>
        <v>-</v>
      </c>
      <c r="G54" s="18">
        <f>IFERROR(_xlfn.MAXIFS('BDT''s'!W:W,'BDT''s'!L:L,VMI!C54,'BDT''s'!F:F,VMI!B54,'BDT''s'!E:E,VMI!A54),"-")</f>
        <v>0</v>
      </c>
      <c r="H54" s="16">
        <f>IFERROR(COUNTIFS('BDT''s'!L:L,VMI!C54,'BDT''s'!F:F,VMI!B54,'BDT''s'!E:E,VMI!A54),"-")</f>
        <v>0</v>
      </c>
      <c r="I54" s="12" t="str">
        <f t="shared" si="0"/>
        <v>-</v>
      </c>
      <c r="J54" s="16" t="str">
        <f t="shared" si="1"/>
        <v>-</v>
      </c>
      <c r="K54" s="18" t="str">
        <f>IFERROR(AVERAGEIFS('BDT''s'!$W:$W,'BDT''s'!$L:$L,VMI!C54,'BDT''s'!$F:$F,VMI!$B54,'BDT''s'!$E:$E,VMI!$A54)*J54,"-")</f>
        <v>-</v>
      </c>
      <c r="L54" s="18" t="str">
        <f t="shared" si="2"/>
        <v>-</v>
      </c>
      <c r="M54" s="3" t="s">
        <v>19</v>
      </c>
      <c r="N54" s="18" t="str">
        <f>IFERROR(AVERAGEIFS('BDT''s'!W:W,'BDT''s'!L:L,VMI!M54,'BDT''s'!F:F,VMI!B54,'BDT''s'!E:E,VMI!A54),"-")</f>
        <v>-</v>
      </c>
      <c r="O54" s="18" t="str" cm="1">
        <f t="array" ref="O54">IFERROR(_xlfn.PERCENTILE.INC(_xlfn._xlws.FILTER('BDT''s'!W:W,('BDT''s'!L:L=VMI!M54)*('BDT''s'!F:F=VMI!B54)*('BDT''s'!E:E=VMI!A54)),0.5),"-")</f>
        <v>-</v>
      </c>
      <c r="P54" s="18" t="str" cm="1">
        <f t="array" ref="P54">IFERROR(_xlfn.PERCENTILE.INC(_xlfn._xlws.FILTER('BDT''s'!W:W,('BDT''s'!L:L=VMI!M54)*('BDT''s'!F:F=VMI!B54)*('BDT''s'!E:E=VMI!A54)),0.75),"-")</f>
        <v>-</v>
      </c>
      <c r="Q54" s="18">
        <f>IFERROR(_xlfn.MAXIFS('BDT''s'!W:W,'BDT''s'!L:L,VMI!M54,'BDT''s'!F:F,VMI!B54,'BDT''s'!E:E,VMI!A54),"-")</f>
        <v>0</v>
      </c>
      <c r="R54" s="16">
        <f>IFERROR(COUNTIFS('BDT''s'!L:L,VMI!M54,'BDT''s'!F:F,VMI!B54,'BDT''s'!E:E,VMI!A54),"-")</f>
        <v>0</v>
      </c>
      <c r="S54" s="12" t="str">
        <f t="shared" si="3"/>
        <v>-</v>
      </c>
      <c r="T54" s="16" t="str">
        <f t="shared" si="4"/>
        <v>-</v>
      </c>
      <c r="U54" s="18" t="str">
        <f>IFERROR(AVERAGEIFS('BDT''s'!$W:$W,'BDT''s'!$L:$L,VMI!M54,'BDT''s'!$F:$F,VMI!$B54,'BDT''s'!$E:$E,VMI!$A54)*T54,"-")</f>
        <v>-</v>
      </c>
      <c r="V54" s="18" t="str">
        <f t="shared" si="5"/>
        <v>-</v>
      </c>
      <c r="W54" s="3" t="s">
        <v>20</v>
      </c>
      <c r="X54" s="18" t="str">
        <f>IFERROR(AVERAGEIFS('BDT''s'!W:W,'BDT''s'!L:L,VMI!W54,'BDT''s'!F:F,VMI!B54,'BDT''s'!E:E,VMI!A54),"-")</f>
        <v>-</v>
      </c>
      <c r="Y54" s="18" t="str" cm="1">
        <f t="array" ref="Y54">IFERROR(_xlfn.PERCENTILE.INC(_xlfn._xlws.FILTER('BDT''s'!W:W,('BDT''s'!L:L=VMI!W54)*('BDT''s'!F:F=VMI!B54)*('BDT''s'!E:E=VMI!A54)),0.5),"-")</f>
        <v>-</v>
      </c>
      <c r="Z54" s="18" t="str" cm="1">
        <f t="array" ref="Z54">IFERROR(_xlfn.PERCENTILE.INC(_xlfn._xlws.FILTER('BDT''s'!W:W,('BDT''s'!L:L=VMI!W54)*('BDT''s'!F:F=VMI!B54)*('BDT''s'!E:E=VMI!A54)),0.75),"-")</f>
        <v>-</v>
      </c>
      <c r="AA54" s="18">
        <f>IFERROR(_xlfn.MAXIFS('BDT''s'!W:W,'BDT''s'!L:L,VMI!W54,'BDT''s'!F:F,VMI!B54,'BDT''s'!E:E,VMI!A54),"-")</f>
        <v>0</v>
      </c>
      <c r="AB54" s="16">
        <f>IFERROR(COUNTIFS('BDT''s'!L:L,VMI!W54,'BDT''s'!F:F,VMI!B54,'BDT''s'!E:E,VMI!A54),"-")</f>
        <v>0</v>
      </c>
      <c r="AC54" s="12" t="str">
        <f t="shared" si="6"/>
        <v>-</v>
      </c>
      <c r="AD54" s="16" t="str">
        <f t="shared" si="7"/>
        <v>-</v>
      </c>
      <c r="AE54" s="18" t="str">
        <f>IFERROR(AVERAGEIFS('BDT''s'!$W:$W,'BDT''s'!$L:$L,VMI!W54,'BDT''s'!$F:$F,VMI!$B54,'BDT''s'!$E:$E,VMI!$A54)*AD54,"-")</f>
        <v>-</v>
      </c>
      <c r="AF54" s="18" t="str">
        <f t="shared" si="8"/>
        <v>-</v>
      </c>
    </row>
    <row r="55" spans="1:32" x14ac:dyDescent="0.3">
      <c r="A55" s="15">
        <v>0.54</v>
      </c>
      <c r="B55" s="12" t="s">
        <v>38</v>
      </c>
      <c r="C55" s="3" t="s">
        <v>18</v>
      </c>
      <c r="D55" s="18" t="str">
        <f>IFERROR(AVERAGEIFS('BDT''s'!W:W,'BDT''s'!L:L,VMI!C55,'BDT''s'!F:F,VMI!B55,'BDT''s'!E:E,VMI!A55),"-")</f>
        <v>-</v>
      </c>
      <c r="E55" s="18" t="str" cm="1">
        <f t="array" ref="E55">IFERROR(_xlfn.PERCENTILE.INC(_xlfn._xlws.FILTER('BDT''s'!W:W,('BDT''s'!L:L=VMI!C55)*('BDT''s'!F:F=VMI!B55)*('BDT''s'!E:E=VMI!A55)),0.5),"-")</f>
        <v>-</v>
      </c>
      <c r="F55" s="18" t="str" cm="1">
        <f t="array" ref="F55">IFERROR(_xlfn.PERCENTILE.INC(_xlfn._xlws.FILTER('BDT''s'!W:W,('BDT''s'!L:L=VMI!C55)*('BDT''s'!F:F=VMI!B55)*('BDT''s'!E:E=VMI!A55)),0.75),"-")</f>
        <v>-</v>
      </c>
      <c r="G55" s="18">
        <f>IFERROR(_xlfn.MAXIFS('BDT''s'!W:W,'BDT''s'!L:L,VMI!C55,'BDT''s'!F:F,VMI!B55,'BDT''s'!E:E,VMI!A55),"-")</f>
        <v>0</v>
      </c>
      <c r="H55" s="16">
        <f>IFERROR(COUNTIFS('BDT''s'!L:L,VMI!C55,'BDT''s'!F:F,VMI!B55,'BDT''s'!E:E,VMI!A55),"-")</f>
        <v>0</v>
      </c>
      <c r="I55" s="12" t="str">
        <f t="shared" si="0"/>
        <v>-</v>
      </c>
      <c r="J55" s="16" t="str">
        <f t="shared" si="1"/>
        <v>-</v>
      </c>
      <c r="K55" s="18" t="str">
        <f>IFERROR(AVERAGEIFS('BDT''s'!$W:$W,'BDT''s'!$L:$L,VMI!C55,'BDT''s'!$F:$F,VMI!$B55,'BDT''s'!$E:$E,VMI!$A55)*J55,"-")</f>
        <v>-</v>
      </c>
      <c r="L55" s="18" t="str">
        <f t="shared" si="2"/>
        <v>-</v>
      </c>
      <c r="M55" s="3" t="s">
        <v>19</v>
      </c>
      <c r="N55" s="18" t="str">
        <f>IFERROR(AVERAGEIFS('BDT''s'!W:W,'BDT''s'!L:L,VMI!M55,'BDT''s'!F:F,VMI!B55,'BDT''s'!E:E,VMI!A55),"-")</f>
        <v>-</v>
      </c>
      <c r="O55" s="18" t="str" cm="1">
        <f t="array" ref="O55">IFERROR(_xlfn.PERCENTILE.INC(_xlfn._xlws.FILTER('BDT''s'!W:W,('BDT''s'!L:L=VMI!M55)*('BDT''s'!F:F=VMI!B55)*('BDT''s'!E:E=VMI!A55)),0.5),"-")</f>
        <v>-</v>
      </c>
      <c r="P55" s="18" t="str" cm="1">
        <f t="array" ref="P55">IFERROR(_xlfn.PERCENTILE.INC(_xlfn._xlws.FILTER('BDT''s'!W:W,('BDT''s'!L:L=VMI!M55)*('BDT''s'!F:F=VMI!B55)*('BDT''s'!E:E=VMI!A55)),0.75),"-")</f>
        <v>-</v>
      </c>
      <c r="Q55" s="18">
        <f>IFERROR(_xlfn.MAXIFS('BDT''s'!W:W,'BDT''s'!L:L,VMI!M55,'BDT''s'!F:F,VMI!B55,'BDT''s'!E:E,VMI!A55),"-")</f>
        <v>0</v>
      </c>
      <c r="R55" s="16">
        <f>IFERROR(COUNTIFS('BDT''s'!L:L,VMI!M55,'BDT''s'!F:F,VMI!B55,'BDT''s'!E:E,VMI!A55),"-")</f>
        <v>0</v>
      </c>
      <c r="S55" s="12" t="str">
        <f t="shared" si="3"/>
        <v>-</v>
      </c>
      <c r="T55" s="16" t="str">
        <f t="shared" si="4"/>
        <v>-</v>
      </c>
      <c r="U55" s="18" t="str">
        <f>IFERROR(AVERAGEIFS('BDT''s'!$W:$W,'BDT''s'!$L:$L,VMI!M55,'BDT''s'!$F:$F,VMI!$B55,'BDT''s'!$E:$E,VMI!$A55)*T55,"-")</f>
        <v>-</v>
      </c>
      <c r="V55" s="18" t="str">
        <f t="shared" si="5"/>
        <v>-</v>
      </c>
      <c r="W55" s="3" t="s">
        <v>20</v>
      </c>
      <c r="X55" s="18" t="str">
        <f>IFERROR(AVERAGEIFS('BDT''s'!W:W,'BDT''s'!L:L,VMI!W55,'BDT''s'!F:F,VMI!B55,'BDT''s'!E:E,VMI!A55),"-")</f>
        <v>-</v>
      </c>
      <c r="Y55" s="18" t="str" cm="1">
        <f t="array" ref="Y55">IFERROR(_xlfn.PERCENTILE.INC(_xlfn._xlws.FILTER('BDT''s'!W:W,('BDT''s'!L:L=VMI!W55)*('BDT''s'!F:F=VMI!B55)*('BDT''s'!E:E=VMI!A55)),0.5),"-")</f>
        <v>-</v>
      </c>
      <c r="Z55" s="18" t="str" cm="1">
        <f t="array" ref="Z55">IFERROR(_xlfn.PERCENTILE.INC(_xlfn._xlws.FILTER('BDT''s'!W:W,('BDT''s'!L:L=VMI!W55)*('BDT''s'!F:F=VMI!B55)*('BDT''s'!E:E=VMI!A55)),0.75),"-")</f>
        <v>-</v>
      </c>
      <c r="AA55" s="18">
        <f>IFERROR(_xlfn.MAXIFS('BDT''s'!W:W,'BDT''s'!L:L,VMI!W55,'BDT''s'!F:F,VMI!B55,'BDT''s'!E:E,VMI!A55),"-")</f>
        <v>0</v>
      </c>
      <c r="AB55" s="16">
        <f>IFERROR(COUNTIFS('BDT''s'!L:L,VMI!W55,'BDT''s'!F:F,VMI!B55,'BDT''s'!E:E,VMI!A55),"-")</f>
        <v>0</v>
      </c>
      <c r="AC55" s="12" t="str">
        <f t="shared" si="6"/>
        <v>-</v>
      </c>
      <c r="AD55" s="16" t="str">
        <f t="shared" si="7"/>
        <v>-</v>
      </c>
      <c r="AE55" s="18" t="str">
        <f>IFERROR(AVERAGEIFS('BDT''s'!$W:$W,'BDT''s'!$L:$L,VMI!W55,'BDT''s'!$F:$F,VMI!$B55,'BDT''s'!$E:$E,VMI!$A55)*AD55,"-")</f>
        <v>-</v>
      </c>
      <c r="AF55" s="18" t="str">
        <f t="shared" si="8"/>
        <v>-</v>
      </c>
    </row>
    <row r="56" spans="1:32" x14ac:dyDescent="0.3">
      <c r="A56" s="15">
        <v>0.55000000000000004</v>
      </c>
      <c r="B56" s="12" t="s">
        <v>38</v>
      </c>
      <c r="C56" s="3" t="s">
        <v>18</v>
      </c>
      <c r="D56" s="18" t="str">
        <f>IFERROR(AVERAGEIFS('BDT''s'!W:W,'BDT''s'!L:L,VMI!C56,'BDT''s'!F:F,VMI!B56,'BDT''s'!E:E,VMI!A56),"-")</f>
        <v>-</v>
      </c>
      <c r="E56" s="18" t="str" cm="1">
        <f t="array" ref="E56">IFERROR(_xlfn.PERCENTILE.INC(_xlfn._xlws.FILTER('BDT''s'!W:W,('BDT''s'!L:L=VMI!C56)*('BDT''s'!F:F=VMI!B56)*('BDT''s'!E:E=VMI!A56)),0.5),"-")</f>
        <v>-</v>
      </c>
      <c r="F56" s="18" t="str" cm="1">
        <f t="array" ref="F56">IFERROR(_xlfn.PERCENTILE.INC(_xlfn._xlws.FILTER('BDT''s'!W:W,('BDT''s'!L:L=VMI!C56)*('BDT''s'!F:F=VMI!B56)*('BDT''s'!E:E=VMI!A56)),0.75),"-")</f>
        <v>-</v>
      </c>
      <c r="G56" s="18">
        <f>IFERROR(_xlfn.MAXIFS('BDT''s'!W:W,'BDT''s'!L:L,VMI!C56,'BDT''s'!F:F,VMI!B56,'BDT''s'!E:E,VMI!A56),"-")</f>
        <v>0</v>
      </c>
      <c r="H56" s="16">
        <f>IFERROR(COUNTIFS('BDT''s'!L:L,VMI!C56,'BDT''s'!F:F,VMI!B56,'BDT''s'!E:E,VMI!A56),"-")</f>
        <v>0</v>
      </c>
      <c r="I56" s="12" t="str">
        <f t="shared" si="0"/>
        <v>-</v>
      </c>
      <c r="J56" s="16" t="str">
        <f t="shared" si="1"/>
        <v>-</v>
      </c>
      <c r="K56" s="18" t="str">
        <f>IFERROR(AVERAGEIFS('BDT''s'!$W:$W,'BDT''s'!$L:$L,VMI!C56,'BDT''s'!$F:$F,VMI!$B56,'BDT''s'!$E:$E,VMI!$A56)*J56,"-")</f>
        <v>-</v>
      </c>
      <c r="L56" s="18" t="str">
        <f t="shared" si="2"/>
        <v>-</v>
      </c>
      <c r="M56" s="3" t="s">
        <v>19</v>
      </c>
      <c r="N56" s="18" t="str">
        <f>IFERROR(AVERAGEIFS('BDT''s'!W:W,'BDT''s'!L:L,VMI!M56,'BDT''s'!F:F,VMI!B56,'BDT''s'!E:E,VMI!A56),"-")</f>
        <v>-</v>
      </c>
      <c r="O56" s="18" t="str" cm="1">
        <f t="array" ref="O56">IFERROR(_xlfn.PERCENTILE.INC(_xlfn._xlws.FILTER('BDT''s'!W:W,('BDT''s'!L:L=VMI!M56)*('BDT''s'!F:F=VMI!B56)*('BDT''s'!E:E=VMI!A56)),0.5),"-")</f>
        <v>-</v>
      </c>
      <c r="P56" s="18" t="str" cm="1">
        <f t="array" ref="P56">IFERROR(_xlfn.PERCENTILE.INC(_xlfn._xlws.FILTER('BDT''s'!W:W,('BDT''s'!L:L=VMI!M56)*('BDT''s'!F:F=VMI!B56)*('BDT''s'!E:E=VMI!A56)),0.75),"-")</f>
        <v>-</v>
      </c>
      <c r="Q56" s="18">
        <f>IFERROR(_xlfn.MAXIFS('BDT''s'!W:W,'BDT''s'!L:L,VMI!M56,'BDT''s'!F:F,VMI!B56,'BDT''s'!E:E,VMI!A56),"-")</f>
        <v>0</v>
      </c>
      <c r="R56" s="16">
        <f>IFERROR(COUNTIFS('BDT''s'!L:L,VMI!M56,'BDT''s'!F:F,VMI!B56,'BDT''s'!E:E,VMI!A56),"-")</f>
        <v>0</v>
      </c>
      <c r="S56" s="12" t="str">
        <f t="shared" si="3"/>
        <v>-</v>
      </c>
      <c r="T56" s="16" t="str">
        <f t="shared" si="4"/>
        <v>-</v>
      </c>
      <c r="U56" s="18" t="str">
        <f>IFERROR(AVERAGEIFS('BDT''s'!$W:$W,'BDT''s'!$L:$L,VMI!M56,'BDT''s'!$F:$F,VMI!$B56,'BDT''s'!$E:$E,VMI!$A56)*T56,"-")</f>
        <v>-</v>
      </c>
      <c r="V56" s="18" t="str">
        <f t="shared" si="5"/>
        <v>-</v>
      </c>
      <c r="W56" s="3" t="s">
        <v>20</v>
      </c>
      <c r="X56" s="18" t="str">
        <f>IFERROR(AVERAGEIFS('BDT''s'!W:W,'BDT''s'!L:L,VMI!W56,'BDT''s'!F:F,VMI!B56,'BDT''s'!E:E,VMI!A56),"-")</f>
        <v>-</v>
      </c>
      <c r="Y56" s="18" t="str" cm="1">
        <f t="array" ref="Y56">IFERROR(_xlfn.PERCENTILE.INC(_xlfn._xlws.FILTER('BDT''s'!W:W,('BDT''s'!L:L=VMI!W56)*('BDT''s'!F:F=VMI!B56)*('BDT''s'!E:E=VMI!A56)),0.5),"-")</f>
        <v>-</v>
      </c>
      <c r="Z56" s="18" t="str" cm="1">
        <f t="array" ref="Z56">IFERROR(_xlfn.PERCENTILE.INC(_xlfn._xlws.FILTER('BDT''s'!W:W,('BDT''s'!L:L=VMI!W56)*('BDT''s'!F:F=VMI!B56)*('BDT''s'!E:E=VMI!A56)),0.75),"-")</f>
        <v>-</v>
      </c>
      <c r="AA56" s="18">
        <f>IFERROR(_xlfn.MAXIFS('BDT''s'!W:W,'BDT''s'!L:L,VMI!W56,'BDT''s'!F:F,VMI!B56,'BDT''s'!E:E,VMI!A56),"-")</f>
        <v>0</v>
      </c>
      <c r="AB56" s="16">
        <f>IFERROR(COUNTIFS('BDT''s'!L:L,VMI!W56,'BDT''s'!F:F,VMI!B56,'BDT''s'!E:E,VMI!A56),"-")</f>
        <v>0</v>
      </c>
      <c r="AC56" s="12" t="str">
        <f t="shared" si="6"/>
        <v>-</v>
      </c>
      <c r="AD56" s="16" t="str">
        <f t="shared" si="7"/>
        <v>-</v>
      </c>
      <c r="AE56" s="18" t="str">
        <f>IFERROR(AVERAGEIFS('BDT''s'!$W:$W,'BDT''s'!$L:$L,VMI!W56,'BDT''s'!$F:$F,VMI!$B56,'BDT''s'!$E:$E,VMI!$A56)*AD56,"-")</f>
        <v>-</v>
      </c>
      <c r="AF56" s="18" t="str">
        <f t="shared" si="8"/>
        <v>-</v>
      </c>
    </row>
    <row r="57" spans="1:32" x14ac:dyDescent="0.3">
      <c r="A57" s="15">
        <v>0.56000000000000005</v>
      </c>
      <c r="B57" s="12" t="s">
        <v>38</v>
      </c>
      <c r="C57" s="3" t="s">
        <v>18</v>
      </c>
      <c r="D57" s="18" t="str">
        <f>IFERROR(AVERAGEIFS('BDT''s'!W:W,'BDT''s'!L:L,VMI!C57,'BDT''s'!F:F,VMI!B57,'BDT''s'!E:E,VMI!A57),"-")</f>
        <v>-</v>
      </c>
      <c r="E57" s="18" t="str" cm="1">
        <f t="array" ref="E57">IFERROR(_xlfn.PERCENTILE.INC(_xlfn._xlws.FILTER('BDT''s'!W:W,('BDT''s'!L:L=VMI!C57)*('BDT''s'!F:F=VMI!B57)*('BDT''s'!E:E=VMI!A57)),0.5),"-")</f>
        <v>-</v>
      </c>
      <c r="F57" s="18" t="str" cm="1">
        <f t="array" ref="F57">IFERROR(_xlfn.PERCENTILE.INC(_xlfn._xlws.FILTER('BDT''s'!W:W,('BDT''s'!L:L=VMI!C57)*('BDT''s'!F:F=VMI!B57)*('BDT''s'!E:E=VMI!A57)),0.75),"-")</f>
        <v>-</v>
      </c>
      <c r="G57" s="18">
        <f>IFERROR(_xlfn.MAXIFS('BDT''s'!W:W,'BDT''s'!L:L,VMI!C57,'BDT''s'!F:F,VMI!B57,'BDT''s'!E:E,VMI!A57),"-")</f>
        <v>0</v>
      </c>
      <c r="H57" s="16">
        <f>IFERROR(COUNTIFS('BDT''s'!L:L,VMI!C57,'BDT''s'!F:F,VMI!B57,'BDT''s'!E:E,VMI!A57),"-")</f>
        <v>0</v>
      </c>
      <c r="I57" s="12" t="str">
        <f t="shared" si="0"/>
        <v>-</v>
      </c>
      <c r="J57" s="16" t="str">
        <f t="shared" si="1"/>
        <v>-</v>
      </c>
      <c r="K57" s="18" t="str">
        <f>IFERROR(AVERAGEIFS('BDT''s'!$W:$W,'BDT''s'!$L:$L,VMI!C57,'BDT''s'!$F:$F,VMI!$B57,'BDT''s'!$E:$E,VMI!$A57)*J57,"-")</f>
        <v>-</v>
      </c>
      <c r="L57" s="18" t="str">
        <f t="shared" si="2"/>
        <v>-</v>
      </c>
      <c r="M57" s="3" t="s">
        <v>19</v>
      </c>
      <c r="N57" s="18" t="str">
        <f>IFERROR(AVERAGEIFS('BDT''s'!W:W,'BDT''s'!L:L,VMI!M57,'BDT''s'!F:F,VMI!B57,'BDT''s'!E:E,VMI!A57),"-")</f>
        <v>-</v>
      </c>
      <c r="O57" s="18" t="str" cm="1">
        <f t="array" ref="O57">IFERROR(_xlfn.PERCENTILE.INC(_xlfn._xlws.FILTER('BDT''s'!W:W,('BDT''s'!L:L=VMI!M57)*('BDT''s'!F:F=VMI!B57)*('BDT''s'!E:E=VMI!A57)),0.5),"-")</f>
        <v>-</v>
      </c>
      <c r="P57" s="18" t="str" cm="1">
        <f t="array" ref="P57">IFERROR(_xlfn.PERCENTILE.INC(_xlfn._xlws.FILTER('BDT''s'!W:W,('BDT''s'!L:L=VMI!M57)*('BDT''s'!F:F=VMI!B57)*('BDT''s'!E:E=VMI!A57)),0.75),"-")</f>
        <v>-</v>
      </c>
      <c r="Q57" s="18">
        <f>IFERROR(_xlfn.MAXIFS('BDT''s'!W:W,'BDT''s'!L:L,VMI!M57,'BDT''s'!F:F,VMI!B57,'BDT''s'!E:E,VMI!A57),"-")</f>
        <v>0</v>
      </c>
      <c r="R57" s="16">
        <f>IFERROR(COUNTIFS('BDT''s'!L:L,VMI!M57,'BDT''s'!F:F,VMI!B57,'BDT''s'!E:E,VMI!A57),"-")</f>
        <v>0</v>
      </c>
      <c r="S57" s="12" t="str">
        <f t="shared" si="3"/>
        <v>-</v>
      </c>
      <c r="T57" s="16" t="str">
        <f t="shared" si="4"/>
        <v>-</v>
      </c>
      <c r="U57" s="18" t="str">
        <f>IFERROR(AVERAGEIFS('BDT''s'!$W:$W,'BDT''s'!$L:$L,VMI!M57,'BDT''s'!$F:$F,VMI!$B57,'BDT''s'!$E:$E,VMI!$A57)*T57,"-")</f>
        <v>-</v>
      </c>
      <c r="V57" s="18" t="str">
        <f t="shared" si="5"/>
        <v>-</v>
      </c>
      <c r="W57" s="3" t="s">
        <v>20</v>
      </c>
      <c r="X57" s="18" t="str">
        <f>IFERROR(AVERAGEIFS('BDT''s'!W:W,'BDT''s'!L:L,VMI!W57,'BDT''s'!F:F,VMI!B57,'BDT''s'!E:E,VMI!A57),"-")</f>
        <v>-</v>
      </c>
      <c r="Y57" s="18" t="str" cm="1">
        <f t="array" ref="Y57">IFERROR(_xlfn.PERCENTILE.INC(_xlfn._xlws.FILTER('BDT''s'!W:W,('BDT''s'!L:L=VMI!W57)*('BDT''s'!F:F=VMI!B57)*('BDT''s'!E:E=VMI!A57)),0.5),"-")</f>
        <v>-</v>
      </c>
      <c r="Z57" s="18" t="str" cm="1">
        <f t="array" ref="Z57">IFERROR(_xlfn.PERCENTILE.INC(_xlfn._xlws.FILTER('BDT''s'!W:W,('BDT''s'!L:L=VMI!W57)*('BDT''s'!F:F=VMI!B57)*('BDT''s'!E:E=VMI!A57)),0.75),"-")</f>
        <v>-</v>
      </c>
      <c r="AA57" s="18">
        <f>IFERROR(_xlfn.MAXIFS('BDT''s'!W:W,'BDT''s'!L:L,VMI!W57,'BDT''s'!F:F,VMI!B57,'BDT''s'!E:E,VMI!A57),"-")</f>
        <v>0</v>
      </c>
      <c r="AB57" s="16">
        <f>IFERROR(COUNTIFS('BDT''s'!L:L,VMI!W57,'BDT''s'!F:F,VMI!B57,'BDT''s'!E:E,VMI!A57),"-")</f>
        <v>0</v>
      </c>
      <c r="AC57" s="12" t="str">
        <f t="shared" si="6"/>
        <v>-</v>
      </c>
      <c r="AD57" s="16" t="str">
        <f t="shared" si="7"/>
        <v>-</v>
      </c>
      <c r="AE57" s="18" t="str">
        <f>IFERROR(AVERAGEIFS('BDT''s'!$W:$W,'BDT''s'!$L:$L,VMI!W57,'BDT''s'!$F:$F,VMI!$B57,'BDT''s'!$E:$E,VMI!$A57)*AD57,"-")</f>
        <v>-</v>
      </c>
      <c r="AF57" s="18" t="str">
        <f t="shared" si="8"/>
        <v>-</v>
      </c>
    </row>
    <row r="58" spans="1:32" x14ac:dyDescent="0.3">
      <c r="A58" s="15">
        <v>0.56999999999999995</v>
      </c>
      <c r="B58" s="12" t="s">
        <v>38</v>
      </c>
      <c r="C58" s="3" t="s">
        <v>18</v>
      </c>
      <c r="D58" s="18" t="str">
        <f>IFERROR(AVERAGEIFS('BDT''s'!W:W,'BDT''s'!L:L,VMI!C58,'BDT''s'!F:F,VMI!B58,'BDT''s'!E:E,VMI!A58),"-")</f>
        <v>-</v>
      </c>
      <c r="E58" s="18" t="str" cm="1">
        <f t="array" ref="E58">IFERROR(_xlfn.PERCENTILE.INC(_xlfn._xlws.FILTER('BDT''s'!W:W,('BDT''s'!L:L=VMI!C58)*('BDT''s'!F:F=VMI!B58)*('BDT''s'!E:E=VMI!A58)),0.5),"-")</f>
        <v>-</v>
      </c>
      <c r="F58" s="18" t="str" cm="1">
        <f t="array" ref="F58">IFERROR(_xlfn.PERCENTILE.INC(_xlfn._xlws.FILTER('BDT''s'!W:W,('BDT''s'!L:L=VMI!C58)*('BDT''s'!F:F=VMI!B58)*('BDT''s'!E:E=VMI!A58)),0.75),"-")</f>
        <v>-</v>
      </c>
      <c r="G58" s="18">
        <f>IFERROR(_xlfn.MAXIFS('BDT''s'!W:W,'BDT''s'!L:L,VMI!C58,'BDT''s'!F:F,VMI!B58,'BDT''s'!E:E,VMI!A58),"-")</f>
        <v>0</v>
      </c>
      <c r="H58" s="16">
        <f>IFERROR(COUNTIFS('BDT''s'!L:L,VMI!C58,'BDT''s'!F:F,VMI!B58,'BDT''s'!E:E,VMI!A58),"-")</f>
        <v>0</v>
      </c>
      <c r="I58" s="12" t="str">
        <f t="shared" si="0"/>
        <v>-</v>
      </c>
      <c r="J58" s="16" t="str">
        <f t="shared" si="1"/>
        <v>-</v>
      </c>
      <c r="K58" s="18" t="str">
        <f>IFERROR(AVERAGEIFS('BDT''s'!$W:$W,'BDT''s'!$L:$L,VMI!C58,'BDT''s'!$F:$F,VMI!$B58,'BDT''s'!$E:$E,VMI!$A58)*J58,"-")</f>
        <v>-</v>
      </c>
      <c r="L58" s="18" t="str">
        <f t="shared" si="2"/>
        <v>-</v>
      </c>
      <c r="M58" s="3" t="s">
        <v>19</v>
      </c>
      <c r="N58" s="18" t="str">
        <f>IFERROR(AVERAGEIFS('BDT''s'!W:W,'BDT''s'!L:L,VMI!M58,'BDT''s'!F:F,VMI!B58,'BDT''s'!E:E,VMI!A58),"-")</f>
        <v>-</v>
      </c>
      <c r="O58" s="18" t="str" cm="1">
        <f t="array" ref="O58">IFERROR(_xlfn.PERCENTILE.INC(_xlfn._xlws.FILTER('BDT''s'!W:W,('BDT''s'!L:L=VMI!M58)*('BDT''s'!F:F=VMI!B58)*('BDT''s'!E:E=VMI!A58)),0.5),"-")</f>
        <v>-</v>
      </c>
      <c r="P58" s="18" t="str" cm="1">
        <f t="array" ref="P58">IFERROR(_xlfn.PERCENTILE.INC(_xlfn._xlws.FILTER('BDT''s'!W:W,('BDT''s'!L:L=VMI!M58)*('BDT''s'!F:F=VMI!B58)*('BDT''s'!E:E=VMI!A58)),0.75),"-")</f>
        <v>-</v>
      </c>
      <c r="Q58" s="18">
        <f>IFERROR(_xlfn.MAXIFS('BDT''s'!W:W,'BDT''s'!L:L,VMI!M58,'BDT''s'!F:F,VMI!B58,'BDT''s'!E:E,VMI!A58),"-")</f>
        <v>0</v>
      </c>
      <c r="R58" s="16">
        <f>IFERROR(COUNTIFS('BDT''s'!L:L,VMI!M58,'BDT''s'!F:F,VMI!B58,'BDT''s'!E:E,VMI!A58),"-")</f>
        <v>0</v>
      </c>
      <c r="S58" s="12" t="str">
        <f t="shared" si="3"/>
        <v>-</v>
      </c>
      <c r="T58" s="16" t="str">
        <f t="shared" si="4"/>
        <v>-</v>
      </c>
      <c r="U58" s="18" t="str">
        <f>IFERROR(AVERAGEIFS('BDT''s'!$W:$W,'BDT''s'!$L:$L,VMI!M58,'BDT''s'!$F:$F,VMI!$B58,'BDT''s'!$E:$E,VMI!$A58)*T58,"-")</f>
        <v>-</v>
      </c>
      <c r="V58" s="18" t="str">
        <f t="shared" si="5"/>
        <v>-</v>
      </c>
      <c r="W58" s="3" t="s">
        <v>20</v>
      </c>
      <c r="X58" s="18" t="str">
        <f>IFERROR(AVERAGEIFS('BDT''s'!W:W,'BDT''s'!L:L,VMI!W58,'BDT''s'!F:F,VMI!B58,'BDT''s'!E:E,VMI!A58),"-")</f>
        <v>-</v>
      </c>
      <c r="Y58" s="18" t="str" cm="1">
        <f t="array" ref="Y58">IFERROR(_xlfn.PERCENTILE.INC(_xlfn._xlws.FILTER('BDT''s'!W:W,('BDT''s'!L:L=VMI!W58)*('BDT''s'!F:F=VMI!B58)*('BDT''s'!E:E=VMI!A58)),0.5),"-")</f>
        <v>-</v>
      </c>
      <c r="Z58" s="18" t="str" cm="1">
        <f t="array" ref="Z58">IFERROR(_xlfn.PERCENTILE.INC(_xlfn._xlws.FILTER('BDT''s'!W:W,('BDT''s'!L:L=VMI!W58)*('BDT''s'!F:F=VMI!B58)*('BDT''s'!E:E=VMI!A58)),0.75),"-")</f>
        <v>-</v>
      </c>
      <c r="AA58" s="18">
        <f>IFERROR(_xlfn.MAXIFS('BDT''s'!W:W,'BDT''s'!L:L,VMI!W58,'BDT''s'!F:F,VMI!B58,'BDT''s'!E:E,VMI!A58),"-")</f>
        <v>0</v>
      </c>
      <c r="AB58" s="16">
        <f>IFERROR(COUNTIFS('BDT''s'!L:L,VMI!W58,'BDT''s'!F:F,VMI!B58,'BDT''s'!E:E,VMI!A58),"-")</f>
        <v>0</v>
      </c>
      <c r="AC58" s="12" t="str">
        <f t="shared" si="6"/>
        <v>-</v>
      </c>
      <c r="AD58" s="16" t="str">
        <f t="shared" si="7"/>
        <v>-</v>
      </c>
      <c r="AE58" s="18" t="str">
        <f>IFERROR(AVERAGEIFS('BDT''s'!$W:$W,'BDT''s'!$L:$L,VMI!W58,'BDT''s'!$F:$F,VMI!$B58,'BDT''s'!$E:$E,VMI!$A58)*AD58,"-")</f>
        <v>-</v>
      </c>
      <c r="AF58" s="18" t="str">
        <f t="shared" si="8"/>
        <v>-</v>
      </c>
    </row>
    <row r="59" spans="1:32" x14ac:dyDescent="0.3">
      <c r="A59" s="15">
        <v>0.57999999999999996</v>
      </c>
      <c r="B59" s="12" t="s">
        <v>38</v>
      </c>
      <c r="C59" s="3" t="s">
        <v>18</v>
      </c>
      <c r="D59" s="18" t="str">
        <f>IFERROR(AVERAGEIFS('BDT''s'!W:W,'BDT''s'!L:L,VMI!C59,'BDT''s'!F:F,VMI!B59,'BDT''s'!E:E,VMI!A59),"-")</f>
        <v>-</v>
      </c>
      <c r="E59" s="18" t="str" cm="1">
        <f t="array" ref="E59">IFERROR(_xlfn.PERCENTILE.INC(_xlfn._xlws.FILTER('BDT''s'!W:W,('BDT''s'!L:L=VMI!C59)*('BDT''s'!F:F=VMI!B59)*('BDT''s'!E:E=VMI!A59)),0.5),"-")</f>
        <v>-</v>
      </c>
      <c r="F59" s="18" t="str" cm="1">
        <f t="array" ref="F59">IFERROR(_xlfn.PERCENTILE.INC(_xlfn._xlws.FILTER('BDT''s'!W:W,('BDT''s'!L:L=VMI!C59)*('BDT''s'!F:F=VMI!B59)*('BDT''s'!E:E=VMI!A59)),0.75),"-")</f>
        <v>-</v>
      </c>
      <c r="G59" s="18">
        <f>IFERROR(_xlfn.MAXIFS('BDT''s'!W:W,'BDT''s'!L:L,VMI!C59,'BDT''s'!F:F,VMI!B59,'BDT''s'!E:E,VMI!A59),"-")</f>
        <v>0</v>
      </c>
      <c r="H59" s="16">
        <f>IFERROR(COUNTIFS('BDT''s'!L:L,VMI!C59,'BDT''s'!F:F,VMI!B59,'BDT''s'!E:E,VMI!A59),"-")</f>
        <v>0</v>
      </c>
      <c r="I59" s="12" t="str">
        <f t="shared" si="0"/>
        <v>-</v>
      </c>
      <c r="J59" s="16" t="str">
        <f t="shared" si="1"/>
        <v>-</v>
      </c>
      <c r="K59" s="18" t="str">
        <f>IFERROR(AVERAGEIFS('BDT''s'!$W:$W,'BDT''s'!$L:$L,VMI!C59,'BDT''s'!$F:$F,VMI!$B59,'BDT''s'!$E:$E,VMI!$A59)*J59,"-")</f>
        <v>-</v>
      </c>
      <c r="L59" s="18" t="str">
        <f t="shared" si="2"/>
        <v>-</v>
      </c>
      <c r="M59" s="3" t="s">
        <v>19</v>
      </c>
      <c r="N59" s="18" t="str">
        <f>IFERROR(AVERAGEIFS('BDT''s'!W:W,'BDT''s'!L:L,VMI!M59,'BDT''s'!F:F,VMI!B59,'BDT''s'!E:E,VMI!A59),"-")</f>
        <v>-</v>
      </c>
      <c r="O59" s="18" t="str" cm="1">
        <f t="array" ref="O59">IFERROR(_xlfn.PERCENTILE.INC(_xlfn._xlws.FILTER('BDT''s'!W:W,('BDT''s'!L:L=VMI!M59)*('BDT''s'!F:F=VMI!B59)*('BDT''s'!E:E=VMI!A59)),0.5),"-")</f>
        <v>-</v>
      </c>
      <c r="P59" s="18" t="str" cm="1">
        <f t="array" ref="P59">IFERROR(_xlfn.PERCENTILE.INC(_xlfn._xlws.FILTER('BDT''s'!W:W,('BDT''s'!L:L=VMI!M59)*('BDT''s'!F:F=VMI!B59)*('BDT''s'!E:E=VMI!A59)),0.75),"-")</f>
        <v>-</v>
      </c>
      <c r="Q59" s="18">
        <f>IFERROR(_xlfn.MAXIFS('BDT''s'!W:W,'BDT''s'!L:L,VMI!M59,'BDT''s'!F:F,VMI!B59,'BDT''s'!E:E,VMI!A59),"-")</f>
        <v>0</v>
      </c>
      <c r="R59" s="16">
        <f>IFERROR(COUNTIFS('BDT''s'!L:L,VMI!M59,'BDT''s'!F:F,VMI!B59,'BDT''s'!E:E,VMI!A59),"-")</f>
        <v>0</v>
      </c>
      <c r="S59" s="12" t="str">
        <f t="shared" si="3"/>
        <v>-</v>
      </c>
      <c r="T59" s="16" t="str">
        <f t="shared" si="4"/>
        <v>-</v>
      </c>
      <c r="U59" s="18" t="str">
        <f>IFERROR(AVERAGEIFS('BDT''s'!$W:$W,'BDT''s'!$L:$L,VMI!M59,'BDT''s'!$F:$F,VMI!$B59,'BDT''s'!$E:$E,VMI!$A59)*T59,"-")</f>
        <v>-</v>
      </c>
      <c r="V59" s="18" t="str">
        <f t="shared" si="5"/>
        <v>-</v>
      </c>
      <c r="W59" s="3" t="s">
        <v>20</v>
      </c>
      <c r="X59" s="18" t="str">
        <f>IFERROR(AVERAGEIFS('BDT''s'!W:W,'BDT''s'!L:L,VMI!W59,'BDT''s'!F:F,VMI!B59,'BDT''s'!E:E,VMI!A59),"-")</f>
        <v>-</v>
      </c>
      <c r="Y59" s="18" t="str" cm="1">
        <f t="array" ref="Y59">IFERROR(_xlfn.PERCENTILE.INC(_xlfn._xlws.FILTER('BDT''s'!W:W,('BDT''s'!L:L=VMI!W59)*('BDT''s'!F:F=VMI!B59)*('BDT''s'!E:E=VMI!A59)),0.5),"-")</f>
        <v>-</v>
      </c>
      <c r="Z59" s="18" t="str" cm="1">
        <f t="array" ref="Z59">IFERROR(_xlfn.PERCENTILE.INC(_xlfn._xlws.FILTER('BDT''s'!W:W,('BDT''s'!L:L=VMI!W59)*('BDT''s'!F:F=VMI!B59)*('BDT''s'!E:E=VMI!A59)),0.75),"-")</f>
        <v>-</v>
      </c>
      <c r="AA59" s="18">
        <f>IFERROR(_xlfn.MAXIFS('BDT''s'!W:W,'BDT''s'!L:L,VMI!W59,'BDT''s'!F:F,VMI!B59,'BDT''s'!E:E,VMI!A59),"-")</f>
        <v>0</v>
      </c>
      <c r="AB59" s="16">
        <f>IFERROR(COUNTIFS('BDT''s'!L:L,VMI!W59,'BDT''s'!F:F,VMI!B59,'BDT''s'!E:E,VMI!A59),"-")</f>
        <v>0</v>
      </c>
      <c r="AC59" s="12" t="str">
        <f t="shared" si="6"/>
        <v>-</v>
      </c>
      <c r="AD59" s="16" t="str">
        <f t="shared" si="7"/>
        <v>-</v>
      </c>
      <c r="AE59" s="18" t="str">
        <f>IFERROR(AVERAGEIFS('BDT''s'!$W:$W,'BDT''s'!$L:$L,VMI!W59,'BDT''s'!$F:$F,VMI!$B59,'BDT''s'!$E:$E,VMI!$A59)*AD59,"-")</f>
        <v>-</v>
      </c>
      <c r="AF59" s="18" t="str">
        <f t="shared" si="8"/>
        <v>-</v>
      </c>
    </row>
    <row r="60" spans="1:32" x14ac:dyDescent="0.3">
      <c r="A60" s="15">
        <v>0.59</v>
      </c>
      <c r="B60" s="12" t="s">
        <v>38</v>
      </c>
      <c r="C60" s="3" t="s">
        <v>18</v>
      </c>
      <c r="D60" s="18" t="str">
        <f>IFERROR(AVERAGEIFS('BDT''s'!W:W,'BDT''s'!L:L,VMI!C60,'BDT''s'!F:F,VMI!B60,'BDT''s'!E:E,VMI!A60),"-")</f>
        <v>-</v>
      </c>
      <c r="E60" s="18" t="str" cm="1">
        <f t="array" ref="E60">IFERROR(_xlfn.PERCENTILE.INC(_xlfn._xlws.FILTER('BDT''s'!W:W,('BDT''s'!L:L=VMI!C60)*('BDT''s'!F:F=VMI!B60)*('BDT''s'!E:E=VMI!A60)),0.5),"-")</f>
        <v>-</v>
      </c>
      <c r="F60" s="18" t="str" cm="1">
        <f t="array" ref="F60">IFERROR(_xlfn.PERCENTILE.INC(_xlfn._xlws.FILTER('BDT''s'!W:W,('BDT''s'!L:L=VMI!C60)*('BDT''s'!F:F=VMI!B60)*('BDT''s'!E:E=VMI!A60)),0.75),"-")</f>
        <v>-</v>
      </c>
      <c r="G60" s="18">
        <f>IFERROR(_xlfn.MAXIFS('BDT''s'!W:W,'BDT''s'!L:L,VMI!C60,'BDT''s'!F:F,VMI!B60,'BDT''s'!E:E,VMI!A60),"-")</f>
        <v>0</v>
      </c>
      <c r="H60" s="16">
        <f>IFERROR(COUNTIFS('BDT''s'!L:L,VMI!C60,'BDT''s'!F:F,VMI!B60,'BDT''s'!E:E,VMI!A60),"-")</f>
        <v>0</v>
      </c>
      <c r="I60" s="12" t="str">
        <f t="shared" si="0"/>
        <v>-</v>
      </c>
      <c r="J60" s="16" t="str">
        <f t="shared" si="1"/>
        <v>-</v>
      </c>
      <c r="K60" s="18" t="str">
        <f>IFERROR(AVERAGEIFS('BDT''s'!$W:$W,'BDT''s'!$L:$L,VMI!C60,'BDT''s'!$F:$F,VMI!$B60,'BDT''s'!$E:$E,VMI!$A60)*J60,"-")</f>
        <v>-</v>
      </c>
      <c r="L60" s="18" t="str">
        <f t="shared" si="2"/>
        <v>-</v>
      </c>
      <c r="M60" s="3" t="s">
        <v>19</v>
      </c>
      <c r="N60" s="18" t="str">
        <f>IFERROR(AVERAGEIFS('BDT''s'!W:W,'BDT''s'!L:L,VMI!M60,'BDT''s'!F:F,VMI!B60,'BDT''s'!E:E,VMI!A60),"-")</f>
        <v>-</v>
      </c>
      <c r="O60" s="18" t="str" cm="1">
        <f t="array" ref="O60">IFERROR(_xlfn.PERCENTILE.INC(_xlfn._xlws.FILTER('BDT''s'!W:W,('BDT''s'!L:L=VMI!M60)*('BDT''s'!F:F=VMI!B60)*('BDT''s'!E:E=VMI!A60)),0.5),"-")</f>
        <v>-</v>
      </c>
      <c r="P60" s="18" t="str" cm="1">
        <f t="array" ref="P60">IFERROR(_xlfn.PERCENTILE.INC(_xlfn._xlws.FILTER('BDT''s'!W:W,('BDT''s'!L:L=VMI!M60)*('BDT''s'!F:F=VMI!B60)*('BDT''s'!E:E=VMI!A60)),0.75),"-")</f>
        <v>-</v>
      </c>
      <c r="Q60" s="18">
        <f>IFERROR(_xlfn.MAXIFS('BDT''s'!W:W,'BDT''s'!L:L,VMI!M60,'BDT''s'!F:F,VMI!B60,'BDT''s'!E:E,VMI!A60),"-")</f>
        <v>0</v>
      </c>
      <c r="R60" s="16">
        <f>IFERROR(COUNTIFS('BDT''s'!L:L,VMI!M60,'BDT''s'!F:F,VMI!B60,'BDT''s'!E:E,VMI!A60),"-")</f>
        <v>0</v>
      </c>
      <c r="S60" s="12" t="str">
        <f t="shared" si="3"/>
        <v>-</v>
      </c>
      <c r="T60" s="16" t="str">
        <f t="shared" si="4"/>
        <v>-</v>
      </c>
      <c r="U60" s="18" t="str">
        <f>IFERROR(AVERAGEIFS('BDT''s'!$W:$W,'BDT''s'!$L:$L,VMI!M60,'BDT''s'!$F:$F,VMI!$B60,'BDT''s'!$E:$E,VMI!$A60)*T60,"-")</f>
        <v>-</v>
      </c>
      <c r="V60" s="18" t="str">
        <f t="shared" si="5"/>
        <v>-</v>
      </c>
      <c r="W60" s="3" t="s">
        <v>20</v>
      </c>
      <c r="X60" s="18" t="str">
        <f>IFERROR(AVERAGEIFS('BDT''s'!W:W,'BDT''s'!L:L,VMI!W60,'BDT''s'!F:F,VMI!B60,'BDT''s'!E:E,VMI!A60),"-")</f>
        <v>-</v>
      </c>
      <c r="Y60" s="18" t="str" cm="1">
        <f t="array" ref="Y60">IFERROR(_xlfn.PERCENTILE.INC(_xlfn._xlws.FILTER('BDT''s'!W:W,('BDT''s'!L:L=VMI!W60)*('BDT''s'!F:F=VMI!B60)*('BDT''s'!E:E=VMI!A60)),0.5),"-")</f>
        <v>-</v>
      </c>
      <c r="Z60" s="18" t="str" cm="1">
        <f t="array" ref="Z60">IFERROR(_xlfn.PERCENTILE.INC(_xlfn._xlws.FILTER('BDT''s'!W:W,('BDT''s'!L:L=VMI!W60)*('BDT''s'!F:F=VMI!B60)*('BDT''s'!E:E=VMI!A60)),0.75),"-")</f>
        <v>-</v>
      </c>
      <c r="AA60" s="18">
        <f>IFERROR(_xlfn.MAXIFS('BDT''s'!W:W,'BDT''s'!L:L,VMI!W60,'BDT''s'!F:F,VMI!B60,'BDT''s'!E:E,VMI!A60),"-")</f>
        <v>0</v>
      </c>
      <c r="AB60" s="16">
        <f>IFERROR(COUNTIFS('BDT''s'!L:L,VMI!W60,'BDT''s'!F:F,VMI!B60,'BDT''s'!E:E,VMI!A60),"-")</f>
        <v>0</v>
      </c>
      <c r="AC60" s="12" t="str">
        <f t="shared" si="6"/>
        <v>-</v>
      </c>
      <c r="AD60" s="16" t="str">
        <f t="shared" si="7"/>
        <v>-</v>
      </c>
      <c r="AE60" s="18" t="str">
        <f>IFERROR(AVERAGEIFS('BDT''s'!$W:$W,'BDT''s'!$L:$L,VMI!W60,'BDT''s'!$F:$F,VMI!$B60,'BDT''s'!$E:$E,VMI!$A60)*AD60,"-")</f>
        <v>-</v>
      </c>
      <c r="AF60" s="18" t="str">
        <f t="shared" si="8"/>
        <v>-</v>
      </c>
    </row>
    <row r="61" spans="1:32" x14ac:dyDescent="0.3">
      <c r="A61" s="15">
        <v>0.6</v>
      </c>
      <c r="B61" s="12" t="s">
        <v>38</v>
      </c>
      <c r="C61" s="3" t="s">
        <v>18</v>
      </c>
      <c r="D61" s="18" t="str">
        <f>IFERROR(AVERAGEIFS('BDT''s'!W:W,'BDT''s'!L:L,VMI!C61,'BDT''s'!F:F,VMI!B61,'BDT''s'!E:E,VMI!A61),"-")</f>
        <v>-</v>
      </c>
      <c r="E61" s="18" t="str" cm="1">
        <f t="array" ref="E61">IFERROR(_xlfn.PERCENTILE.INC(_xlfn._xlws.FILTER('BDT''s'!W:W,('BDT''s'!L:L=VMI!C61)*('BDT''s'!F:F=VMI!B61)*('BDT''s'!E:E=VMI!A61)),0.5),"-")</f>
        <v>-</v>
      </c>
      <c r="F61" s="18" t="str" cm="1">
        <f t="array" ref="F61">IFERROR(_xlfn.PERCENTILE.INC(_xlfn._xlws.FILTER('BDT''s'!W:W,('BDT''s'!L:L=VMI!C61)*('BDT''s'!F:F=VMI!B61)*('BDT''s'!E:E=VMI!A61)),0.75),"-")</f>
        <v>-</v>
      </c>
      <c r="G61" s="18">
        <f>IFERROR(_xlfn.MAXIFS('BDT''s'!W:W,'BDT''s'!L:L,VMI!C61,'BDT''s'!F:F,VMI!B61,'BDT''s'!E:E,VMI!A61),"-")</f>
        <v>0</v>
      </c>
      <c r="H61" s="16">
        <f>IFERROR(COUNTIFS('BDT''s'!L:L,VMI!C61,'BDT''s'!F:F,VMI!B61,'BDT''s'!E:E,VMI!A61),"-")</f>
        <v>0</v>
      </c>
      <c r="I61" s="12" t="str">
        <f t="shared" si="0"/>
        <v>-</v>
      </c>
      <c r="J61" s="16" t="str">
        <f t="shared" si="1"/>
        <v>-</v>
      </c>
      <c r="K61" s="18" t="str">
        <f>IFERROR(AVERAGEIFS('BDT''s'!$W:$W,'BDT''s'!$L:$L,VMI!C61,'BDT''s'!$F:$F,VMI!$B61,'BDT''s'!$E:$E,VMI!$A61)*J61,"-")</f>
        <v>-</v>
      </c>
      <c r="L61" s="18" t="str">
        <f t="shared" si="2"/>
        <v>-</v>
      </c>
      <c r="M61" s="3" t="s">
        <v>19</v>
      </c>
      <c r="N61" s="18" t="str">
        <f>IFERROR(AVERAGEIFS('BDT''s'!W:W,'BDT''s'!L:L,VMI!M61,'BDT''s'!F:F,VMI!B61,'BDT''s'!E:E,VMI!A61),"-")</f>
        <v>-</v>
      </c>
      <c r="O61" s="18" t="str" cm="1">
        <f t="array" ref="O61">IFERROR(_xlfn.PERCENTILE.INC(_xlfn._xlws.FILTER('BDT''s'!W:W,('BDT''s'!L:L=VMI!M61)*('BDT''s'!F:F=VMI!B61)*('BDT''s'!E:E=VMI!A61)),0.5),"-")</f>
        <v>-</v>
      </c>
      <c r="P61" s="18" t="str" cm="1">
        <f t="array" ref="P61">IFERROR(_xlfn.PERCENTILE.INC(_xlfn._xlws.FILTER('BDT''s'!W:W,('BDT''s'!L:L=VMI!M61)*('BDT''s'!F:F=VMI!B61)*('BDT''s'!E:E=VMI!A61)),0.75),"-")</f>
        <v>-</v>
      </c>
      <c r="Q61" s="18">
        <f>IFERROR(_xlfn.MAXIFS('BDT''s'!W:W,'BDT''s'!L:L,VMI!M61,'BDT''s'!F:F,VMI!B61,'BDT''s'!E:E,VMI!A61),"-")</f>
        <v>0</v>
      </c>
      <c r="R61" s="16">
        <f>IFERROR(COUNTIFS('BDT''s'!L:L,VMI!M61,'BDT''s'!F:F,VMI!B61,'BDT''s'!E:E,VMI!A61),"-")</f>
        <v>0</v>
      </c>
      <c r="S61" s="12" t="str">
        <f t="shared" si="3"/>
        <v>-</v>
      </c>
      <c r="T61" s="16" t="str">
        <f t="shared" si="4"/>
        <v>-</v>
      </c>
      <c r="U61" s="18" t="str">
        <f>IFERROR(AVERAGEIFS('BDT''s'!$W:$W,'BDT''s'!$L:$L,VMI!M61,'BDT''s'!$F:$F,VMI!$B61,'BDT''s'!$E:$E,VMI!$A61)*T61,"-")</f>
        <v>-</v>
      </c>
      <c r="V61" s="18" t="str">
        <f t="shared" si="5"/>
        <v>-</v>
      </c>
      <c r="W61" s="3" t="s">
        <v>20</v>
      </c>
      <c r="X61" s="18" t="str">
        <f>IFERROR(AVERAGEIFS('BDT''s'!W:W,'BDT''s'!L:L,VMI!W61,'BDT''s'!F:F,VMI!B61,'BDT''s'!E:E,VMI!A61),"-")</f>
        <v>-</v>
      </c>
      <c r="Y61" s="18" t="str" cm="1">
        <f t="array" ref="Y61">IFERROR(_xlfn.PERCENTILE.INC(_xlfn._xlws.FILTER('BDT''s'!W:W,('BDT''s'!L:L=VMI!W61)*('BDT''s'!F:F=VMI!B61)*('BDT''s'!E:E=VMI!A61)),0.5),"-")</f>
        <v>-</v>
      </c>
      <c r="Z61" s="18" t="str" cm="1">
        <f t="array" ref="Z61">IFERROR(_xlfn.PERCENTILE.INC(_xlfn._xlws.FILTER('BDT''s'!W:W,('BDT''s'!L:L=VMI!W61)*('BDT''s'!F:F=VMI!B61)*('BDT''s'!E:E=VMI!A61)),0.75),"-")</f>
        <v>-</v>
      </c>
      <c r="AA61" s="18">
        <f>IFERROR(_xlfn.MAXIFS('BDT''s'!W:W,'BDT''s'!L:L,VMI!W61,'BDT''s'!F:F,VMI!B61,'BDT''s'!E:E,VMI!A61),"-")</f>
        <v>0</v>
      </c>
      <c r="AB61" s="16">
        <f>IFERROR(COUNTIFS('BDT''s'!L:L,VMI!W61,'BDT''s'!F:F,VMI!B61,'BDT''s'!E:E,VMI!A61),"-")</f>
        <v>0</v>
      </c>
      <c r="AC61" s="12" t="str">
        <f t="shared" si="6"/>
        <v>-</v>
      </c>
      <c r="AD61" s="16" t="str">
        <f t="shared" si="7"/>
        <v>-</v>
      </c>
      <c r="AE61" s="18" t="str">
        <f>IFERROR(AVERAGEIFS('BDT''s'!$W:$W,'BDT''s'!$L:$L,VMI!W61,'BDT''s'!$F:$F,VMI!$B61,'BDT''s'!$E:$E,VMI!$A61)*AD61,"-")</f>
        <v>-</v>
      </c>
      <c r="AF61" s="18" t="str">
        <f t="shared" si="8"/>
        <v>-</v>
      </c>
    </row>
    <row r="62" spans="1:32" x14ac:dyDescent="0.3">
      <c r="A62" s="15">
        <v>0.61</v>
      </c>
      <c r="B62" s="12" t="s">
        <v>38</v>
      </c>
      <c r="C62" s="3" t="s">
        <v>18</v>
      </c>
      <c r="D62" s="18" t="str">
        <f>IFERROR(AVERAGEIFS('BDT''s'!W:W,'BDT''s'!L:L,VMI!C62,'BDT''s'!F:F,VMI!B62,'BDT''s'!E:E,VMI!A62),"-")</f>
        <v>-</v>
      </c>
      <c r="E62" s="18" t="str" cm="1">
        <f t="array" ref="E62">IFERROR(_xlfn.PERCENTILE.INC(_xlfn._xlws.FILTER('BDT''s'!W:W,('BDT''s'!L:L=VMI!C62)*('BDT''s'!F:F=VMI!B62)*('BDT''s'!E:E=VMI!A62)),0.5),"-")</f>
        <v>-</v>
      </c>
      <c r="F62" s="18" t="str" cm="1">
        <f t="array" ref="F62">IFERROR(_xlfn.PERCENTILE.INC(_xlfn._xlws.FILTER('BDT''s'!W:W,('BDT''s'!L:L=VMI!C62)*('BDT''s'!F:F=VMI!B62)*('BDT''s'!E:E=VMI!A62)),0.75),"-")</f>
        <v>-</v>
      </c>
      <c r="G62" s="18">
        <f>IFERROR(_xlfn.MAXIFS('BDT''s'!W:W,'BDT''s'!L:L,VMI!C62,'BDT''s'!F:F,VMI!B62,'BDT''s'!E:E,VMI!A62),"-")</f>
        <v>0</v>
      </c>
      <c r="H62" s="16">
        <f>IFERROR(COUNTIFS('BDT''s'!L:L,VMI!C62,'BDT''s'!F:F,VMI!B62,'BDT''s'!E:E,VMI!A62),"-")</f>
        <v>0</v>
      </c>
      <c r="I62" s="12" t="str">
        <f t="shared" si="0"/>
        <v>-</v>
      </c>
      <c r="J62" s="16" t="str">
        <f t="shared" si="1"/>
        <v>-</v>
      </c>
      <c r="K62" s="18" t="str">
        <f>IFERROR(AVERAGEIFS('BDT''s'!$W:$W,'BDT''s'!$L:$L,VMI!C62,'BDT''s'!$F:$F,VMI!$B62,'BDT''s'!$E:$E,VMI!$A62)*J62,"-")</f>
        <v>-</v>
      </c>
      <c r="L62" s="18" t="str">
        <f t="shared" si="2"/>
        <v>-</v>
      </c>
      <c r="M62" s="3" t="s">
        <v>19</v>
      </c>
      <c r="N62" s="18" t="str">
        <f>IFERROR(AVERAGEIFS('BDT''s'!W:W,'BDT''s'!L:L,VMI!M62,'BDT''s'!F:F,VMI!B62,'BDT''s'!E:E,VMI!A62),"-")</f>
        <v>-</v>
      </c>
      <c r="O62" s="18" t="str" cm="1">
        <f t="array" ref="O62">IFERROR(_xlfn.PERCENTILE.INC(_xlfn._xlws.FILTER('BDT''s'!W:W,('BDT''s'!L:L=VMI!M62)*('BDT''s'!F:F=VMI!B62)*('BDT''s'!E:E=VMI!A62)),0.5),"-")</f>
        <v>-</v>
      </c>
      <c r="P62" s="18" t="str" cm="1">
        <f t="array" ref="P62">IFERROR(_xlfn.PERCENTILE.INC(_xlfn._xlws.FILTER('BDT''s'!W:W,('BDT''s'!L:L=VMI!M62)*('BDT''s'!F:F=VMI!B62)*('BDT''s'!E:E=VMI!A62)),0.75),"-")</f>
        <v>-</v>
      </c>
      <c r="Q62" s="18">
        <f>IFERROR(_xlfn.MAXIFS('BDT''s'!W:W,'BDT''s'!L:L,VMI!M62,'BDT''s'!F:F,VMI!B62,'BDT''s'!E:E,VMI!A62),"-")</f>
        <v>0</v>
      </c>
      <c r="R62" s="16">
        <f>IFERROR(COUNTIFS('BDT''s'!L:L,VMI!M62,'BDT''s'!F:F,VMI!B62,'BDT''s'!E:E,VMI!A62),"-")</f>
        <v>0</v>
      </c>
      <c r="S62" s="12" t="str">
        <f t="shared" si="3"/>
        <v>-</v>
      </c>
      <c r="T62" s="16" t="str">
        <f t="shared" si="4"/>
        <v>-</v>
      </c>
      <c r="U62" s="18" t="str">
        <f>IFERROR(AVERAGEIFS('BDT''s'!$W:$W,'BDT''s'!$L:$L,VMI!M62,'BDT''s'!$F:$F,VMI!$B62,'BDT''s'!$E:$E,VMI!$A62)*T62,"-")</f>
        <v>-</v>
      </c>
      <c r="V62" s="18" t="str">
        <f t="shared" si="5"/>
        <v>-</v>
      </c>
      <c r="W62" s="3" t="s">
        <v>20</v>
      </c>
      <c r="X62" s="18" t="str">
        <f>IFERROR(AVERAGEIFS('BDT''s'!W:W,'BDT''s'!L:L,VMI!W62,'BDT''s'!F:F,VMI!B62,'BDT''s'!E:E,VMI!A62),"-")</f>
        <v>-</v>
      </c>
      <c r="Y62" s="18" t="str" cm="1">
        <f t="array" ref="Y62">IFERROR(_xlfn.PERCENTILE.INC(_xlfn._xlws.FILTER('BDT''s'!W:W,('BDT''s'!L:L=VMI!W62)*('BDT''s'!F:F=VMI!B62)*('BDT''s'!E:E=VMI!A62)),0.5),"-")</f>
        <v>-</v>
      </c>
      <c r="Z62" s="18" t="str" cm="1">
        <f t="array" ref="Z62">IFERROR(_xlfn.PERCENTILE.INC(_xlfn._xlws.FILTER('BDT''s'!W:W,('BDT''s'!L:L=VMI!W62)*('BDT''s'!F:F=VMI!B62)*('BDT''s'!E:E=VMI!A62)),0.75),"-")</f>
        <v>-</v>
      </c>
      <c r="AA62" s="18">
        <f>IFERROR(_xlfn.MAXIFS('BDT''s'!W:W,'BDT''s'!L:L,VMI!W62,'BDT''s'!F:F,VMI!B62,'BDT''s'!E:E,VMI!A62),"-")</f>
        <v>0</v>
      </c>
      <c r="AB62" s="16">
        <f>IFERROR(COUNTIFS('BDT''s'!L:L,VMI!W62,'BDT''s'!F:F,VMI!B62,'BDT''s'!E:E,VMI!A62),"-")</f>
        <v>0</v>
      </c>
      <c r="AC62" s="12" t="str">
        <f t="shared" si="6"/>
        <v>-</v>
      </c>
      <c r="AD62" s="16" t="str">
        <f t="shared" si="7"/>
        <v>-</v>
      </c>
      <c r="AE62" s="18" t="str">
        <f>IFERROR(AVERAGEIFS('BDT''s'!$W:$W,'BDT''s'!$L:$L,VMI!W62,'BDT''s'!$F:$F,VMI!$B62,'BDT''s'!$E:$E,VMI!$A62)*AD62,"-")</f>
        <v>-</v>
      </c>
      <c r="AF62" s="18" t="str">
        <f t="shared" si="8"/>
        <v>-</v>
      </c>
    </row>
    <row r="63" spans="1:32" x14ac:dyDescent="0.3">
      <c r="A63" s="15">
        <v>0.62</v>
      </c>
      <c r="B63" s="12" t="s">
        <v>38</v>
      </c>
      <c r="C63" s="3" t="s">
        <v>18</v>
      </c>
      <c r="D63" s="18" t="str">
        <f>IFERROR(AVERAGEIFS('BDT''s'!W:W,'BDT''s'!L:L,VMI!C63,'BDT''s'!F:F,VMI!B63,'BDT''s'!E:E,VMI!A63),"-")</f>
        <v>-</v>
      </c>
      <c r="E63" s="18" t="str" cm="1">
        <f t="array" ref="E63">IFERROR(_xlfn.PERCENTILE.INC(_xlfn._xlws.FILTER('BDT''s'!W:W,('BDT''s'!L:L=VMI!C63)*('BDT''s'!F:F=VMI!B63)*('BDT''s'!E:E=VMI!A63)),0.5),"-")</f>
        <v>-</v>
      </c>
      <c r="F63" s="18" t="str" cm="1">
        <f t="array" ref="F63">IFERROR(_xlfn.PERCENTILE.INC(_xlfn._xlws.FILTER('BDT''s'!W:W,('BDT''s'!L:L=VMI!C63)*('BDT''s'!F:F=VMI!B63)*('BDT''s'!E:E=VMI!A63)),0.75),"-")</f>
        <v>-</v>
      </c>
      <c r="G63" s="18">
        <f>IFERROR(_xlfn.MAXIFS('BDT''s'!W:W,'BDT''s'!L:L,VMI!C63,'BDT''s'!F:F,VMI!B63,'BDT''s'!E:E,VMI!A63),"-")</f>
        <v>0</v>
      </c>
      <c r="H63" s="16">
        <f>IFERROR(COUNTIFS('BDT''s'!L:L,VMI!C63,'BDT''s'!F:F,VMI!B63,'BDT''s'!E:E,VMI!A63),"-")</f>
        <v>0</v>
      </c>
      <c r="I63" s="12" t="str">
        <f t="shared" si="0"/>
        <v>-</v>
      </c>
      <c r="J63" s="16" t="str">
        <f t="shared" si="1"/>
        <v>-</v>
      </c>
      <c r="K63" s="18" t="str">
        <f>IFERROR(AVERAGEIFS('BDT''s'!$W:$W,'BDT''s'!$L:$L,VMI!C63,'BDT''s'!$F:$F,VMI!$B63,'BDT''s'!$E:$E,VMI!$A63)*J63,"-")</f>
        <v>-</v>
      </c>
      <c r="L63" s="18" t="str">
        <f t="shared" si="2"/>
        <v>-</v>
      </c>
      <c r="M63" s="3" t="s">
        <v>19</v>
      </c>
      <c r="N63" s="18" t="str">
        <f>IFERROR(AVERAGEIFS('BDT''s'!W:W,'BDT''s'!L:L,VMI!M63,'BDT''s'!F:F,VMI!B63,'BDT''s'!E:E,VMI!A63),"-")</f>
        <v>-</v>
      </c>
      <c r="O63" s="18" t="str" cm="1">
        <f t="array" ref="O63">IFERROR(_xlfn.PERCENTILE.INC(_xlfn._xlws.FILTER('BDT''s'!W:W,('BDT''s'!L:L=VMI!M63)*('BDT''s'!F:F=VMI!B63)*('BDT''s'!E:E=VMI!A63)),0.5),"-")</f>
        <v>-</v>
      </c>
      <c r="P63" s="18" t="str" cm="1">
        <f t="array" ref="P63">IFERROR(_xlfn.PERCENTILE.INC(_xlfn._xlws.FILTER('BDT''s'!W:W,('BDT''s'!L:L=VMI!M63)*('BDT''s'!F:F=VMI!B63)*('BDT''s'!E:E=VMI!A63)),0.75),"-")</f>
        <v>-</v>
      </c>
      <c r="Q63" s="18">
        <f>IFERROR(_xlfn.MAXIFS('BDT''s'!W:W,'BDT''s'!L:L,VMI!M63,'BDT''s'!F:F,VMI!B63,'BDT''s'!E:E,VMI!A63),"-")</f>
        <v>0</v>
      </c>
      <c r="R63" s="16">
        <f>IFERROR(COUNTIFS('BDT''s'!L:L,VMI!M63,'BDT''s'!F:F,VMI!B63,'BDT''s'!E:E,VMI!A63),"-")</f>
        <v>0</v>
      </c>
      <c r="S63" s="12" t="str">
        <f t="shared" si="3"/>
        <v>-</v>
      </c>
      <c r="T63" s="16" t="str">
        <f t="shared" si="4"/>
        <v>-</v>
      </c>
      <c r="U63" s="18" t="str">
        <f>IFERROR(AVERAGEIFS('BDT''s'!$W:$W,'BDT''s'!$L:$L,VMI!M63,'BDT''s'!$F:$F,VMI!$B63,'BDT''s'!$E:$E,VMI!$A63)*T63,"-")</f>
        <v>-</v>
      </c>
      <c r="V63" s="18" t="str">
        <f t="shared" si="5"/>
        <v>-</v>
      </c>
      <c r="W63" s="3" t="s">
        <v>20</v>
      </c>
      <c r="X63" s="18" t="str">
        <f>IFERROR(AVERAGEIFS('BDT''s'!W:W,'BDT''s'!L:L,VMI!W63,'BDT''s'!F:F,VMI!B63,'BDT''s'!E:E,VMI!A63),"-")</f>
        <v>-</v>
      </c>
      <c r="Y63" s="18" t="str" cm="1">
        <f t="array" ref="Y63">IFERROR(_xlfn.PERCENTILE.INC(_xlfn._xlws.FILTER('BDT''s'!W:W,('BDT''s'!L:L=VMI!W63)*('BDT''s'!F:F=VMI!B63)*('BDT''s'!E:E=VMI!A63)),0.5),"-")</f>
        <v>-</v>
      </c>
      <c r="Z63" s="18" t="str" cm="1">
        <f t="array" ref="Z63">IFERROR(_xlfn.PERCENTILE.INC(_xlfn._xlws.FILTER('BDT''s'!W:W,('BDT''s'!L:L=VMI!W63)*('BDT''s'!F:F=VMI!B63)*('BDT''s'!E:E=VMI!A63)),0.75),"-")</f>
        <v>-</v>
      </c>
      <c r="AA63" s="18">
        <f>IFERROR(_xlfn.MAXIFS('BDT''s'!W:W,'BDT''s'!L:L,VMI!W63,'BDT''s'!F:F,VMI!B63,'BDT''s'!E:E,VMI!A63),"-")</f>
        <v>0</v>
      </c>
      <c r="AB63" s="16">
        <f>IFERROR(COUNTIFS('BDT''s'!L:L,VMI!W63,'BDT''s'!F:F,VMI!B63,'BDT''s'!E:E,VMI!A63),"-")</f>
        <v>0</v>
      </c>
      <c r="AC63" s="12" t="str">
        <f t="shared" si="6"/>
        <v>-</v>
      </c>
      <c r="AD63" s="16" t="str">
        <f t="shared" si="7"/>
        <v>-</v>
      </c>
      <c r="AE63" s="18" t="str">
        <f>IFERROR(AVERAGEIFS('BDT''s'!$W:$W,'BDT''s'!$L:$L,VMI!W63,'BDT''s'!$F:$F,VMI!$B63,'BDT''s'!$E:$E,VMI!$A63)*AD63,"-")</f>
        <v>-</v>
      </c>
      <c r="AF63" s="18" t="str">
        <f t="shared" si="8"/>
        <v>-</v>
      </c>
    </row>
    <row r="64" spans="1:32" x14ac:dyDescent="0.3">
      <c r="A64" s="15">
        <v>0.63</v>
      </c>
      <c r="B64" s="12" t="s">
        <v>38</v>
      </c>
      <c r="C64" s="3" t="s">
        <v>18</v>
      </c>
      <c r="D64" s="18" t="str">
        <f>IFERROR(AVERAGEIFS('BDT''s'!W:W,'BDT''s'!L:L,VMI!C64,'BDT''s'!F:F,VMI!B64,'BDT''s'!E:E,VMI!A64),"-")</f>
        <v>-</v>
      </c>
      <c r="E64" s="18" t="str" cm="1">
        <f t="array" ref="E64">IFERROR(_xlfn.PERCENTILE.INC(_xlfn._xlws.FILTER('BDT''s'!W:W,('BDT''s'!L:L=VMI!C64)*('BDT''s'!F:F=VMI!B64)*('BDT''s'!E:E=VMI!A64)),0.5),"-")</f>
        <v>-</v>
      </c>
      <c r="F64" s="18" t="str" cm="1">
        <f t="array" ref="F64">IFERROR(_xlfn.PERCENTILE.INC(_xlfn._xlws.FILTER('BDT''s'!W:W,('BDT''s'!L:L=VMI!C64)*('BDT''s'!F:F=VMI!B64)*('BDT''s'!E:E=VMI!A64)),0.75),"-")</f>
        <v>-</v>
      </c>
      <c r="G64" s="18">
        <f>IFERROR(_xlfn.MAXIFS('BDT''s'!W:W,'BDT''s'!L:L,VMI!C64,'BDT''s'!F:F,VMI!B64,'BDT''s'!E:E,VMI!A64),"-")</f>
        <v>0</v>
      </c>
      <c r="H64" s="16">
        <f>IFERROR(COUNTIFS('BDT''s'!L:L,VMI!C64,'BDT''s'!F:F,VMI!B64,'BDT''s'!E:E,VMI!A64),"-")</f>
        <v>0</v>
      </c>
      <c r="I64" s="12" t="str">
        <f t="shared" si="0"/>
        <v>-</v>
      </c>
      <c r="J64" s="16" t="str">
        <f t="shared" si="1"/>
        <v>-</v>
      </c>
      <c r="K64" s="18" t="str">
        <f>IFERROR(AVERAGEIFS('BDT''s'!$W:$W,'BDT''s'!$L:$L,VMI!C64,'BDT''s'!$F:$F,VMI!$B64,'BDT''s'!$E:$E,VMI!$A64)*J64,"-")</f>
        <v>-</v>
      </c>
      <c r="L64" s="18" t="str">
        <f t="shared" si="2"/>
        <v>-</v>
      </c>
      <c r="M64" s="3" t="s">
        <v>19</v>
      </c>
      <c r="N64" s="18" t="str">
        <f>IFERROR(AVERAGEIFS('BDT''s'!W:W,'BDT''s'!L:L,VMI!M64,'BDT''s'!F:F,VMI!B64,'BDT''s'!E:E,VMI!A64),"-")</f>
        <v>-</v>
      </c>
      <c r="O64" s="18" t="str" cm="1">
        <f t="array" ref="O64">IFERROR(_xlfn.PERCENTILE.INC(_xlfn._xlws.FILTER('BDT''s'!W:W,('BDT''s'!L:L=VMI!M64)*('BDT''s'!F:F=VMI!B64)*('BDT''s'!E:E=VMI!A64)),0.5),"-")</f>
        <v>-</v>
      </c>
      <c r="P64" s="18" t="str" cm="1">
        <f t="array" ref="P64">IFERROR(_xlfn.PERCENTILE.INC(_xlfn._xlws.FILTER('BDT''s'!W:W,('BDT''s'!L:L=VMI!M64)*('BDT''s'!F:F=VMI!B64)*('BDT''s'!E:E=VMI!A64)),0.75),"-")</f>
        <v>-</v>
      </c>
      <c r="Q64" s="18">
        <f>IFERROR(_xlfn.MAXIFS('BDT''s'!W:W,'BDT''s'!L:L,VMI!M64,'BDT''s'!F:F,VMI!B64,'BDT''s'!E:E,VMI!A64),"-")</f>
        <v>0</v>
      </c>
      <c r="R64" s="16">
        <f>IFERROR(COUNTIFS('BDT''s'!L:L,VMI!M64,'BDT''s'!F:F,VMI!B64,'BDT''s'!E:E,VMI!A64),"-")</f>
        <v>0</v>
      </c>
      <c r="S64" s="12" t="str">
        <f t="shared" si="3"/>
        <v>-</v>
      </c>
      <c r="T64" s="16" t="str">
        <f t="shared" si="4"/>
        <v>-</v>
      </c>
      <c r="U64" s="18" t="str">
        <f>IFERROR(AVERAGEIFS('BDT''s'!$W:$W,'BDT''s'!$L:$L,VMI!M64,'BDT''s'!$F:$F,VMI!$B64,'BDT''s'!$E:$E,VMI!$A64)*T64,"-")</f>
        <v>-</v>
      </c>
      <c r="V64" s="18" t="str">
        <f t="shared" si="5"/>
        <v>-</v>
      </c>
      <c r="W64" s="3" t="s">
        <v>20</v>
      </c>
      <c r="X64" s="18" t="str">
        <f>IFERROR(AVERAGEIFS('BDT''s'!W:W,'BDT''s'!L:L,VMI!W64,'BDT''s'!F:F,VMI!B64,'BDT''s'!E:E,VMI!A64),"-")</f>
        <v>-</v>
      </c>
      <c r="Y64" s="18" t="str" cm="1">
        <f t="array" ref="Y64">IFERROR(_xlfn.PERCENTILE.INC(_xlfn._xlws.FILTER('BDT''s'!W:W,('BDT''s'!L:L=VMI!W64)*('BDT''s'!F:F=VMI!B64)*('BDT''s'!E:E=VMI!A64)),0.5),"-")</f>
        <v>-</v>
      </c>
      <c r="Z64" s="18" t="str" cm="1">
        <f t="array" ref="Z64">IFERROR(_xlfn.PERCENTILE.INC(_xlfn._xlws.FILTER('BDT''s'!W:W,('BDT''s'!L:L=VMI!W64)*('BDT''s'!F:F=VMI!B64)*('BDT''s'!E:E=VMI!A64)),0.75),"-")</f>
        <v>-</v>
      </c>
      <c r="AA64" s="18">
        <f>IFERROR(_xlfn.MAXIFS('BDT''s'!W:W,'BDT''s'!L:L,VMI!W64,'BDT''s'!F:F,VMI!B64,'BDT''s'!E:E,VMI!A64),"-")</f>
        <v>0</v>
      </c>
      <c r="AB64" s="16">
        <f>IFERROR(COUNTIFS('BDT''s'!L:L,VMI!W64,'BDT''s'!F:F,VMI!B64,'BDT''s'!E:E,VMI!A64),"-")</f>
        <v>0</v>
      </c>
      <c r="AC64" s="12" t="str">
        <f t="shared" si="6"/>
        <v>-</v>
      </c>
      <c r="AD64" s="16" t="str">
        <f t="shared" si="7"/>
        <v>-</v>
      </c>
      <c r="AE64" s="18" t="str">
        <f>IFERROR(AVERAGEIFS('BDT''s'!$W:$W,'BDT''s'!$L:$L,VMI!W64,'BDT''s'!$F:$F,VMI!$B64,'BDT''s'!$E:$E,VMI!$A64)*AD64,"-")</f>
        <v>-</v>
      </c>
      <c r="AF64" s="18" t="str">
        <f t="shared" si="8"/>
        <v>-</v>
      </c>
    </row>
    <row r="65" spans="1:32" x14ac:dyDescent="0.3">
      <c r="A65" s="15">
        <v>0.64</v>
      </c>
      <c r="B65" s="12" t="s">
        <v>38</v>
      </c>
      <c r="C65" s="3" t="s">
        <v>18</v>
      </c>
      <c r="D65" s="18" t="str">
        <f>IFERROR(AVERAGEIFS('BDT''s'!W:W,'BDT''s'!L:L,VMI!C65,'BDT''s'!F:F,VMI!B65,'BDT''s'!E:E,VMI!A65),"-")</f>
        <v>-</v>
      </c>
      <c r="E65" s="18" t="str" cm="1">
        <f t="array" ref="E65">IFERROR(_xlfn.PERCENTILE.INC(_xlfn._xlws.FILTER('BDT''s'!W:W,('BDT''s'!L:L=VMI!C65)*('BDT''s'!F:F=VMI!B65)*('BDT''s'!E:E=VMI!A65)),0.5),"-")</f>
        <v>-</v>
      </c>
      <c r="F65" s="18" t="str" cm="1">
        <f t="array" ref="F65">IFERROR(_xlfn.PERCENTILE.INC(_xlfn._xlws.FILTER('BDT''s'!W:W,('BDT''s'!L:L=VMI!C65)*('BDT''s'!F:F=VMI!B65)*('BDT''s'!E:E=VMI!A65)),0.75),"-")</f>
        <v>-</v>
      </c>
      <c r="G65" s="18">
        <f>IFERROR(_xlfn.MAXIFS('BDT''s'!W:W,'BDT''s'!L:L,VMI!C65,'BDT''s'!F:F,VMI!B65,'BDT''s'!E:E,VMI!A65),"-")</f>
        <v>0</v>
      </c>
      <c r="H65" s="16">
        <f>IFERROR(COUNTIFS('BDT''s'!L:L,VMI!C65,'BDT''s'!F:F,VMI!B65,'BDT''s'!E:E,VMI!A65),"-")</f>
        <v>0</v>
      </c>
      <c r="I65" s="12" t="str">
        <f t="shared" si="0"/>
        <v>-</v>
      </c>
      <c r="J65" s="16" t="str">
        <f t="shared" si="1"/>
        <v>-</v>
      </c>
      <c r="K65" s="18" t="str">
        <f>IFERROR(AVERAGEIFS('BDT''s'!$W:$W,'BDT''s'!$L:$L,VMI!C65,'BDT''s'!$F:$F,VMI!$B65,'BDT''s'!$E:$E,VMI!$A65)*J65,"-")</f>
        <v>-</v>
      </c>
      <c r="L65" s="18" t="str">
        <f t="shared" si="2"/>
        <v>-</v>
      </c>
      <c r="M65" s="3" t="s">
        <v>19</v>
      </c>
      <c r="N65" s="18" t="str">
        <f>IFERROR(AVERAGEIFS('BDT''s'!W:W,'BDT''s'!L:L,VMI!M65,'BDT''s'!F:F,VMI!B65,'BDT''s'!E:E,VMI!A65),"-")</f>
        <v>-</v>
      </c>
      <c r="O65" s="18" t="str" cm="1">
        <f t="array" ref="O65">IFERROR(_xlfn.PERCENTILE.INC(_xlfn._xlws.FILTER('BDT''s'!W:W,('BDT''s'!L:L=VMI!M65)*('BDT''s'!F:F=VMI!B65)*('BDT''s'!E:E=VMI!A65)),0.5),"-")</f>
        <v>-</v>
      </c>
      <c r="P65" s="18" t="str" cm="1">
        <f t="array" ref="P65">IFERROR(_xlfn.PERCENTILE.INC(_xlfn._xlws.FILTER('BDT''s'!W:W,('BDT''s'!L:L=VMI!M65)*('BDT''s'!F:F=VMI!B65)*('BDT''s'!E:E=VMI!A65)),0.75),"-")</f>
        <v>-</v>
      </c>
      <c r="Q65" s="18">
        <f>IFERROR(_xlfn.MAXIFS('BDT''s'!W:W,'BDT''s'!L:L,VMI!M65,'BDT''s'!F:F,VMI!B65,'BDT''s'!E:E,VMI!A65),"-")</f>
        <v>0</v>
      </c>
      <c r="R65" s="16">
        <f>IFERROR(COUNTIFS('BDT''s'!L:L,VMI!M65,'BDT''s'!F:F,VMI!B65,'BDT''s'!E:E,VMI!A65),"-")</f>
        <v>0</v>
      </c>
      <c r="S65" s="12" t="str">
        <f t="shared" si="3"/>
        <v>-</v>
      </c>
      <c r="T65" s="16" t="str">
        <f t="shared" si="4"/>
        <v>-</v>
      </c>
      <c r="U65" s="18" t="str">
        <f>IFERROR(AVERAGEIFS('BDT''s'!$W:$W,'BDT''s'!$L:$L,VMI!M65,'BDT''s'!$F:$F,VMI!$B65,'BDT''s'!$E:$E,VMI!$A65)*T65,"-")</f>
        <v>-</v>
      </c>
      <c r="V65" s="18" t="str">
        <f t="shared" si="5"/>
        <v>-</v>
      </c>
      <c r="W65" s="3" t="s">
        <v>20</v>
      </c>
      <c r="X65" s="18" t="str">
        <f>IFERROR(AVERAGEIFS('BDT''s'!W:W,'BDT''s'!L:L,VMI!W65,'BDT''s'!F:F,VMI!B65,'BDT''s'!E:E,VMI!A65),"-")</f>
        <v>-</v>
      </c>
      <c r="Y65" s="18" t="str" cm="1">
        <f t="array" ref="Y65">IFERROR(_xlfn.PERCENTILE.INC(_xlfn._xlws.FILTER('BDT''s'!W:W,('BDT''s'!L:L=VMI!W65)*('BDT''s'!F:F=VMI!B65)*('BDT''s'!E:E=VMI!A65)),0.5),"-")</f>
        <v>-</v>
      </c>
      <c r="Z65" s="18" t="str" cm="1">
        <f t="array" ref="Z65">IFERROR(_xlfn.PERCENTILE.INC(_xlfn._xlws.FILTER('BDT''s'!W:W,('BDT''s'!L:L=VMI!W65)*('BDT''s'!F:F=VMI!B65)*('BDT''s'!E:E=VMI!A65)),0.75),"-")</f>
        <v>-</v>
      </c>
      <c r="AA65" s="18">
        <f>IFERROR(_xlfn.MAXIFS('BDT''s'!W:W,'BDT''s'!L:L,VMI!W65,'BDT''s'!F:F,VMI!B65,'BDT''s'!E:E,VMI!A65),"-")</f>
        <v>0</v>
      </c>
      <c r="AB65" s="16">
        <f>IFERROR(COUNTIFS('BDT''s'!L:L,VMI!W65,'BDT''s'!F:F,VMI!B65,'BDT''s'!E:E,VMI!A65),"-")</f>
        <v>0</v>
      </c>
      <c r="AC65" s="12" t="str">
        <f t="shared" si="6"/>
        <v>-</v>
      </c>
      <c r="AD65" s="16" t="str">
        <f t="shared" si="7"/>
        <v>-</v>
      </c>
      <c r="AE65" s="18" t="str">
        <f>IFERROR(AVERAGEIFS('BDT''s'!$W:$W,'BDT''s'!$L:$L,VMI!W65,'BDT''s'!$F:$F,VMI!$B65,'BDT''s'!$E:$E,VMI!$A65)*AD65,"-")</f>
        <v>-</v>
      </c>
      <c r="AF65" s="18" t="str">
        <f t="shared" si="8"/>
        <v>-</v>
      </c>
    </row>
    <row r="66" spans="1:32" x14ac:dyDescent="0.3">
      <c r="A66" s="15">
        <v>0.65</v>
      </c>
      <c r="B66" s="12" t="s">
        <v>38</v>
      </c>
      <c r="C66" s="3" t="s">
        <v>18</v>
      </c>
      <c r="D66" s="18" t="str">
        <f>IFERROR(AVERAGEIFS('BDT''s'!W:W,'BDT''s'!L:L,VMI!C66,'BDT''s'!F:F,VMI!B66,'BDT''s'!E:E,VMI!A66),"-")</f>
        <v>-</v>
      </c>
      <c r="E66" s="18" t="str" cm="1">
        <f t="array" ref="E66">IFERROR(_xlfn.PERCENTILE.INC(_xlfn._xlws.FILTER('BDT''s'!W:W,('BDT''s'!L:L=VMI!C66)*('BDT''s'!F:F=VMI!B66)*('BDT''s'!E:E=VMI!A66)),0.5),"-")</f>
        <v>-</v>
      </c>
      <c r="F66" s="18" t="str" cm="1">
        <f t="array" ref="F66">IFERROR(_xlfn.PERCENTILE.INC(_xlfn._xlws.FILTER('BDT''s'!W:W,('BDT''s'!L:L=VMI!C66)*('BDT''s'!F:F=VMI!B66)*('BDT''s'!E:E=VMI!A66)),0.75),"-")</f>
        <v>-</v>
      </c>
      <c r="G66" s="18">
        <f>IFERROR(_xlfn.MAXIFS('BDT''s'!W:W,'BDT''s'!L:L,VMI!C66,'BDT''s'!F:F,VMI!B66,'BDT''s'!E:E,VMI!A66),"-")</f>
        <v>0</v>
      </c>
      <c r="H66" s="16">
        <f>IFERROR(COUNTIFS('BDT''s'!L:L,VMI!C66,'BDT''s'!F:F,VMI!B66,'BDT''s'!E:E,VMI!A66),"-")</f>
        <v>0</v>
      </c>
      <c r="I66" s="12" t="str">
        <f t="shared" si="0"/>
        <v>-</v>
      </c>
      <c r="J66" s="16" t="str">
        <f t="shared" si="1"/>
        <v>-</v>
      </c>
      <c r="K66" s="18" t="str">
        <f>IFERROR(AVERAGEIFS('BDT''s'!$W:$W,'BDT''s'!$L:$L,VMI!C66,'BDT''s'!$F:$F,VMI!$B66,'BDT''s'!$E:$E,VMI!$A66)*J66,"-")</f>
        <v>-</v>
      </c>
      <c r="L66" s="18" t="str">
        <f t="shared" si="2"/>
        <v>-</v>
      </c>
      <c r="M66" s="3" t="s">
        <v>19</v>
      </c>
      <c r="N66" s="18" t="str">
        <f>IFERROR(AVERAGEIFS('BDT''s'!W:W,'BDT''s'!L:L,VMI!M66,'BDT''s'!F:F,VMI!B66,'BDT''s'!E:E,VMI!A66),"-")</f>
        <v>-</v>
      </c>
      <c r="O66" s="18" t="str" cm="1">
        <f t="array" ref="O66">IFERROR(_xlfn.PERCENTILE.INC(_xlfn._xlws.FILTER('BDT''s'!W:W,('BDT''s'!L:L=VMI!M66)*('BDT''s'!F:F=VMI!B66)*('BDT''s'!E:E=VMI!A66)),0.5),"-")</f>
        <v>-</v>
      </c>
      <c r="P66" s="18" t="str" cm="1">
        <f t="array" ref="P66">IFERROR(_xlfn.PERCENTILE.INC(_xlfn._xlws.FILTER('BDT''s'!W:W,('BDT''s'!L:L=VMI!M66)*('BDT''s'!F:F=VMI!B66)*('BDT''s'!E:E=VMI!A66)),0.75),"-")</f>
        <v>-</v>
      </c>
      <c r="Q66" s="18">
        <f>IFERROR(_xlfn.MAXIFS('BDT''s'!W:W,'BDT''s'!L:L,VMI!M66,'BDT''s'!F:F,VMI!B66,'BDT''s'!E:E,VMI!A66),"-")</f>
        <v>0</v>
      </c>
      <c r="R66" s="16">
        <f>IFERROR(COUNTIFS('BDT''s'!L:L,VMI!M66,'BDT''s'!F:F,VMI!B66,'BDT''s'!E:E,VMI!A66),"-")</f>
        <v>0</v>
      </c>
      <c r="S66" s="12" t="str">
        <f t="shared" si="3"/>
        <v>-</v>
      </c>
      <c r="T66" s="16" t="str">
        <f t="shared" si="4"/>
        <v>-</v>
      </c>
      <c r="U66" s="18" t="str">
        <f>IFERROR(AVERAGEIFS('BDT''s'!$W:$W,'BDT''s'!$L:$L,VMI!M66,'BDT''s'!$F:$F,VMI!$B66,'BDT''s'!$E:$E,VMI!$A66)*T66,"-")</f>
        <v>-</v>
      </c>
      <c r="V66" s="18" t="str">
        <f t="shared" si="5"/>
        <v>-</v>
      </c>
      <c r="W66" s="3" t="s">
        <v>20</v>
      </c>
      <c r="X66" s="18" t="str">
        <f>IFERROR(AVERAGEIFS('BDT''s'!W:W,'BDT''s'!L:L,VMI!W66,'BDT''s'!F:F,VMI!B66,'BDT''s'!E:E,VMI!A66),"-")</f>
        <v>-</v>
      </c>
      <c r="Y66" s="18" t="str" cm="1">
        <f t="array" ref="Y66">IFERROR(_xlfn.PERCENTILE.INC(_xlfn._xlws.FILTER('BDT''s'!W:W,('BDT''s'!L:L=VMI!W66)*('BDT''s'!F:F=VMI!B66)*('BDT''s'!E:E=VMI!A66)),0.5),"-")</f>
        <v>-</v>
      </c>
      <c r="Z66" s="18" t="str" cm="1">
        <f t="array" ref="Z66">IFERROR(_xlfn.PERCENTILE.INC(_xlfn._xlws.FILTER('BDT''s'!W:W,('BDT''s'!L:L=VMI!W66)*('BDT''s'!F:F=VMI!B66)*('BDT''s'!E:E=VMI!A66)),0.75),"-")</f>
        <v>-</v>
      </c>
      <c r="AA66" s="18">
        <f>IFERROR(_xlfn.MAXIFS('BDT''s'!W:W,'BDT''s'!L:L,VMI!W66,'BDT''s'!F:F,VMI!B66,'BDT''s'!E:E,VMI!A66),"-")</f>
        <v>0</v>
      </c>
      <c r="AB66" s="16">
        <f>IFERROR(COUNTIFS('BDT''s'!L:L,VMI!W66,'BDT''s'!F:F,VMI!B66,'BDT''s'!E:E,VMI!A66),"-")</f>
        <v>0</v>
      </c>
      <c r="AC66" s="12" t="str">
        <f t="shared" si="6"/>
        <v>-</v>
      </c>
      <c r="AD66" s="16" t="str">
        <f t="shared" si="7"/>
        <v>-</v>
      </c>
      <c r="AE66" s="18" t="str">
        <f>IFERROR(AVERAGEIFS('BDT''s'!$W:$W,'BDT''s'!$L:$L,VMI!W66,'BDT''s'!$F:$F,VMI!$B66,'BDT''s'!$E:$E,VMI!$A66)*AD66,"-")</f>
        <v>-</v>
      </c>
      <c r="AF66" s="18" t="str">
        <f t="shared" si="8"/>
        <v>-</v>
      </c>
    </row>
    <row r="67" spans="1:32" x14ac:dyDescent="0.3">
      <c r="A67" s="15">
        <v>0.66</v>
      </c>
      <c r="B67" s="12" t="s">
        <v>38</v>
      </c>
      <c r="C67" s="3" t="s">
        <v>18</v>
      </c>
      <c r="D67" s="18" t="str">
        <f>IFERROR(AVERAGEIFS('BDT''s'!W:W,'BDT''s'!L:L,VMI!C67,'BDT''s'!F:F,VMI!B67,'BDT''s'!E:E,VMI!A67),"-")</f>
        <v>-</v>
      </c>
      <c r="E67" s="18" t="str" cm="1">
        <f t="array" ref="E67">IFERROR(_xlfn.PERCENTILE.INC(_xlfn._xlws.FILTER('BDT''s'!W:W,('BDT''s'!L:L=VMI!C67)*('BDT''s'!F:F=VMI!B67)*('BDT''s'!E:E=VMI!A67)),0.5),"-")</f>
        <v>-</v>
      </c>
      <c r="F67" s="18" t="str" cm="1">
        <f t="array" ref="F67">IFERROR(_xlfn.PERCENTILE.INC(_xlfn._xlws.FILTER('BDT''s'!W:W,('BDT''s'!L:L=VMI!C67)*('BDT''s'!F:F=VMI!B67)*('BDT''s'!E:E=VMI!A67)),0.75),"-")</f>
        <v>-</v>
      </c>
      <c r="G67" s="18">
        <f>IFERROR(_xlfn.MAXIFS('BDT''s'!W:W,'BDT''s'!L:L,VMI!C67,'BDT''s'!F:F,VMI!B67,'BDT''s'!E:E,VMI!A67),"-")</f>
        <v>0</v>
      </c>
      <c r="H67" s="16">
        <f>IFERROR(COUNTIFS('BDT''s'!L:L,VMI!C67,'BDT''s'!F:F,VMI!B67,'BDT''s'!E:E,VMI!A67),"-")</f>
        <v>0</v>
      </c>
      <c r="I67" s="12" t="str">
        <f t="shared" ref="I67:I100" si="9">IFERROR(IF(D67="-","-",IF(D67&lt;E67,"BAIXO",IF(AND(D67&gt;=E67,D67&lt;F67),"MEDIO",IF(AND(D67&gt;=F67,D67&lt;=G67),"ALTO","-")))),"-")</f>
        <v>-</v>
      </c>
      <c r="J67" s="16" t="str">
        <f t="shared" ref="J67:J100" si="10">IFERROR(AVERAGE((E67/D67),(F67/D67)),"-")</f>
        <v>-</v>
      </c>
      <c r="K67" s="18" t="str">
        <f>IFERROR(AVERAGEIFS('BDT''s'!$W:$W,'BDT''s'!$L:$L,VMI!C67,'BDT''s'!$F:$F,VMI!$B67,'BDT''s'!$E:$E,VMI!$A67)*J67,"-")</f>
        <v>-</v>
      </c>
      <c r="L67" s="18" t="str">
        <f t="shared" ref="L67:L100" si="11">IFERROR(K67*J67,"-")</f>
        <v>-</v>
      </c>
      <c r="M67" s="3" t="s">
        <v>19</v>
      </c>
      <c r="N67" s="18" t="str">
        <f>IFERROR(AVERAGEIFS('BDT''s'!W:W,'BDT''s'!L:L,VMI!M67,'BDT''s'!F:F,VMI!B67,'BDT''s'!E:E,VMI!A67),"-")</f>
        <v>-</v>
      </c>
      <c r="O67" s="18" t="str" cm="1">
        <f t="array" ref="O67">IFERROR(_xlfn.PERCENTILE.INC(_xlfn._xlws.FILTER('BDT''s'!W:W,('BDT''s'!L:L=VMI!M67)*('BDT''s'!F:F=VMI!B67)*('BDT''s'!E:E=VMI!A67)),0.5),"-")</f>
        <v>-</v>
      </c>
      <c r="P67" s="18" t="str" cm="1">
        <f t="array" ref="P67">IFERROR(_xlfn.PERCENTILE.INC(_xlfn._xlws.FILTER('BDT''s'!W:W,('BDT''s'!L:L=VMI!M67)*('BDT''s'!F:F=VMI!B67)*('BDT''s'!E:E=VMI!A67)),0.75),"-")</f>
        <v>-</v>
      </c>
      <c r="Q67" s="18">
        <f>IFERROR(_xlfn.MAXIFS('BDT''s'!W:W,'BDT''s'!L:L,VMI!M67,'BDT''s'!F:F,VMI!B67,'BDT''s'!E:E,VMI!A67),"-")</f>
        <v>0</v>
      </c>
      <c r="R67" s="16">
        <f>IFERROR(COUNTIFS('BDT''s'!L:L,VMI!M67,'BDT''s'!F:F,VMI!B67,'BDT''s'!E:E,VMI!A67),"-")</f>
        <v>0</v>
      </c>
      <c r="S67" s="12" t="str">
        <f t="shared" ref="S67:S100" si="12">IFERROR(IF(N67="-","-",IF(N67&lt;O67,"BAIXO",IF(AND(N67&gt;=O67,N67&lt;P67),"MEDIO",IF(AND(N67&gt;=P67,N67&lt;=Q67),"ALTO","-")))),"-")</f>
        <v>-</v>
      </c>
      <c r="T67" s="16" t="str">
        <f t="shared" ref="T67:T100" si="13">IFERROR(AVERAGE((O67/N67),(P67/N67)),"-")</f>
        <v>-</v>
      </c>
      <c r="U67" s="18" t="str">
        <f>IFERROR(AVERAGEIFS('BDT''s'!$W:$W,'BDT''s'!$L:$L,VMI!M67,'BDT''s'!$F:$F,VMI!$B67,'BDT''s'!$E:$E,VMI!$A67)*T67,"-")</f>
        <v>-</v>
      </c>
      <c r="V67" s="18" t="str">
        <f t="shared" ref="V67:V100" si="14">IFERROR(U67*T67,"-")</f>
        <v>-</v>
      </c>
      <c r="W67" s="3" t="s">
        <v>20</v>
      </c>
      <c r="X67" s="18" t="str">
        <f>IFERROR(AVERAGEIFS('BDT''s'!W:W,'BDT''s'!L:L,VMI!W67,'BDT''s'!F:F,VMI!B67,'BDT''s'!E:E,VMI!A67),"-")</f>
        <v>-</v>
      </c>
      <c r="Y67" s="18" t="str" cm="1">
        <f t="array" ref="Y67">IFERROR(_xlfn.PERCENTILE.INC(_xlfn._xlws.FILTER('BDT''s'!W:W,('BDT''s'!L:L=VMI!W67)*('BDT''s'!F:F=VMI!B67)*('BDT''s'!E:E=VMI!A67)),0.5),"-")</f>
        <v>-</v>
      </c>
      <c r="Z67" s="18" t="str" cm="1">
        <f t="array" ref="Z67">IFERROR(_xlfn.PERCENTILE.INC(_xlfn._xlws.FILTER('BDT''s'!W:W,('BDT''s'!L:L=VMI!W67)*('BDT''s'!F:F=VMI!B67)*('BDT''s'!E:E=VMI!A67)),0.75),"-")</f>
        <v>-</v>
      </c>
      <c r="AA67" s="18">
        <f>IFERROR(_xlfn.MAXIFS('BDT''s'!W:W,'BDT''s'!L:L,VMI!W67,'BDT''s'!F:F,VMI!B67,'BDT''s'!E:E,VMI!A67),"-")</f>
        <v>0</v>
      </c>
      <c r="AB67" s="16">
        <f>IFERROR(COUNTIFS('BDT''s'!L:L,VMI!W67,'BDT''s'!F:F,VMI!B67,'BDT''s'!E:E,VMI!A67),"-")</f>
        <v>0</v>
      </c>
      <c r="AC67" s="12" t="str">
        <f t="shared" ref="AC67:AC100" si="15">IFERROR(IF(X67="-","-",IF(X67&lt;Y67,"BAIXO",IF(AND(X67&gt;=Y67,X67&lt;Z67),"MEDIO",IF(AND(X67&gt;=Z67,X67&lt;=AA67),"ALTO","-")))),"-")</f>
        <v>-</v>
      </c>
      <c r="AD67" s="16" t="str">
        <f t="shared" ref="AD67:AD100" si="16">IFERROR(AVERAGE((Y67/X67),(Z67/X67)),"-")</f>
        <v>-</v>
      </c>
      <c r="AE67" s="18" t="str">
        <f>IFERROR(AVERAGEIFS('BDT''s'!$W:$W,'BDT''s'!$L:$L,VMI!W67,'BDT''s'!$F:$F,VMI!$B67,'BDT''s'!$E:$E,VMI!$A67)*AD67,"-")</f>
        <v>-</v>
      </c>
      <c r="AF67" s="18" t="str">
        <f t="shared" ref="AF67:AF100" si="17">IFERROR(AE67*AD67,"-")</f>
        <v>-</v>
      </c>
    </row>
    <row r="68" spans="1:32" x14ac:dyDescent="0.3">
      <c r="A68" s="15">
        <v>0.67</v>
      </c>
      <c r="B68" s="12" t="s">
        <v>38</v>
      </c>
      <c r="C68" s="3" t="s">
        <v>18</v>
      </c>
      <c r="D68" s="18" t="str">
        <f>IFERROR(AVERAGEIFS('BDT''s'!W:W,'BDT''s'!L:L,VMI!C68,'BDT''s'!F:F,VMI!B68,'BDT''s'!E:E,VMI!A68),"-")</f>
        <v>-</v>
      </c>
      <c r="E68" s="18" t="str" cm="1">
        <f t="array" ref="E68">IFERROR(_xlfn.PERCENTILE.INC(_xlfn._xlws.FILTER('BDT''s'!W:W,('BDT''s'!L:L=VMI!C68)*('BDT''s'!F:F=VMI!B68)*('BDT''s'!E:E=VMI!A68)),0.5),"-")</f>
        <v>-</v>
      </c>
      <c r="F68" s="18" t="str" cm="1">
        <f t="array" ref="F68">IFERROR(_xlfn.PERCENTILE.INC(_xlfn._xlws.FILTER('BDT''s'!W:W,('BDT''s'!L:L=VMI!C68)*('BDT''s'!F:F=VMI!B68)*('BDT''s'!E:E=VMI!A68)),0.75),"-")</f>
        <v>-</v>
      </c>
      <c r="G68" s="18">
        <f>IFERROR(_xlfn.MAXIFS('BDT''s'!W:W,'BDT''s'!L:L,VMI!C68,'BDT''s'!F:F,VMI!B68,'BDT''s'!E:E,VMI!A68),"-")</f>
        <v>0</v>
      </c>
      <c r="H68" s="16">
        <f>IFERROR(COUNTIFS('BDT''s'!L:L,VMI!C68,'BDT''s'!F:F,VMI!B68,'BDT''s'!E:E,VMI!A68),"-")</f>
        <v>0</v>
      </c>
      <c r="I68" s="12" t="str">
        <f t="shared" si="9"/>
        <v>-</v>
      </c>
      <c r="J68" s="16" t="str">
        <f t="shared" si="10"/>
        <v>-</v>
      </c>
      <c r="K68" s="18" t="str">
        <f>IFERROR(AVERAGEIFS('BDT''s'!$W:$W,'BDT''s'!$L:$L,VMI!C68,'BDT''s'!$F:$F,VMI!$B68,'BDT''s'!$E:$E,VMI!$A68)*J68,"-")</f>
        <v>-</v>
      </c>
      <c r="L68" s="18" t="str">
        <f t="shared" si="11"/>
        <v>-</v>
      </c>
      <c r="M68" s="3" t="s">
        <v>19</v>
      </c>
      <c r="N68" s="18" t="str">
        <f>IFERROR(AVERAGEIFS('BDT''s'!W:W,'BDT''s'!L:L,VMI!M68,'BDT''s'!F:F,VMI!B68,'BDT''s'!E:E,VMI!A68),"-")</f>
        <v>-</v>
      </c>
      <c r="O68" s="18" t="str" cm="1">
        <f t="array" ref="O68">IFERROR(_xlfn.PERCENTILE.INC(_xlfn._xlws.FILTER('BDT''s'!W:W,('BDT''s'!L:L=VMI!M68)*('BDT''s'!F:F=VMI!B68)*('BDT''s'!E:E=VMI!A68)),0.5),"-")</f>
        <v>-</v>
      </c>
      <c r="P68" s="18" t="str" cm="1">
        <f t="array" ref="P68">IFERROR(_xlfn.PERCENTILE.INC(_xlfn._xlws.FILTER('BDT''s'!W:W,('BDT''s'!L:L=VMI!M68)*('BDT''s'!F:F=VMI!B68)*('BDT''s'!E:E=VMI!A68)),0.75),"-")</f>
        <v>-</v>
      </c>
      <c r="Q68" s="18">
        <f>IFERROR(_xlfn.MAXIFS('BDT''s'!W:W,'BDT''s'!L:L,VMI!M68,'BDT''s'!F:F,VMI!B68,'BDT''s'!E:E,VMI!A68),"-")</f>
        <v>0</v>
      </c>
      <c r="R68" s="16">
        <f>IFERROR(COUNTIFS('BDT''s'!L:L,VMI!M68,'BDT''s'!F:F,VMI!B68,'BDT''s'!E:E,VMI!A68),"-")</f>
        <v>0</v>
      </c>
      <c r="S68" s="12" t="str">
        <f t="shared" si="12"/>
        <v>-</v>
      </c>
      <c r="T68" s="16" t="str">
        <f t="shared" si="13"/>
        <v>-</v>
      </c>
      <c r="U68" s="18" t="str">
        <f>IFERROR(AVERAGEIFS('BDT''s'!$W:$W,'BDT''s'!$L:$L,VMI!M68,'BDT''s'!$F:$F,VMI!$B68,'BDT''s'!$E:$E,VMI!$A68)*T68,"-")</f>
        <v>-</v>
      </c>
      <c r="V68" s="18" t="str">
        <f t="shared" si="14"/>
        <v>-</v>
      </c>
      <c r="W68" s="3" t="s">
        <v>20</v>
      </c>
      <c r="X68" s="18" t="str">
        <f>IFERROR(AVERAGEIFS('BDT''s'!W:W,'BDT''s'!L:L,VMI!W68,'BDT''s'!F:F,VMI!B68,'BDT''s'!E:E,VMI!A68),"-")</f>
        <v>-</v>
      </c>
      <c r="Y68" s="18" t="str" cm="1">
        <f t="array" ref="Y68">IFERROR(_xlfn.PERCENTILE.INC(_xlfn._xlws.FILTER('BDT''s'!W:W,('BDT''s'!L:L=VMI!W68)*('BDT''s'!F:F=VMI!B68)*('BDT''s'!E:E=VMI!A68)),0.5),"-")</f>
        <v>-</v>
      </c>
      <c r="Z68" s="18" t="str" cm="1">
        <f t="array" ref="Z68">IFERROR(_xlfn.PERCENTILE.INC(_xlfn._xlws.FILTER('BDT''s'!W:W,('BDT''s'!L:L=VMI!W68)*('BDT''s'!F:F=VMI!B68)*('BDT''s'!E:E=VMI!A68)),0.75),"-")</f>
        <v>-</v>
      </c>
      <c r="AA68" s="18">
        <f>IFERROR(_xlfn.MAXIFS('BDT''s'!W:W,'BDT''s'!L:L,VMI!W68,'BDT''s'!F:F,VMI!B68,'BDT''s'!E:E,VMI!A68),"-")</f>
        <v>0</v>
      </c>
      <c r="AB68" s="16">
        <f>IFERROR(COUNTIFS('BDT''s'!L:L,VMI!W68,'BDT''s'!F:F,VMI!B68,'BDT''s'!E:E,VMI!A68),"-")</f>
        <v>0</v>
      </c>
      <c r="AC68" s="12" t="str">
        <f t="shared" si="15"/>
        <v>-</v>
      </c>
      <c r="AD68" s="16" t="str">
        <f t="shared" si="16"/>
        <v>-</v>
      </c>
      <c r="AE68" s="18" t="str">
        <f>IFERROR(AVERAGEIFS('BDT''s'!$W:$W,'BDT''s'!$L:$L,VMI!W68,'BDT''s'!$F:$F,VMI!$B68,'BDT''s'!$E:$E,VMI!$A68)*AD68,"-")</f>
        <v>-</v>
      </c>
      <c r="AF68" s="18" t="str">
        <f t="shared" si="17"/>
        <v>-</v>
      </c>
    </row>
    <row r="69" spans="1:32" x14ac:dyDescent="0.3">
      <c r="A69" s="15">
        <v>0.68</v>
      </c>
      <c r="B69" s="12" t="s">
        <v>38</v>
      </c>
      <c r="C69" s="3" t="s">
        <v>18</v>
      </c>
      <c r="D69" s="18" t="str">
        <f>IFERROR(AVERAGEIFS('BDT''s'!W:W,'BDT''s'!L:L,VMI!C69,'BDT''s'!F:F,VMI!B69,'BDT''s'!E:E,VMI!A69),"-")</f>
        <v>-</v>
      </c>
      <c r="E69" s="18" t="str" cm="1">
        <f t="array" ref="E69">IFERROR(_xlfn.PERCENTILE.INC(_xlfn._xlws.FILTER('BDT''s'!W:W,('BDT''s'!L:L=VMI!C69)*('BDT''s'!F:F=VMI!B69)*('BDT''s'!E:E=VMI!A69)),0.5),"-")</f>
        <v>-</v>
      </c>
      <c r="F69" s="18" t="str" cm="1">
        <f t="array" ref="F69">IFERROR(_xlfn.PERCENTILE.INC(_xlfn._xlws.FILTER('BDT''s'!W:W,('BDT''s'!L:L=VMI!C69)*('BDT''s'!F:F=VMI!B69)*('BDT''s'!E:E=VMI!A69)),0.75),"-")</f>
        <v>-</v>
      </c>
      <c r="G69" s="18">
        <f>IFERROR(_xlfn.MAXIFS('BDT''s'!W:W,'BDT''s'!L:L,VMI!C69,'BDT''s'!F:F,VMI!B69,'BDT''s'!E:E,VMI!A69),"-")</f>
        <v>0</v>
      </c>
      <c r="H69" s="16">
        <f>IFERROR(COUNTIFS('BDT''s'!L:L,VMI!C69,'BDT''s'!F:F,VMI!B69,'BDT''s'!E:E,VMI!A69),"-")</f>
        <v>0</v>
      </c>
      <c r="I69" s="12" t="str">
        <f t="shared" si="9"/>
        <v>-</v>
      </c>
      <c r="J69" s="16" t="str">
        <f t="shared" si="10"/>
        <v>-</v>
      </c>
      <c r="K69" s="18" t="str">
        <f>IFERROR(AVERAGEIFS('BDT''s'!$W:$W,'BDT''s'!$L:$L,VMI!C69,'BDT''s'!$F:$F,VMI!$B69,'BDT''s'!$E:$E,VMI!$A69)*J69,"-")</f>
        <v>-</v>
      </c>
      <c r="L69" s="18" t="str">
        <f t="shared" si="11"/>
        <v>-</v>
      </c>
      <c r="M69" s="3" t="s">
        <v>19</v>
      </c>
      <c r="N69" s="18" t="str">
        <f>IFERROR(AVERAGEIFS('BDT''s'!W:W,'BDT''s'!L:L,VMI!M69,'BDT''s'!F:F,VMI!B69,'BDT''s'!E:E,VMI!A69),"-")</f>
        <v>-</v>
      </c>
      <c r="O69" s="18" t="str" cm="1">
        <f t="array" ref="O69">IFERROR(_xlfn.PERCENTILE.INC(_xlfn._xlws.FILTER('BDT''s'!W:W,('BDT''s'!L:L=VMI!M69)*('BDT''s'!F:F=VMI!B69)*('BDT''s'!E:E=VMI!A69)),0.5),"-")</f>
        <v>-</v>
      </c>
      <c r="P69" s="18" t="str" cm="1">
        <f t="array" ref="P69">IFERROR(_xlfn.PERCENTILE.INC(_xlfn._xlws.FILTER('BDT''s'!W:W,('BDT''s'!L:L=VMI!M69)*('BDT''s'!F:F=VMI!B69)*('BDT''s'!E:E=VMI!A69)),0.75),"-")</f>
        <v>-</v>
      </c>
      <c r="Q69" s="18">
        <f>IFERROR(_xlfn.MAXIFS('BDT''s'!W:W,'BDT''s'!L:L,VMI!M69,'BDT''s'!F:F,VMI!B69,'BDT''s'!E:E,VMI!A69),"-")</f>
        <v>0</v>
      </c>
      <c r="R69" s="16">
        <f>IFERROR(COUNTIFS('BDT''s'!L:L,VMI!M69,'BDT''s'!F:F,VMI!B69,'BDT''s'!E:E,VMI!A69),"-")</f>
        <v>0</v>
      </c>
      <c r="S69" s="12" t="str">
        <f t="shared" si="12"/>
        <v>-</v>
      </c>
      <c r="T69" s="16" t="str">
        <f t="shared" si="13"/>
        <v>-</v>
      </c>
      <c r="U69" s="18" t="str">
        <f>IFERROR(AVERAGEIFS('BDT''s'!$W:$W,'BDT''s'!$L:$L,VMI!M69,'BDT''s'!$F:$F,VMI!$B69,'BDT''s'!$E:$E,VMI!$A69)*T69,"-")</f>
        <v>-</v>
      </c>
      <c r="V69" s="18" t="str">
        <f t="shared" si="14"/>
        <v>-</v>
      </c>
      <c r="W69" s="3" t="s">
        <v>20</v>
      </c>
      <c r="X69" s="18" t="str">
        <f>IFERROR(AVERAGEIFS('BDT''s'!W:W,'BDT''s'!L:L,VMI!W69,'BDT''s'!F:F,VMI!B69,'BDT''s'!E:E,VMI!A69),"-")</f>
        <v>-</v>
      </c>
      <c r="Y69" s="18" t="str" cm="1">
        <f t="array" ref="Y69">IFERROR(_xlfn.PERCENTILE.INC(_xlfn._xlws.FILTER('BDT''s'!W:W,('BDT''s'!L:L=VMI!W69)*('BDT''s'!F:F=VMI!B69)*('BDT''s'!E:E=VMI!A69)),0.5),"-")</f>
        <v>-</v>
      </c>
      <c r="Z69" s="18" t="str" cm="1">
        <f t="array" ref="Z69">IFERROR(_xlfn.PERCENTILE.INC(_xlfn._xlws.FILTER('BDT''s'!W:W,('BDT''s'!L:L=VMI!W69)*('BDT''s'!F:F=VMI!B69)*('BDT''s'!E:E=VMI!A69)),0.75),"-")</f>
        <v>-</v>
      </c>
      <c r="AA69" s="18">
        <f>IFERROR(_xlfn.MAXIFS('BDT''s'!W:W,'BDT''s'!L:L,VMI!W69,'BDT''s'!F:F,VMI!B69,'BDT''s'!E:E,VMI!A69),"-")</f>
        <v>0</v>
      </c>
      <c r="AB69" s="16">
        <f>IFERROR(COUNTIFS('BDT''s'!L:L,VMI!W69,'BDT''s'!F:F,VMI!B69,'BDT''s'!E:E,VMI!A69),"-")</f>
        <v>0</v>
      </c>
      <c r="AC69" s="12" t="str">
        <f t="shared" si="15"/>
        <v>-</v>
      </c>
      <c r="AD69" s="16" t="str">
        <f t="shared" si="16"/>
        <v>-</v>
      </c>
      <c r="AE69" s="18" t="str">
        <f>IFERROR(AVERAGEIFS('BDT''s'!$W:$W,'BDT''s'!$L:$L,VMI!W69,'BDT''s'!$F:$F,VMI!$B69,'BDT''s'!$E:$E,VMI!$A69)*AD69,"-")</f>
        <v>-</v>
      </c>
      <c r="AF69" s="18" t="str">
        <f t="shared" si="17"/>
        <v>-</v>
      </c>
    </row>
    <row r="70" spans="1:32" x14ac:dyDescent="0.3">
      <c r="A70" s="15">
        <v>0.69</v>
      </c>
      <c r="B70" s="12" t="s">
        <v>38</v>
      </c>
      <c r="C70" s="3" t="s">
        <v>18</v>
      </c>
      <c r="D70" s="18" t="str">
        <f>IFERROR(AVERAGEIFS('BDT''s'!W:W,'BDT''s'!L:L,VMI!C70,'BDT''s'!F:F,VMI!B70,'BDT''s'!E:E,VMI!A70),"-")</f>
        <v>-</v>
      </c>
      <c r="E70" s="18" t="str" cm="1">
        <f t="array" ref="E70">IFERROR(_xlfn.PERCENTILE.INC(_xlfn._xlws.FILTER('BDT''s'!W:W,('BDT''s'!L:L=VMI!C70)*('BDT''s'!F:F=VMI!B70)*('BDT''s'!E:E=VMI!A70)),0.5),"-")</f>
        <v>-</v>
      </c>
      <c r="F70" s="18" t="str" cm="1">
        <f t="array" ref="F70">IFERROR(_xlfn.PERCENTILE.INC(_xlfn._xlws.FILTER('BDT''s'!W:W,('BDT''s'!L:L=VMI!C70)*('BDT''s'!F:F=VMI!B70)*('BDT''s'!E:E=VMI!A70)),0.75),"-")</f>
        <v>-</v>
      </c>
      <c r="G70" s="18">
        <f>IFERROR(_xlfn.MAXIFS('BDT''s'!W:W,'BDT''s'!L:L,VMI!C70,'BDT''s'!F:F,VMI!B70,'BDT''s'!E:E,VMI!A70),"-")</f>
        <v>0</v>
      </c>
      <c r="H70" s="16">
        <f>IFERROR(COUNTIFS('BDT''s'!L:L,VMI!C70,'BDT''s'!F:F,VMI!B70,'BDT''s'!E:E,VMI!A70),"-")</f>
        <v>0</v>
      </c>
      <c r="I70" s="12" t="str">
        <f t="shared" si="9"/>
        <v>-</v>
      </c>
      <c r="J70" s="16" t="str">
        <f t="shared" si="10"/>
        <v>-</v>
      </c>
      <c r="K70" s="18" t="str">
        <f>IFERROR(AVERAGEIFS('BDT''s'!$W:$W,'BDT''s'!$L:$L,VMI!C70,'BDT''s'!$F:$F,VMI!$B70,'BDT''s'!$E:$E,VMI!$A70)*J70,"-")</f>
        <v>-</v>
      </c>
      <c r="L70" s="18" t="str">
        <f t="shared" si="11"/>
        <v>-</v>
      </c>
      <c r="M70" s="3" t="s">
        <v>19</v>
      </c>
      <c r="N70" s="18" t="str">
        <f>IFERROR(AVERAGEIFS('BDT''s'!W:W,'BDT''s'!L:L,VMI!M70,'BDT''s'!F:F,VMI!B70,'BDT''s'!E:E,VMI!A70),"-")</f>
        <v>-</v>
      </c>
      <c r="O70" s="18" t="str" cm="1">
        <f t="array" ref="O70">IFERROR(_xlfn.PERCENTILE.INC(_xlfn._xlws.FILTER('BDT''s'!W:W,('BDT''s'!L:L=VMI!M70)*('BDT''s'!F:F=VMI!B70)*('BDT''s'!E:E=VMI!A70)),0.5),"-")</f>
        <v>-</v>
      </c>
      <c r="P70" s="18" t="str" cm="1">
        <f t="array" ref="P70">IFERROR(_xlfn.PERCENTILE.INC(_xlfn._xlws.FILTER('BDT''s'!W:W,('BDT''s'!L:L=VMI!M70)*('BDT''s'!F:F=VMI!B70)*('BDT''s'!E:E=VMI!A70)),0.75),"-")</f>
        <v>-</v>
      </c>
      <c r="Q70" s="18">
        <f>IFERROR(_xlfn.MAXIFS('BDT''s'!W:W,'BDT''s'!L:L,VMI!M70,'BDT''s'!F:F,VMI!B70,'BDT''s'!E:E,VMI!A70),"-")</f>
        <v>0</v>
      </c>
      <c r="R70" s="16">
        <f>IFERROR(COUNTIFS('BDT''s'!L:L,VMI!M70,'BDT''s'!F:F,VMI!B70,'BDT''s'!E:E,VMI!A70),"-")</f>
        <v>0</v>
      </c>
      <c r="S70" s="12" t="str">
        <f t="shared" si="12"/>
        <v>-</v>
      </c>
      <c r="T70" s="16" t="str">
        <f t="shared" si="13"/>
        <v>-</v>
      </c>
      <c r="U70" s="18" t="str">
        <f>IFERROR(AVERAGEIFS('BDT''s'!$W:$W,'BDT''s'!$L:$L,VMI!M70,'BDT''s'!$F:$F,VMI!$B70,'BDT''s'!$E:$E,VMI!$A70)*T70,"-")</f>
        <v>-</v>
      </c>
      <c r="V70" s="18" t="str">
        <f t="shared" si="14"/>
        <v>-</v>
      </c>
      <c r="W70" s="3" t="s">
        <v>20</v>
      </c>
      <c r="X70" s="18" t="str">
        <f>IFERROR(AVERAGEIFS('BDT''s'!W:W,'BDT''s'!L:L,VMI!W70,'BDT''s'!F:F,VMI!B70,'BDT''s'!E:E,VMI!A70),"-")</f>
        <v>-</v>
      </c>
      <c r="Y70" s="18" t="str" cm="1">
        <f t="array" ref="Y70">IFERROR(_xlfn.PERCENTILE.INC(_xlfn._xlws.FILTER('BDT''s'!W:W,('BDT''s'!L:L=VMI!W70)*('BDT''s'!F:F=VMI!B70)*('BDT''s'!E:E=VMI!A70)),0.5),"-")</f>
        <v>-</v>
      </c>
      <c r="Z70" s="18" t="str" cm="1">
        <f t="array" ref="Z70">IFERROR(_xlfn.PERCENTILE.INC(_xlfn._xlws.FILTER('BDT''s'!W:W,('BDT''s'!L:L=VMI!W70)*('BDT''s'!F:F=VMI!B70)*('BDT''s'!E:E=VMI!A70)),0.75),"-")</f>
        <v>-</v>
      </c>
      <c r="AA70" s="18">
        <f>IFERROR(_xlfn.MAXIFS('BDT''s'!W:W,'BDT''s'!L:L,VMI!W70,'BDT''s'!F:F,VMI!B70,'BDT''s'!E:E,VMI!A70),"-")</f>
        <v>0</v>
      </c>
      <c r="AB70" s="16">
        <f>IFERROR(COUNTIFS('BDT''s'!L:L,VMI!W70,'BDT''s'!F:F,VMI!B70,'BDT''s'!E:E,VMI!A70),"-")</f>
        <v>0</v>
      </c>
      <c r="AC70" s="12" t="str">
        <f t="shared" si="15"/>
        <v>-</v>
      </c>
      <c r="AD70" s="16" t="str">
        <f t="shared" si="16"/>
        <v>-</v>
      </c>
      <c r="AE70" s="18" t="str">
        <f>IFERROR(AVERAGEIFS('BDT''s'!$W:$W,'BDT''s'!$L:$L,VMI!W70,'BDT''s'!$F:$F,VMI!$B70,'BDT''s'!$E:$E,VMI!$A70)*AD70,"-")</f>
        <v>-</v>
      </c>
      <c r="AF70" s="18" t="str">
        <f t="shared" si="17"/>
        <v>-</v>
      </c>
    </row>
    <row r="71" spans="1:32" x14ac:dyDescent="0.3">
      <c r="A71" s="15">
        <v>0.7</v>
      </c>
      <c r="B71" s="12" t="s">
        <v>38</v>
      </c>
      <c r="C71" s="3" t="s">
        <v>18</v>
      </c>
      <c r="D71" s="18" t="str">
        <f>IFERROR(AVERAGEIFS('BDT''s'!W:W,'BDT''s'!L:L,VMI!C71,'BDT''s'!F:F,VMI!B71,'BDT''s'!E:E,VMI!A71),"-")</f>
        <v>-</v>
      </c>
      <c r="E71" s="18" t="str" cm="1">
        <f t="array" ref="E71">IFERROR(_xlfn.PERCENTILE.INC(_xlfn._xlws.FILTER('BDT''s'!W:W,('BDT''s'!L:L=VMI!C71)*('BDT''s'!F:F=VMI!B71)*('BDT''s'!E:E=VMI!A71)),0.5),"-")</f>
        <v>-</v>
      </c>
      <c r="F71" s="18" t="str" cm="1">
        <f t="array" ref="F71">IFERROR(_xlfn.PERCENTILE.INC(_xlfn._xlws.FILTER('BDT''s'!W:W,('BDT''s'!L:L=VMI!C71)*('BDT''s'!F:F=VMI!B71)*('BDT''s'!E:E=VMI!A71)),0.75),"-")</f>
        <v>-</v>
      </c>
      <c r="G71" s="18">
        <f>IFERROR(_xlfn.MAXIFS('BDT''s'!W:W,'BDT''s'!L:L,VMI!C71,'BDT''s'!F:F,VMI!B71,'BDT''s'!E:E,VMI!A71),"-")</f>
        <v>0</v>
      </c>
      <c r="H71" s="16">
        <f>IFERROR(COUNTIFS('BDT''s'!L:L,VMI!C71,'BDT''s'!F:F,VMI!B71,'BDT''s'!E:E,VMI!A71),"-")</f>
        <v>0</v>
      </c>
      <c r="I71" s="12" t="str">
        <f t="shared" si="9"/>
        <v>-</v>
      </c>
      <c r="J71" s="16" t="str">
        <f t="shared" si="10"/>
        <v>-</v>
      </c>
      <c r="K71" s="18" t="str">
        <f>IFERROR(AVERAGEIFS('BDT''s'!$W:$W,'BDT''s'!$L:$L,VMI!C71,'BDT''s'!$F:$F,VMI!$B71,'BDT''s'!$E:$E,VMI!$A71)*J71,"-")</f>
        <v>-</v>
      </c>
      <c r="L71" s="18" t="str">
        <f t="shared" si="11"/>
        <v>-</v>
      </c>
      <c r="M71" s="3" t="s">
        <v>19</v>
      </c>
      <c r="N71" s="18" t="str">
        <f>IFERROR(AVERAGEIFS('BDT''s'!W:W,'BDT''s'!L:L,VMI!M71,'BDT''s'!F:F,VMI!B71,'BDT''s'!E:E,VMI!A71),"-")</f>
        <v>-</v>
      </c>
      <c r="O71" s="18" t="str" cm="1">
        <f t="array" ref="O71">IFERROR(_xlfn.PERCENTILE.INC(_xlfn._xlws.FILTER('BDT''s'!W:W,('BDT''s'!L:L=VMI!M71)*('BDT''s'!F:F=VMI!B71)*('BDT''s'!E:E=VMI!A71)),0.5),"-")</f>
        <v>-</v>
      </c>
      <c r="P71" s="18" t="str" cm="1">
        <f t="array" ref="P71">IFERROR(_xlfn.PERCENTILE.INC(_xlfn._xlws.FILTER('BDT''s'!W:W,('BDT''s'!L:L=VMI!M71)*('BDT''s'!F:F=VMI!B71)*('BDT''s'!E:E=VMI!A71)),0.75),"-")</f>
        <v>-</v>
      </c>
      <c r="Q71" s="18">
        <f>IFERROR(_xlfn.MAXIFS('BDT''s'!W:W,'BDT''s'!L:L,VMI!M71,'BDT''s'!F:F,VMI!B71,'BDT''s'!E:E,VMI!A71),"-")</f>
        <v>0</v>
      </c>
      <c r="R71" s="16">
        <f>IFERROR(COUNTIFS('BDT''s'!L:L,VMI!M71,'BDT''s'!F:F,VMI!B71,'BDT''s'!E:E,VMI!A71),"-")</f>
        <v>0</v>
      </c>
      <c r="S71" s="12" t="str">
        <f t="shared" si="12"/>
        <v>-</v>
      </c>
      <c r="T71" s="16" t="str">
        <f t="shared" si="13"/>
        <v>-</v>
      </c>
      <c r="U71" s="18" t="str">
        <f>IFERROR(AVERAGEIFS('BDT''s'!$W:$W,'BDT''s'!$L:$L,VMI!M71,'BDT''s'!$F:$F,VMI!$B71,'BDT''s'!$E:$E,VMI!$A71)*T71,"-")</f>
        <v>-</v>
      </c>
      <c r="V71" s="18" t="str">
        <f t="shared" si="14"/>
        <v>-</v>
      </c>
      <c r="W71" s="3" t="s">
        <v>20</v>
      </c>
      <c r="X71" s="18" t="str">
        <f>IFERROR(AVERAGEIFS('BDT''s'!W:W,'BDT''s'!L:L,VMI!W71,'BDT''s'!F:F,VMI!B71,'BDT''s'!E:E,VMI!A71),"-")</f>
        <v>-</v>
      </c>
      <c r="Y71" s="18" t="str" cm="1">
        <f t="array" ref="Y71">IFERROR(_xlfn.PERCENTILE.INC(_xlfn._xlws.FILTER('BDT''s'!W:W,('BDT''s'!L:L=VMI!W71)*('BDT''s'!F:F=VMI!B71)*('BDT''s'!E:E=VMI!A71)),0.5),"-")</f>
        <v>-</v>
      </c>
      <c r="Z71" s="18" t="str" cm="1">
        <f t="array" ref="Z71">IFERROR(_xlfn.PERCENTILE.INC(_xlfn._xlws.FILTER('BDT''s'!W:W,('BDT''s'!L:L=VMI!W71)*('BDT''s'!F:F=VMI!B71)*('BDT''s'!E:E=VMI!A71)),0.75),"-")</f>
        <v>-</v>
      </c>
      <c r="AA71" s="18">
        <f>IFERROR(_xlfn.MAXIFS('BDT''s'!W:W,'BDT''s'!L:L,VMI!W71,'BDT''s'!F:F,VMI!B71,'BDT''s'!E:E,VMI!A71),"-")</f>
        <v>0</v>
      </c>
      <c r="AB71" s="16">
        <f>IFERROR(COUNTIFS('BDT''s'!L:L,VMI!W71,'BDT''s'!F:F,VMI!B71,'BDT''s'!E:E,VMI!A71),"-")</f>
        <v>0</v>
      </c>
      <c r="AC71" s="12" t="str">
        <f t="shared" si="15"/>
        <v>-</v>
      </c>
      <c r="AD71" s="16" t="str">
        <f t="shared" si="16"/>
        <v>-</v>
      </c>
      <c r="AE71" s="18" t="str">
        <f>IFERROR(AVERAGEIFS('BDT''s'!$W:$W,'BDT''s'!$L:$L,VMI!W71,'BDT''s'!$F:$F,VMI!$B71,'BDT''s'!$E:$E,VMI!$A71)*AD71,"-")</f>
        <v>-</v>
      </c>
      <c r="AF71" s="18" t="str">
        <f t="shared" si="17"/>
        <v>-</v>
      </c>
    </row>
    <row r="72" spans="1:32" x14ac:dyDescent="0.3">
      <c r="A72" s="15">
        <v>0.71</v>
      </c>
      <c r="B72" s="12" t="s">
        <v>38</v>
      </c>
      <c r="C72" s="3" t="s">
        <v>18</v>
      </c>
      <c r="D72" s="18" t="str">
        <f>IFERROR(AVERAGEIFS('BDT''s'!W:W,'BDT''s'!L:L,VMI!C72,'BDT''s'!F:F,VMI!B72,'BDT''s'!E:E,VMI!A72),"-")</f>
        <v>-</v>
      </c>
      <c r="E72" s="18" t="str" cm="1">
        <f t="array" ref="E72">IFERROR(_xlfn.PERCENTILE.INC(_xlfn._xlws.FILTER('BDT''s'!W:W,('BDT''s'!L:L=VMI!C72)*('BDT''s'!F:F=VMI!B72)*('BDT''s'!E:E=VMI!A72)),0.5),"-")</f>
        <v>-</v>
      </c>
      <c r="F72" s="18" t="str" cm="1">
        <f t="array" ref="F72">IFERROR(_xlfn.PERCENTILE.INC(_xlfn._xlws.FILTER('BDT''s'!W:W,('BDT''s'!L:L=VMI!C72)*('BDT''s'!F:F=VMI!B72)*('BDT''s'!E:E=VMI!A72)),0.75),"-")</f>
        <v>-</v>
      </c>
      <c r="G72" s="18">
        <f>IFERROR(_xlfn.MAXIFS('BDT''s'!W:W,'BDT''s'!L:L,VMI!C72,'BDT''s'!F:F,VMI!B72,'BDT''s'!E:E,VMI!A72),"-")</f>
        <v>0</v>
      </c>
      <c r="H72" s="16">
        <f>IFERROR(COUNTIFS('BDT''s'!L:L,VMI!C72,'BDT''s'!F:F,VMI!B72,'BDT''s'!E:E,VMI!A72),"-")</f>
        <v>0</v>
      </c>
      <c r="I72" s="12" t="str">
        <f t="shared" si="9"/>
        <v>-</v>
      </c>
      <c r="J72" s="16" t="str">
        <f t="shared" si="10"/>
        <v>-</v>
      </c>
      <c r="K72" s="18" t="str">
        <f>IFERROR(AVERAGEIFS('BDT''s'!$W:$W,'BDT''s'!$L:$L,VMI!C72,'BDT''s'!$F:$F,VMI!$B72,'BDT''s'!$E:$E,VMI!$A72)*J72,"-")</f>
        <v>-</v>
      </c>
      <c r="L72" s="18" t="str">
        <f t="shared" si="11"/>
        <v>-</v>
      </c>
      <c r="M72" s="3" t="s">
        <v>19</v>
      </c>
      <c r="N72" s="18" t="str">
        <f>IFERROR(AVERAGEIFS('BDT''s'!W:W,'BDT''s'!L:L,VMI!M72,'BDT''s'!F:F,VMI!B72,'BDT''s'!E:E,VMI!A72),"-")</f>
        <v>-</v>
      </c>
      <c r="O72" s="18" t="str" cm="1">
        <f t="array" ref="O72">IFERROR(_xlfn.PERCENTILE.INC(_xlfn._xlws.FILTER('BDT''s'!W:W,('BDT''s'!L:L=VMI!M72)*('BDT''s'!F:F=VMI!B72)*('BDT''s'!E:E=VMI!A72)),0.5),"-")</f>
        <v>-</v>
      </c>
      <c r="P72" s="18" t="str" cm="1">
        <f t="array" ref="P72">IFERROR(_xlfn.PERCENTILE.INC(_xlfn._xlws.FILTER('BDT''s'!W:W,('BDT''s'!L:L=VMI!M72)*('BDT''s'!F:F=VMI!B72)*('BDT''s'!E:E=VMI!A72)),0.75),"-")</f>
        <v>-</v>
      </c>
      <c r="Q72" s="18">
        <f>IFERROR(_xlfn.MAXIFS('BDT''s'!W:W,'BDT''s'!L:L,VMI!M72,'BDT''s'!F:F,VMI!B72,'BDT''s'!E:E,VMI!A72),"-")</f>
        <v>0</v>
      </c>
      <c r="R72" s="16">
        <f>IFERROR(COUNTIFS('BDT''s'!L:L,VMI!M72,'BDT''s'!F:F,VMI!B72,'BDT''s'!E:E,VMI!A72),"-")</f>
        <v>0</v>
      </c>
      <c r="S72" s="12" t="str">
        <f t="shared" si="12"/>
        <v>-</v>
      </c>
      <c r="T72" s="16" t="str">
        <f t="shared" si="13"/>
        <v>-</v>
      </c>
      <c r="U72" s="18" t="str">
        <f>IFERROR(AVERAGEIFS('BDT''s'!$W:$W,'BDT''s'!$L:$L,VMI!M72,'BDT''s'!$F:$F,VMI!$B72,'BDT''s'!$E:$E,VMI!$A72)*T72,"-")</f>
        <v>-</v>
      </c>
      <c r="V72" s="18" t="str">
        <f t="shared" si="14"/>
        <v>-</v>
      </c>
      <c r="W72" s="3" t="s">
        <v>20</v>
      </c>
      <c r="X72" s="18" t="str">
        <f>IFERROR(AVERAGEIFS('BDT''s'!W:W,'BDT''s'!L:L,VMI!W72,'BDT''s'!F:F,VMI!B72,'BDT''s'!E:E,VMI!A72),"-")</f>
        <v>-</v>
      </c>
      <c r="Y72" s="18" t="str" cm="1">
        <f t="array" ref="Y72">IFERROR(_xlfn.PERCENTILE.INC(_xlfn._xlws.FILTER('BDT''s'!W:W,('BDT''s'!L:L=VMI!W72)*('BDT''s'!F:F=VMI!B72)*('BDT''s'!E:E=VMI!A72)),0.5),"-")</f>
        <v>-</v>
      </c>
      <c r="Z72" s="18" t="str" cm="1">
        <f t="array" ref="Z72">IFERROR(_xlfn.PERCENTILE.INC(_xlfn._xlws.FILTER('BDT''s'!W:W,('BDT''s'!L:L=VMI!W72)*('BDT''s'!F:F=VMI!B72)*('BDT''s'!E:E=VMI!A72)),0.75),"-")</f>
        <v>-</v>
      </c>
      <c r="AA72" s="18">
        <f>IFERROR(_xlfn.MAXIFS('BDT''s'!W:W,'BDT''s'!L:L,VMI!W72,'BDT''s'!F:F,VMI!B72,'BDT''s'!E:E,VMI!A72),"-")</f>
        <v>0</v>
      </c>
      <c r="AB72" s="16">
        <f>IFERROR(COUNTIFS('BDT''s'!L:L,VMI!W72,'BDT''s'!F:F,VMI!B72,'BDT''s'!E:E,VMI!A72),"-")</f>
        <v>0</v>
      </c>
      <c r="AC72" s="12" t="str">
        <f t="shared" si="15"/>
        <v>-</v>
      </c>
      <c r="AD72" s="16" t="str">
        <f t="shared" si="16"/>
        <v>-</v>
      </c>
      <c r="AE72" s="18" t="str">
        <f>IFERROR(AVERAGEIFS('BDT''s'!$W:$W,'BDT''s'!$L:$L,VMI!W72,'BDT''s'!$F:$F,VMI!$B72,'BDT''s'!$E:$E,VMI!$A72)*AD72,"-")</f>
        <v>-</v>
      </c>
      <c r="AF72" s="18" t="str">
        <f t="shared" si="17"/>
        <v>-</v>
      </c>
    </row>
    <row r="73" spans="1:32" x14ac:dyDescent="0.3">
      <c r="A73" s="15">
        <v>0.72</v>
      </c>
      <c r="B73" s="12" t="s">
        <v>38</v>
      </c>
      <c r="C73" s="3" t="s">
        <v>18</v>
      </c>
      <c r="D73" s="18" t="str">
        <f>IFERROR(AVERAGEIFS('BDT''s'!W:W,'BDT''s'!L:L,VMI!C73,'BDT''s'!F:F,VMI!B73,'BDT''s'!E:E,VMI!A73),"-")</f>
        <v>-</v>
      </c>
      <c r="E73" s="18" t="str" cm="1">
        <f t="array" ref="E73">IFERROR(_xlfn.PERCENTILE.INC(_xlfn._xlws.FILTER('BDT''s'!W:W,('BDT''s'!L:L=VMI!C73)*('BDT''s'!F:F=VMI!B73)*('BDT''s'!E:E=VMI!A73)),0.5),"-")</f>
        <v>-</v>
      </c>
      <c r="F73" s="18" t="str" cm="1">
        <f t="array" ref="F73">IFERROR(_xlfn.PERCENTILE.INC(_xlfn._xlws.FILTER('BDT''s'!W:W,('BDT''s'!L:L=VMI!C73)*('BDT''s'!F:F=VMI!B73)*('BDT''s'!E:E=VMI!A73)),0.75),"-")</f>
        <v>-</v>
      </c>
      <c r="G73" s="18">
        <f>IFERROR(_xlfn.MAXIFS('BDT''s'!W:W,'BDT''s'!L:L,VMI!C73,'BDT''s'!F:F,VMI!B73,'BDT''s'!E:E,VMI!A73),"-")</f>
        <v>0</v>
      </c>
      <c r="H73" s="16">
        <f>IFERROR(COUNTIFS('BDT''s'!L:L,VMI!C73,'BDT''s'!F:F,VMI!B73,'BDT''s'!E:E,VMI!A73),"-")</f>
        <v>0</v>
      </c>
      <c r="I73" s="12" t="str">
        <f t="shared" si="9"/>
        <v>-</v>
      </c>
      <c r="J73" s="16" t="str">
        <f t="shared" si="10"/>
        <v>-</v>
      </c>
      <c r="K73" s="18" t="str">
        <f>IFERROR(AVERAGEIFS('BDT''s'!$W:$W,'BDT''s'!$L:$L,VMI!C73,'BDT''s'!$F:$F,VMI!$B73,'BDT''s'!$E:$E,VMI!$A73)*J73,"-")</f>
        <v>-</v>
      </c>
      <c r="L73" s="18" t="str">
        <f t="shared" si="11"/>
        <v>-</v>
      </c>
      <c r="M73" s="3" t="s">
        <v>19</v>
      </c>
      <c r="N73" s="18" t="str">
        <f>IFERROR(AVERAGEIFS('BDT''s'!W:W,'BDT''s'!L:L,VMI!M73,'BDT''s'!F:F,VMI!B73,'BDT''s'!E:E,VMI!A73),"-")</f>
        <v>-</v>
      </c>
      <c r="O73" s="18" t="str" cm="1">
        <f t="array" ref="O73">IFERROR(_xlfn.PERCENTILE.INC(_xlfn._xlws.FILTER('BDT''s'!W:W,('BDT''s'!L:L=VMI!M73)*('BDT''s'!F:F=VMI!B73)*('BDT''s'!E:E=VMI!A73)),0.5),"-")</f>
        <v>-</v>
      </c>
      <c r="P73" s="18" t="str" cm="1">
        <f t="array" ref="P73">IFERROR(_xlfn.PERCENTILE.INC(_xlfn._xlws.FILTER('BDT''s'!W:W,('BDT''s'!L:L=VMI!M73)*('BDT''s'!F:F=VMI!B73)*('BDT''s'!E:E=VMI!A73)),0.75),"-")</f>
        <v>-</v>
      </c>
      <c r="Q73" s="18">
        <f>IFERROR(_xlfn.MAXIFS('BDT''s'!W:W,'BDT''s'!L:L,VMI!M73,'BDT''s'!F:F,VMI!B73,'BDT''s'!E:E,VMI!A73),"-")</f>
        <v>0</v>
      </c>
      <c r="R73" s="16">
        <f>IFERROR(COUNTIFS('BDT''s'!L:L,VMI!M73,'BDT''s'!F:F,VMI!B73,'BDT''s'!E:E,VMI!A73),"-")</f>
        <v>0</v>
      </c>
      <c r="S73" s="12" t="str">
        <f t="shared" si="12"/>
        <v>-</v>
      </c>
      <c r="T73" s="16" t="str">
        <f t="shared" si="13"/>
        <v>-</v>
      </c>
      <c r="U73" s="18" t="str">
        <f>IFERROR(AVERAGEIFS('BDT''s'!$W:$W,'BDT''s'!$L:$L,VMI!M73,'BDT''s'!$F:$F,VMI!$B73,'BDT''s'!$E:$E,VMI!$A73)*T73,"-")</f>
        <v>-</v>
      </c>
      <c r="V73" s="18" t="str">
        <f t="shared" si="14"/>
        <v>-</v>
      </c>
      <c r="W73" s="3" t="s">
        <v>20</v>
      </c>
      <c r="X73" s="18" t="str">
        <f>IFERROR(AVERAGEIFS('BDT''s'!W:W,'BDT''s'!L:L,VMI!W73,'BDT''s'!F:F,VMI!B73,'BDT''s'!E:E,VMI!A73),"-")</f>
        <v>-</v>
      </c>
      <c r="Y73" s="18" t="str" cm="1">
        <f t="array" ref="Y73">IFERROR(_xlfn.PERCENTILE.INC(_xlfn._xlws.FILTER('BDT''s'!W:W,('BDT''s'!L:L=VMI!W73)*('BDT''s'!F:F=VMI!B73)*('BDT''s'!E:E=VMI!A73)),0.5),"-")</f>
        <v>-</v>
      </c>
      <c r="Z73" s="18" t="str" cm="1">
        <f t="array" ref="Z73">IFERROR(_xlfn.PERCENTILE.INC(_xlfn._xlws.FILTER('BDT''s'!W:W,('BDT''s'!L:L=VMI!W73)*('BDT''s'!F:F=VMI!B73)*('BDT''s'!E:E=VMI!A73)),0.75),"-")</f>
        <v>-</v>
      </c>
      <c r="AA73" s="18">
        <f>IFERROR(_xlfn.MAXIFS('BDT''s'!W:W,'BDT''s'!L:L,VMI!W73,'BDT''s'!F:F,VMI!B73,'BDT''s'!E:E,VMI!A73),"-")</f>
        <v>0</v>
      </c>
      <c r="AB73" s="16">
        <f>IFERROR(COUNTIFS('BDT''s'!L:L,VMI!W73,'BDT''s'!F:F,VMI!B73,'BDT''s'!E:E,VMI!A73),"-")</f>
        <v>0</v>
      </c>
      <c r="AC73" s="12" t="str">
        <f t="shared" si="15"/>
        <v>-</v>
      </c>
      <c r="AD73" s="16" t="str">
        <f t="shared" si="16"/>
        <v>-</v>
      </c>
      <c r="AE73" s="18" t="str">
        <f>IFERROR(AVERAGEIFS('BDT''s'!$W:$W,'BDT''s'!$L:$L,VMI!W73,'BDT''s'!$F:$F,VMI!$B73,'BDT''s'!$E:$E,VMI!$A73)*AD73,"-")</f>
        <v>-</v>
      </c>
      <c r="AF73" s="18" t="str">
        <f t="shared" si="17"/>
        <v>-</v>
      </c>
    </row>
    <row r="74" spans="1:32" x14ac:dyDescent="0.3">
      <c r="A74" s="15">
        <v>0.73</v>
      </c>
      <c r="B74" s="12" t="s">
        <v>38</v>
      </c>
      <c r="C74" s="3" t="s">
        <v>18</v>
      </c>
      <c r="D74" s="18" t="str">
        <f>IFERROR(AVERAGEIFS('BDT''s'!W:W,'BDT''s'!L:L,VMI!C74,'BDT''s'!F:F,VMI!B74,'BDT''s'!E:E,VMI!A74),"-")</f>
        <v>-</v>
      </c>
      <c r="E74" s="18" t="str" cm="1">
        <f t="array" ref="E74">IFERROR(_xlfn.PERCENTILE.INC(_xlfn._xlws.FILTER('BDT''s'!W:W,('BDT''s'!L:L=VMI!C74)*('BDT''s'!F:F=VMI!B74)*('BDT''s'!E:E=VMI!A74)),0.5),"-")</f>
        <v>-</v>
      </c>
      <c r="F74" s="18" t="str" cm="1">
        <f t="array" ref="F74">IFERROR(_xlfn.PERCENTILE.INC(_xlfn._xlws.FILTER('BDT''s'!W:W,('BDT''s'!L:L=VMI!C74)*('BDT''s'!F:F=VMI!B74)*('BDT''s'!E:E=VMI!A74)),0.75),"-")</f>
        <v>-</v>
      </c>
      <c r="G74" s="18">
        <f>IFERROR(_xlfn.MAXIFS('BDT''s'!W:W,'BDT''s'!L:L,VMI!C74,'BDT''s'!F:F,VMI!B74,'BDT''s'!E:E,VMI!A74),"-")</f>
        <v>0</v>
      </c>
      <c r="H74" s="16">
        <f>IFERROR(COUNTIFS('BDT''s'!L:L,VMI!C74,'BDT''s'!F:F,VMI!B74,'BDT''s'!E:E,VMI!A74),"-")</f>
        <v>0</v>
      </c>
      <c r="I74" s="12" t="str">
        <f t="shared" si="9"/>
        <v>-</v>
      </c>
      <c r="J74" s="16" t="str">
        <f t="shared" si="10"/>
        <v>-</v>
      </c>
      <c r="K74" s="18" t="str">
        <f>IFERROR(AVERAGEIFS('BDT''s'!$W:$W,'BDT''s'!$L:$L,VMI!C74,'BDT''s'!$F:$F,VMI!$B74,'BDT''s'!$E:$E,VMI!$A74)*J74,"-")</f>
        <v>-</v>
      </c>
      <c r="L74" s="18" t="str">
        <f t="shared" si="11"/>
        <v>-</v>
      </c>
      <c r="M74" s="3" t="s">
        <v>19</v>
      </c>
      <c r="N74" s="18" t="str">
        <f>IFERROR(AVERAGEIFS('BDT''s'!W:W,'BDT''s'!L:L,VMI!M74,'BDT''s'!F:F,VMI!B74,'BDT''s'!E:E,VMI!A74),"-")</f>
        <v>-</v>
      </c>
      <c r="O74" s="18" t="str" cm="1">
        <f t="array" ref="O74">IFERROR(_xlfn.PERCENTILE.INC(_xlfn._xlws.FILTER('BDT''s'!W:W,('BDT''s'!L:L=VMI!M74)*('BDT''s'!F:F=VMI!B74)*('BDT''s'!E:E=VMI!A74)),0.5),"-")</f>
        <v>-</v>
      </c>
      <c r="P74" s="18" t="str" cm="1">
        <f t="array" ref="P74">IFERROR(_xlfn.PERCENTILE.INC(_xlfn._xlws.FILTER('BDT''s'!W:W,('BDT''s'!L:L=VMI!M74)*('BDT''s'!F:F=VMI!B74)*('BDT''s'!E:E=VMI!A74)),0.75),"-")</f>
        <v>-</v>
      </c>
      <c r="Q74" s="18">
        <f>IFERROR(_xlfn.MAXIFS('BDT''s'!W:W,'BDT''s'!L:L,VMI!M74,'BDT''s'!F:F,VMI!B74,'BDT''s'!E:E,VMI!A74),"-")</f>
        <v>0</v>
      </c>
      <c r="R74" s="16">
        <f>IFERROR(COUNTIFS('BDT''s'!L:L,VMI!M74,'BDT''s'!F:F,VMI!B74,'BDT''s'!E:E,VMI!A74),"-")</f>
        <v>0</v>
      </c>
      <c r="S74" s="12" t="str">
        <f t="shared" si="12"/>
        <v>-</v>
      </c>
      <c r="T74" s="16" t="str">
        <f t="shared" si="13"/>
        <v>-</v>
      </c>
      <c r="U74" s="18" t="str">
        <f>IFERROR(AVERAGEIFS('BDT''s'!$W:$W,'BDT''s'!$L:$L,VMI!M74,'BDT''s'!$F:$F,VMI!$B74,'BDT''s'!$E:$E,VMI!$A74)*T74,"-")</f>
        <v>-</v>
      </c>
      <c r="V74" s="18" t="str">
        <f t="shared" si="14"/>
        <v>-</v>
      </c>
      <c r="W74" s="3" t="s">
        <v>20</v>
      </c>
      <c r="X74" s="18" t="str">
        <f>IFERROR(AVERAGEIFS('BDT''s'!W:W,'BDT''s'!L:L,VMI!W74,'BDT''s'!F:F,VMI!B74,'BDT''s'!E:E,VMI!A74),"-")</f>
        <v>-</v>
      </c>
      <c r="Y74" s="18" t="str" cm="1">
        <f t="array" ref="Y74">IFERROR(_xlfn.PERCENTILE.INC(_xlfn._xlws.FILTER('BDT''s'!W:W,('BDT''s'!L:L=VMI!W74)*('BDT''s'!F:F=VMI!B74)*('BDT''s'!E:E=VMI!A74)),0.5),"-")</f>
        <v>-</v>
      </c>
      <c r="Z74" s="18" t="str" cm="1">
        <f t="array" ref="Z74">IFERROR(_xlfn.PERCENTILE.INC(_xlfn._xlws.FILTER('BDT''s'!W:W,('BDT''s'!L:L=VMI!W74)*('BDT''s'!F:F=VMI!B74)*('BDT''s'!E:E=VMI!A74)),0.75),"-")</f>
        <v>-</v>
      </c>
      <c r="AA74" s="18">
        <f>IFERROR(_xlfn.MAXIFS('BDT''s'!W:W,'BDT''s'!L:L,VMI!W74,'BDT''s'!F:F,VMI!B74,'BDT''s'!E:E,VMI!A74),"-")</f>
        <v>0</v>
      </c>
      <c r="AB74" s="16">
        <f>IFERROR(COUNTIFS('BDT''s'!L:L,VMI!W74,'BDT''s'!F:F,VMI!B74,'BDT''s'!E:E,VMI!A74),"-")</f>
        <v>0</v>
      </c>
      <c r="AC74" s="12" t="str">
        <f t="shared" si="15"/>
        <v>-</v>
      </c>
      <c r="AD74" s="16" t="str">
        <f t="shared" si="16"/>
        <v>-</v>
      </c>
      <c r="AE74" s="18" t="str">
        <f>IFERROR(AVERAGEIFS('BDT''s'!$W:$W,'BDT''s'!$L:$L,VMI!W74,'BDT''s'!$F:$F,VMI!$B74,'BDT''s'!$E:$E,VMI!$A74)*AD74,"-")</f>
        <v>-</v>
      </c>
      <c r="AF74" s="18" t="str">
        <f t="shared" si="17"/>
        <v>-</v>
      </c>
    </row>
    <row r="75" spans="1:32" x14ac:dyDescent="0.3">
      <c r="A75" s="15">
        <v>0.74</v>
      </c>
      <c r="B75" s="12" t="s">
        <v>38</v>
      </c>
      <c r="C75" s="3" t="s">
        <v>18</v>
      </c>
      <c r="D75" s="18" t="str">
        <f>IFERROR(AVERAGEIFS('BDT''s'!W:W,'BDT''s'!L:L,VMI!C75,'BDT''s'!F:F,VMI!B75,'BDT''s'!E:E,VMI!A75),"-")</f>
        <v>-</v>
      </c>
      <c r="E75" s="18" t="str" cm="1">
        <f t="array" ref="E75">IFERROR(_xlfn.PERCENTILE.INC(_xlfn._xlws.FILTER('BDT''s'!W:W,('BDT''s'!L:L=VMI!C75)*('BDT''s'!F:F=VMI!B75)*('BDT''s'!E:E=VMI!A75)),0.5),"-")</f>
        <v>-</v>
      </c>
      <c r="F75" s="18" t="str" cm="1">
        <f t="array" ref="F75">IFERROR(_xlfn.PERCENTILE.INC(_xlfn._xlws.FILTER('BDT''s'!W:W,('BDT''s'!L:L=VMI!C75)*('BDT''s'!F:F=VMI!B75)*('BDT''s'!E:E=VMI!A75)),0.75),"-")</f>
        <v>-</v>
      </c>
      <c r="G75" s="18">
        <f>IFERROR(_xlfn.MAXIFS('BDT''s'!W:W,'BDT''s'!L:L,VMI!C75,'BDT''s'!F:F,VMI!B75,'BDT''s'!E:E,VMI!A75),"-")</f>
        <v>0</v>
      </c>
      <c r="H75" s="16">
        <f>IFERROR(COUNTIFS('BDT''s'!L:L,VMI!C75,'BDT''s'!F:F,VMI!B75,'BDT''s'!E:E,VMI!A75),"-")</f>
        <v>0</v>
      </c>
      <c r="I75" s="12" t="str">
        <f t="shared" si="9"/>
        <v>-</v>
      </c>
      <c r="J75" s="16" t="str">
        <f t="shared" si="10"/>
        <v>-</v>
      </c>
      <c r="K75" s="18" t="str">
        <f>IFERROR(AVERAGEIFS('BDT''s'!$W:$W,'BDT''s'!$L:$L,VMI!C75,'BDT''s'!$F:$F,VMI!$B75,'BDT''s'!$E:$E,VMI!$A75)*J75,"-")</f>
        <v>-</v>
      </c>
      <c r="L75" s="18" t="str">
        <f t="shared" si="11"/>
        <v>-</v>
      </c>
      <c r="M75" s="3" t="s">
        <v>19</v>
      </c>
      <c r="N75" s="18" t="str">
        <f>IFERROR(AVERAGEIFS('BDT''s'!W:W,'BDT''s'!L:L,VMI!M75,'BDT''s'!F:F,VMI!B75,'BDT''s'!E:E,VMI!A75),"-")</f>
        <v>-</v>
      </c>
      <c r="O75" s="18" t="str" cm="1">
        <f t="array" ref="O75">IFERROR(_xlfn.PERCENTILE.INC(_xlfn._xlws.FILTER('BDT''s'!W:W,('BDT''s'!L:L=VMI!M75)*('BDT''s'!F:F=VMI!B75)*('BDT''s'!E:E=VMI!A75)),0.5),"-")</f>
        <v>-</v>
      </c>
      <c r="P75" s="18" t="str" cm="1">
        <f t="array" ref="P75">IFERROR(_xlfn.PERCENTILE.INC(_xlfn._xlws.FILTER('BDT''s'!W:W,('BDT''s'!L:L=VMI!M75)*('BDT''s'!F:F=VMI!B75)*('BDT''s'!E:E=VMI!A75)),0.75),"-")</f>
        <v>-</v>
      </c>
      <c r="Q75" s="18">
        <f>IFERROR(_xlfn.MAXIFS('BDT''s'!W:W,'BDT''s'!L:L,VMI!M75,'BDT''s'!F:F,VMI!B75,'BDT''s'!E:E,VMI!A75),"-")</f>
        <v>0</v>
      </c>
      <c r="R75" s="16">
        <f>IFERROR(COUNTIFS('BDT''s'!L:L,VMI!M75,'BDT''s'!F:F,VMI!B75,'BDT''s'!E:E,VMI!A75),"-")</f>
        <v>0</v>
      </c>
      <c r="S75" s="12" t="str">
        <f t="shared" si="12"/>
        <v>-</v>
      </c>
      <c r="T75" s="16" t="str">
        <f t="shared" si="13"/>
        <v>-</v>
      </c>
      <c r="U75" s="18" t="str">
        <f>IFERROR(AVERAGEIFS('BDT''s'!$W:$W,'BDT''s'!$L:$L,VMI!M75,'BDT''s'!$F:$F,VMI!$B75,'BDT''s'!$E:$E,VMI!$A75)*T75,"-")</f>
        <v>-</v>
      </c>
      <c r="V75" s="18" t="str">
        <f t="shared" si="14"/>
        <v>-</v>
      </c>
      <c r="W75" s="3" t="s">
        <v>20</v>
      </c>
      <c r="X75" s="18" t="str">
        <f>IFERROR(AVERAGEIFS('BDT''s'!W:W,'BDT''s'!L:L,VMI!W75,'BDT''s'!F:F,VMI!B75,'BDT''s'!E:E,VMI!A75),"-")</f>
        <v>-</v>
      </c>
      <c r="Y75" s="18" t="str" cm="1">
        <f t="array" ref="Y75">IFERROR(_xlfn.PERCENTILE.INC(_xlfn._xlws.FILTER('BDT''s'!W:W,('BDT''s'!L:L=VMI!W75)*('BDT''s'!F:F=VMI!B75)*('BDT''s'!E:E=VMI!A75)),0.5),"-")</f>
        <v>-</v>
      </c>
      <c r="Z75" s="18" t="str" cm="1">
        <f t="array" ref="Z75">IFERROR(_xlfn.PERCENTILE.INC(_xlfn._xlws.FILTER('BDT''s'!W:W,('BDT''s'!L:L=VMI!W75)*('BDT''s'!F:F=VMI!B75)*('BDT''s'!E:E=VMI!A75)),0.75),"-")</f>
        <v>-</v>
      </c>
      <c r="AA75" s="18">
        <f>IFERROR(_xlfn.MAXIFS('BDT''s'!W:W,'BDT''s'!L:L,VMI!W75,'BDT''s'!F:F,VMI!B75,'BDT''s'!E:E,VMI!A75),"-")</f>
        <v>0</v>
      </c>
      <c r="AB75" s="16">
        <f>IFERROR(COUNTIFS('BDT''s'!L:L,VMI!W75,'BDT''s'!F:F,VMI!B75,'BDT''s'!E:E,VMI!A75),"-")</f>
        <v>0</v>
      </c>
      <c r="AC75" s="12" t="str">
        <f t="shared" si="15"/>
        <v>-</v>
      </c>
      <c r="AD75" s="16" t="str">
        <f t="shared" si="16"/>
        <v>-</v>
      </c>
      <c r="AE75" s="18" t="str">
        <f>IFERROR(AVERAGEIFS('BDT''s'!$W:$W,'BDT''s'!$L:$L,VMI!W75,'BDT''s'!$F:$F,VMI!$B75,'BDT''s'!$E:$E,VMI!$A75)*AD75,"-")</f>
        <v>-</v>
      </c>
      <c r="AF75" s="18" t="str">
        <f t="shared" si="17"/>
        <v>-</v>
      </c>
    </row>
    <row r="76" spans="1:32" x14ac:dyDescent="0.3">
      <c r="A76" s="15">
        <v>0.75</v>
      </c>
      <c r="B76" s="12" t="s">
        <v>38</v>
      </c>
      <c r="C76" s="3" t="s">
        <v>18</v>
      </c>
      <c r="D76" s="18" t="str">
        <f>IFERROR(AVERAGEIFS('BDT''s'!W:W,'BDT''s'!L:L,VMI!C76,'BDT''s'!F:F,VMI!B76,'BDT''s'!E:E,VMI!A76),"-")</f>
        <v>-</v>
      </c>
      <c r="E76" s="18" t="str" cm="1">
        <f t="array" ref="E76">IFERROR(_xlfn.PERCENTILE.INC(_xlfn._xlws.FILTER('BDT''s'!W:W,('BDT''s'!L:L=VMI!C76)*('BDT''s'!F:F=VMI!B76)*('BDT''s'!E:E=VMI!A76)),0.5),"-")</f>
        <v>-</v>
      </c>
      <c r="F76" s="18" t="str" cm="1">
        <f t="array" ref="F76">IFERROR(_xlfn.PERCENTILE.INC(_xlfn._xlws.FILTER('BDT''s'!W:W,('BDT''s'!L:L=VMI!C76)*('BDT''s'!F:F=VMI!B76)*('BDT''s'!E:E=VMI!A76)),0.75),"-")</f>
        <v>-</v>
      </c>
      <c r="G76" s="18">
        <f>IFERROR(_xlfn.MAXIFS('BDT''s'!W:W,'BDT''s'!L:L,VMI!C76,'BDT''s'!F:F,VMI!B76,'BDT''s'!E:E,VMI!A76),"-")</f>
        <v>0</v>
      </c>
      <c r="H76" s="16">
        <f>IFERROR(COUNTIFS('BDT''s'!L:L,VMI!C76,'BDT''s'!F:F,VMI!B76,'BDT''s'!E:E,VMI!A76),"-")</f>
        <v>0</v>
      </c>
      <c r="I76" s="12" t="str">
        <f t="shared" si="9"/>
        <v>-</v>
      </c>
      <c r="J76" s="16" t="str">
        <f t="shared" si="10"/>
        <v>-</v>
      </c>
      <c r="K76" s="18" t="str">
        <f>IFERROR(AVERAGEIFS('BDT''s'!$W:$W,'BDT''s'!$L:$L,VMI!C76,'BDT''s'!$F:$F,VMI!$B76,'BDT''s'!$E:$E,VMI!$A76)*J76,"-")</f>
        <v>-</v>
      </c>
      <c r="L76" s="18" t="str">
        <f t="shared" si="11"/>
        <v>-</v>
      </c>
      <c r="M76" s="3" t="s">
        <v>19</v>
      </c>
      <c r="N76" s="18" t="str">
        <f>IFERROR(AVERAGEIFS('BDT''s'!W:W,'BDT''s'!L:L,VMI!M76,'BDT''s'!F:F,VMI!B76,'BDT''s'!E:E,VMI!A76),"-")</f>
        <v>-</v>
      </c>
      <c r="O76" s="18" t="str" cm="1">
        <f t="array" ref="O76">IFERROR(_xlfn.PERCENTILE.INC(_xlfn._xlws.FILTER('BDT''s'!W:W,('BDT''s'!L:L=VMI!M76)*('BDT''s'!F:F=VMI!B76)*('BDT''s'!E:E=VMI!A76)),0.5),"-")</f>
        <v>-</v>
      </c>
      <c r="P76" s="18" t="str" cm="1">
        <f t="array" ref="P76">IFERROR(_xlfn.PERCENTILE.INC(_xlfn._xlws.FILTER('BDT''s'!W:W,('BDT''s'!L:L=VMI!M76)*('BDT''s'!F:F=VMI!B76)*('BDT''s'!E:E=VMI!A76)),0.75),"-")</f>
        <v>-</v>
      </c>
      <c r="Q76" s="18">
        <f>IFERROR(_xlfn.MAXIFS('BDT''s'!W:W,'BDT''s'!L:L,VMI!M76,'BDT''s'!F:F,VMI!B76,'BDT''s'!E:E,VMI!A76),"-")</f>
        <v>0</v>
      </c>
      <c r="R76" s="16">
        <f>IFERROR(COUNTIFS('BDT''s'!L:L,VMI!M76,'BDT''s'!F:F,VMI!B76,'BDT''s'!E:E,VMI!A76),"-")</f>
        <v>0</v>
      </c>
      <c r="S76" s="12" t="str">
        <f t="shared" si="12"/>
        <v>-</v>
      </c>
      <c r="T76" s="16" t="str">
        <f t="shared" si="13"/>
        <v>-</v>
      </c>
      <c r="U76" s="18" t="str">
        <f>IFERROR(AVERAGEIFS('BDT''s'!$W:$W,'BDT''s'!$L:$L,VMI!M76,'BDT''s'!$F:$F,VMI!$B76,'BDT''s'!$E:$E,VMI!$A76)*T76,"-")</f>
        <v>-</v>
      </c>
      <c r="V76" s="18" t="str">
        <f t="shared" si="14"/>
        <v>-</v>
      </c>
      <c r="W76" s="3" t="s">
        <v>20</v>
      </c>
      <c r="X76" s="18" t="str">
        <f>IFERROR(AVERAGEIFS('BDT''s'!W:W,'BDT''s'!L:L,VMI!W76,'BDT''s'!F:F,VMI!B76,'BDT''s'!E:E,VMI!A76),"-")</f>
        <v>-</v>
      </c>
      <c r="Y76" s="18" t="str" cm="1">
        <f t="array" ref="Y76">IFERROR(_xlfn.PERCENTILE.INC(_xlfn._xlws.FILTER('BDT''s'!W:W,('BDT''s'!L:L=VMI!W76)*('BDT''s'!F:F=VMI!B76)*('BDT''s'!E:E=VMI!A76)),0.5),"-")</f>
        <v>-</v>
      </c>
      <c r="Z76" s="18" t="str" cm="1">
        <f t="array" ref="Z76">IFERROR(_xlfn.PERCENTILE.INC(_xlfn._xlws.FILTER('BDT''s'!W:W,('BDT''s'!L:L=VMI!W76)*('BDT''s'!F:F=VMI!B76)*('BDT''s'!E:E=VMI!A76)),0.75),"-")</f>
        <v>-</v>
      </c>
      <c r="AA76" s="18">
        <f>IFERROR(_xlfn.MAXIFS('BDT''s'!W:W,'BDT''s'!L:L,VMI!W76,'BDT''s'!F:F,VMI!B76,'BDT''s'!E:E,VMI!A76),"-")</f>
        <v>0</v>
      </c>
      <c r="AB76" s="16">
        <f>IFERROR(COUNTIFS('BDT''s'!L:L,VMI!W76,'BDT''s'!F:F,VMI!B76,'BDT''s'!E:E,VMI!A76),"-")</f>
        <v>0</v>
      </c>
      <c r="AC76" s="12" t="str">
        <f t="shared" si="15"/>
        <v>-</v>
      </c>
      <c r="AD76" s="16" t="str">
        <f t="shared" si="16"/>
        <v>-</v>
      </c>
      <c r="AE76" s="18" t="str">
        <f>IFERROR(AVERAGEIFS('BDT''s'!$W:$W,'BDT''s'!$L:$L,VMI!W76,'BDT''s'!$F:$F,VMI!$B76,'BDT''s'!$E:$E,VMI!$A76)*AD76,"-")</f>
        <v>-</v>
      </c>
      <c r="AF76" s="18" t="str">
        <f t="shared" si="17"/>
        <v>-</v>
      </c>
    </row>
    <row r="77" spans="1:32" x14ac:dyDescent="0.3">
      <c r="A77" s="15">
        <v>0.76</v>
      </c>
      <c r="B77" s="12" t="s">
        <v>38</v>
      </c>
      <c r="C77" s="3" t="s">
        <v>18</v>
      </c>
      <c r="D77" s="18" t="str">
        <f>IFERROR(AVERAGEIFS('BDT''s'!W:W,'BDT''s'!L:L,VMI!C77,'BDT''s'!F:F,VMI!B77,'BDT''s'!E:E,VMI!A77),"-")</f>
        <v>-</v>
      </c>
      <c r="E77" s="18" t="str" cm="1">
        <f t="array" ref="E77">IFERROR(_xlfn.PERCENTILE.INC(_xlfn._xlws.FILTER('BDT''s'!W:W,('BDT''s'!L:L=VMI!C77)*('BDT''s'!F:F=VMI!B77)*('BDT''s'!E:E=VMI!A77)),0.5),"-")</f>
        <v>-</v>
      </c>
      <c r="F77" s="18" t="str" cm="1">
        <f t="array" ref="F77">IFERROR(_xlfn.PERCENTILE.INC(_xlfn._xlws.FILTER('BDT''s'!W:W,('BDT''s'!L:L=VMI!C77)*('BDT''s'!F:F=VMI!B77)*('BDT''s'!E:E=VMI!A77)),0.75),"-")</f>
        <v>-</v>
      </c>
      <c r="G77" s="18">
        <f>IFERROR(_xlfn.MAXIFS('BDT''s'!W:W,'BDT''s'!L:L,VMI!C77,'BDT''s'!F:F,VMI!B77,'BDT''s'!E:E,VMI!A77),"-")</f>
        <v>0</v>
      </c>
      <c r="H77" s="16">
        <f>IFERROR(COUNTIFS('BDT''s'!L:L,VMI!C77,'BDT''s'!F:F,VMI!B77,'BDT''s'!E:E,VMI!A77),"-")</f>
        <v>0</v>
      </c>
      <c r="I77" s="12" t="str">
        <f t="shared" si="9"/>
        <v>-</v>
      </c>
      <c r="J77" s="16" t="str">
        <f t="shared" si="10"/>
        <v>-</v>
      </c>
      <c r="K77" s="18" t="str">
        <f>IFERROR(AVERAGEIFS('BDT''s'!$W:$W,'BDT''s'!$L:$L,VMI!C77,'BDT''s'!$F:$F,VMI!$B77,'BDT''s'!$E:$E,VMI!$A77)*J77,"-")</f>
        <v>-</v>
      </c>
      <c r="L77" s="18" t="str">
        <f t="shared" si="11"/>
        <v>-</v>
      </c>
      <c r="M77" s="3" t="s">
        <v>19</v>
      </c>
      <c r="N77" s="18" t="str">
        <f>IFERROR(AVERAGEIFS('BDT''s'!W:W,'BDT''s'!L:L,VMI!M77,'BDT''s'!F:F,VMI!B77,'BDT''s'!E:E,VMI!A77),"-")</f>
        <v>-</v>
      </c>
      <c r="O77" s="18" t="str" cm="1">
        <f t="array" ref="O77">IFERROR(_xlfn.PERCENTILE.INC(_xlfn._xlws.FILTER('BDT''s'!W:W,('BDT''s'!L:L=VMI!M77)*('BDT''s'!F:F=VMI!B77)*('BDT''s'!E:E=VMI!A77)),0.5),"-")</f>
        <v>-</v>
      </c>
      <c r="P77" s="18" t="str" cm="1">
        <f t="array" ref="P77">IFERROR(_xlfn.PERCENTILE.INC(_xlfn._xlws.FILTER('BDT''s'!W:W,('BDT''s'!L:L=VMI!M77)*('BDT''s'!F:F=VMI!B77)*('BDT''s'!E:E=VMI!A77)),0.75),"-")</f>
        <v>-</v>
      </c>
      <c r="Q77" s="18">
        <f>IFERROR(_xlfn.MAXIFS('BDT''s'!W:W,'BDT''s'!L:L,VMI!M77,'BDT''s'!F:F,VMI!B77,'BDT''s'!E:E,VMI!A77),"-")</f>
        <v>0</v>
      </c>
      <c r="R77" s="16">
        <f>IFERROR(COUNTIFS('BDT''s'!L:L,VMI!M77,'BDT''s'!F:F,VMI!B77,'BDT''s'!E:E,VMI!A77),"-")</f>
        <v>0</v>
      </c>
      <c r="S77" s="12" t="str">
        <f t="shared" si="12"/>
        <v>-</v>
      </c>
      <c r="T77" s="16" t="str">
        <f t="shared" si="13"/>
        <v>-</v>
      </c>
      <c r="U77" s="18" t="str">
        <f>IFERROR(AVERAGEIFS('BDT''s'!$W:$W,'BDT''s'!$L:$L,VMI!M77,'BDT''s'!$F:$F,VMI!$B77,'BDT''s'!$E:$E,VMI!$A77)*T77,"-")</f>
        <v>-</v>
      </c>
      <c r="V77" s="18" t="str">
        <f t="shared" si="14"/>
        <v>-</v>
      </c>
      <c r="W77" s="3" t="s">
        <v>20</v>
      </c>
      <c r="X77" s="18" t="str">
        <f>IFERROR(AVERAGEIFS('BDT''s'!W:W,'BDT''s'!L:L,VMI!W77,'BDT''s'!F:F,VMI!B77,'BDT''s'!E:E,VMI!A77),"-")</f>
        <v>-</v>
      </c>
      <c r="Y77" s="18" t="str" cm="1">
        <f t="array" ref="Y77">IFERROR(_xlfn.PERCENTILE.INC(_xlfn._xlws.FILTER('BDT''s'!W:W,('BDT''s'!L:L=VMI!W77)*('BDT''s'!F:F=VMI!B77)*('BDT''s'!E:E=VMI!A77)),0.5),"-")</f>
        <v>-</v>
      </c>
      <c r="Z77" s="18" t="str" cm="1">
        <f t="array" ref="Z77">IFERROR(_xlfn.PERCENTILE.INC(_xlfn._xlws.FILTER('BDT''s'!W:W,('BDT''s'!L:L=VMI!W77)*('BDT''s'!F:F=VMI!B77)*('BDT''s'!E:E=VMI!A77)),0.75),"-")</f>
        <v>-</v>
      </c>
      <c r="AA77" s="18">
        <f>IFERROR(_xlfn.MAXIFS('BDT''s'!W:W,'BDT''s'!L:L,VMI!W77,'BDT''s'!F:F,VMI!B77,'BDT''s'!E:E,VMI!A77),"-")</f>
        <v>0</v>
      </c>
      <c r="AB77" s="16">
        <f>IFERROR(COUNTIFS('BDT''s'!L:L,VMI!W77,'BDT''s'!F:F,VMI!B77,'BDT''s'!E:E,VMI!A77),"-")</f>
        <v>0</v>
      </c>
      <c r="AC77" s="12" t="str">
        <f t="shared" si="15"/>
        <v>-</v>
      </c>
      <c r="AD77" s="16" t="str">
        <f t="shared" si="16"/>
        <v>-</v>
      </c>
      <c r="AE77" s="18" t="str">
        <f>IFERROR(AVERAGEIFS('BDT''s'!$W:$W,'BDT''s'!$L:$L,VMI!W77,'BDT''s'!$F:$F,VMI!$B77,'BDT''s'!$E:$E,VMI!$A77)*AD77,"-")</f>
        <v>-</v>
      </c>
      <c r="AF77" s="18" t="str">
        <f t="shared" si="17"/>
        <v>-</v>
      </c>
    </row>
    <row r="78" spans="1:32" x14ac:dyDescent="0.3">
      <c r="A78" s="15">
        <v>0.77</v>
      </c>
      <c r="B78" s="12" t="s">
        <v>38</v>
      </c>
      <c r="C78" s="3" t="s">
        <v>18</v>
      </c>
      <c r="D78" s="18" t="str">
        <f>IFERROR(AVERAGEIFS('BDT''s'!W:W,'BDT''s'!L:L,VMI!C78,'BDT''s'!F:F,VMI!B78,'BDT''s'!E:E,VMI!A78),"-")</f>
        <v>-</v>
      </c>
      <c r="E78" s="18" t="str" cm="1">
        <f t="array" ref="E78">IFERROR(_xlfn.PERCENTILE.INC(_xlfn._xlws.FILTER('BDT''s'!W:W,('BDT''s'!L:L=VMI!C78)*('BDT''s'!F:F=VMI!B78)*('BDT''s'!E:E=VMI!A78)),0.5),"-")</f>
        <v>-</v>
      </c>
      <c r="F78" s="18" t="str" cm="1">
        <f t="array" ref="F78">IFERROR(_xlfn.PERCENTILE.INC(_xlfn._xlws.FILTER('BDT''s'!W:W,('BDT''s'!L:L=VMI!C78)*('BDT''s'!F:F=VMI!B78)*('BDT''s'!E:E=VMI!A78)),0.75),"-")</f>
        <v>-</v>
      </c>
      <c r="G78" s="18">
        <f>IFERROR(_xlfn.MAXIFS('BDT''s'!W:W,'BDT''s'!L:L,VMI!C78,'BDT''s'!F:F,VMI!B78,'BDT''s'!E:E,VMI!A78),"-")</f>
        <v>0</v>
      </c>
      <c r="H78" s="16">
        <f>IFERROR(COUNTIFS('BDT''s'!L:L,VMI!C78,'BDT''s'!F:F,VMI!B78,'BDT''s'!E:E,VMI!A78),"-")</f>
        <v>0</v>
      </c>
      <c r="I78" s="12" t="str">
        <f t="shared" si="9"/>
        <v>-</v>
      </c>
      <c r="J78" s="16" t="str">
        <f t="shared" si="10"/>
        <v>-</v>
      </c>
      <c r="K78" s="18" t="str">
        <f>IFERROR(AVERAGEIFS('BDT''s'!$W:$W,'BDT''s'!$L:$L,VMI!C78,'BDT''s'!$F:$F,VMI!$B78,'BDT''s'!$E:$E,VMI!$A78)*J78,"-")</f>
        <v>-</v>
      </c>
      <c r="L78" s="18" t="str">
        <f t="shared" si="11"/>
        <v>-</v>
      </c>
      <c r="M78" s="3" t="s">
        <v>19</v>
      </c>
      <c r="N78" s="18" t="str">
        <f>IFERROR(AVERAGEIFS('BDT''s'!W:W,'BDT''s'!L:L,VMI!M78,'BDT''s'!F:F,VMI!B78,'BDT''s'!E:E,VMI!A78),"-")</f>
        <v>-</v>
      </c>
      <c r="O78" s="18" t="str" cm="1">
        <f t="array" ref="O78">IFERROR(_xlfn.PERCENTILE.INC(_xlfn._xlws.FILTER('BDT''s'!W:W,('BDT''s'!L:L=VMI!M78)*('BDT''s'!F:F=VMI!B78)*('BDT''s'!E:E=VMI!A78)),0.5),"-")</f>
        <v>-</v>
      </c>
      <c r="P78" s="18" t="str" cm="1">
        <f t="array" ref="P78">IFERROR(_xlfn.PERCENTILE.INC(_xlfn._xlws.FILTER('BDT''s'!W:W,('BDT''s'!L:L=VMI!M78)*('BDT''s'!F:F=VMI!B78)*('BDT''s'!E:E=VMI!A78)),0.75),"-")</f>
        <v>-</v>
      </c>
      <c r="Q78" s="18">
        <f>IFERROR(_xlfn.MAXIFS('BDT''s'!W:W,'BDT''s'!L:L,VMI!M78,'BDT''s'!F:F,VMI!B78,'BDT''s'!E:E,VMI!A78),"-")</f>
        <v>0</v>
      </c>
      <c r="R78" s="16">
        <f>IFERROR(COUNTIFS('BDT''s'!L:L,VMI!M78,'BDT''s'!F:F,VMI!B78,'BDT''s'!E:E,VMI!A78),"-")</f>
        <v>0</v>
      </c>
      <c r="S78" s="12" t="str">
        <f t="shared" si="12"/>
        <v>-</v>
      </c>
      <c r="T78" s="16" t="str">
        <f t="shared" si="13"/>
        <v>-</v>
      </c>
      <c r="U78" s="18" t="str">
        <f>IFERROR(AVERAGEIFS('BDT''s'!$W:$W,'BDT''s'!$L:$L,VMI!M78,'BDT''s'!$F:$F,VMI!$B78,'BDT''s'!$E:$E,VMI!$A78)*T78,"-")</f>
        <v>-</v>
      </c>
      <c r="V78" s="18" t="str">
        <f t="shared" si="14"/>
        <v>-</v>
      </c>
      <c r="W78" s="3" t="s">
        <v>20</v>
      </c>
      <c r="X78" s="18" t="str">
        <f>IFERROR(AVERAGEIFS('BDT''s'!W:W,'BDT''s'!L:L,VMI!W78,'BDT''s'!F:F,VMI!B78,'BDT''s'!E:E,VMI!A78),"-")</f>
        <v>-</v>
      </c>
      <c r="Y78" s="18" t="str" cm="1">
        <f t="array" ref="Y78">IFERROR(_xlfn.PERCENTILE.INC(_xlfn._xlws.FILTER('BDT''s'!W:W,('BDT''s'!L:L=VMI!W78)*('BDT''s'!F:F=VMI!B78)*('BDT''s'!E:E=VMI!A78)),0.5),"-")</f>
        <v>-</v>
      </c>
      <c r="Z78" s="18" t="str" cm="1">
        <f t="array" ref="Z78">IFERROR(_xlfn.PERCENTILE.INC(_xlfn._xlws.FILTER('BDT''s'!W:W,('BDT''s'!L:L=VMI!W78)*('BDT''s'!F:F=VMI!B78)*('BDT''s'!E:E=VMI!A78)),0.75),"-")</f>
        <v>-</v>
      </c>
      <c r="AA78" s="18">
        <f>IFERROR(_xlfn.MAXIFS('BDT''s'!W:W,'BDT''s'!L:L,VMI!W78,'BDT''s'!F:F,VMI!B78,'BDT''s'!E:E,VMI!A78),"-")</f>
        <v>0</v>
      </c>
      <c r="AB78" s="16">
        <f>IFERROR(COUNTIFS('BDT''s'!L:L,VMI!W78,'BDT''s'!F:F,VMI!B78,'BDT''s'!E:E,VMI!A78),"-")</f>
        <v>0</v>
      </c>
      <c r="AC78" s="12" t="str">
        <f t="shared" si="15"/>
        <v>-</v>
      </c>
      <c r="AD78" s="16" t="str">
        <f t="shared" si="16"/>
        <v>-</v>
      </c>
      <c r="AE78" s="18" t="str">
        <f>IFERROR(AVERAGEIFS('BDT''s'!$W:$W,'BDT''s'!$L:$L,VMI!W78,'BDT''s'!$F:$F,VMI!$B78,'BDT''s'!$E:$E,VMI!$A78)*AD78,"-")</f>
        <v>-</v>
      </c>
      <c r="AF78" s="18" t="str">
        <f t="shared" si="17"/>
        <v>-</v>
      </c>
    </row>
    <row r="79" spans="1:32" x14ac:dyDescent="0.3">
      <c r="A79" s="15">
        <v>0.78</v>
      </c>
      <c r="B79" s="12" t="s">
        <v>38</v>
      </c>
      <c r="C79" s="3" t="s">
        <v>18</v>
      </c>
      <c r="D79" s="18" t="str">
        <f>IFERROR(AVERAGEIFS('BDT''s'!W:W,'BDT''s'!L:L,VMI!C79,'BDT''s'!F:F,VMI!B79,'BDT''s'!E:E,VMI!A79),"-")</f>
        <v>-</v>
      </c>
      <c r="E79" s="18" t="str" cm="1">
        <f t="array" ref="E79">IFERROR(_xlfn.PERCENTILE.INC(_xlfn._xlws.FILTER('BDT''s'!W:W,('BDT''s'!L:L=VMI!C79)*('BDT''s'!F:F=VMI!B79)*('BDT''s'!E:E=VMI!A79)),0.5),"-")</f>
        <v>-</v>
      </c>
      <c r="F79" s="18" t="str" cm="1">
        <f t="array" ref="F79">IFERROR(_xlfn.PERCENTILE.INC(_xlfn._xlws.FILTER('BDT''s'!W:W,('BDT''s'!L:L=VMI!C79)*('BDT''s'!F:F=VMI!B79)*('BDT''s'!E:E=VMI!A79)),0.75),"-")</f>
        <v>-</v>
      </c>
      <c r="G79" s="18">
        <f>IFERROR(_xlfn.MAXIFS('BDT''s'!W:W,'BDT''s'!L:L,VMI!C79,'BDT''s'!F:F,VMI!B79,'BDT''s'!E:E,VMI!A79),"-")</f>
        <v>0</v>
      </c>
      <c r="H79" s="16">
        <f>IFERROR(COUNTIFS('BDT''s'!L:L,VMI!C79,'BDT''s'!F:F,VMI!B79,'BDT''s'!E:E,VMI!A79),"-")</f>
        <v>0</v>
      </c>
      <c r="I79" s="12" t="str">
        <f t="shared" si="9"/>
        <v>-</v>
      </c>
      <c r="J79" s="16" t="str">
        <f t="shared" si="10"/>
        <v>-</v>
      </c>
      <c r="K79" s="18" t="str">
        <f>IFERROR(AVERAGEIFS('BDT''s'!$W:$W,'BDT''s'!$L:$L,VMI!C79,'BDT''s'!$F:$F,VMI!$B79,'BDT''s'!$E:$E,VMI!$A79)*J79,"-")</f>
        <v>-</v>
      </c>
      <c r="L79" s="18" t="str">
        <f t="shared" si="11"/>
        <v>-</v>
      </c>
      <c r="M79" s="3" t="s">
        <v>19</v>
      </c>
      <c r="N79" s="18" t="str">
        <f>IFERROR(AVERAGEIFS('BDT''s'!W:W,'BDT''s'!L:L,VMI!M79,'BDT''s'!F:F,VMI!B79,'BDT''s'!E:E,VMI!A79),"-")</f>
        <v>-</v>
      </c>
      <c r="O79" s="18" t="str" cm="1">
        <f t="array" ref="O79">IFERROR(_xlfn.PERCENTILE.INC(_xlfn._xlws.FILTER('BDT''s'!W:W,('BDT''s'!L:L=VMI!M79)*('BDT''s'!F:F=VMI!B79)*('BDT''s'!E:E=VMI!A79)),0.5),"-")</f>
        <v>-</v>
      </c>
      <c r="P79" s="18" t="str" cm="1">
        <f t="array" ref="P79">IFERROR(_xlfn.PERCENTILE.INC(_xlfn._xlws.FILTER('BDT''s'!W:W,('BDT''s'!L:L=VMI!M79)*('BDT''s'!F:F=VMI!B79)*('BDT''s'!E:E=VMI!A79)),0.75),"-")</f>
        <v>-</v>
      </c>
      <c r="Q79" s="18">
        <f>IFERROR(_xlfn.MAXIFS('BDT''s'!W:W,'BDT''s'!L:L,VMI!M79,'BDT''s'!F:F,VMI!B79,'BDT''s'!E:E,VMI!A79),"-")</f>
        <v>0</v>
      </c>
      <c r="R79" s="16">
        <f>IFERROR(COUNTIFS('BDT''s'!L:L,VMI!M79,'BDT''s'!F:F,VMI!B79,'BDT''s'!E:E,VMI!A79),"-")</f>
        <v>0</v>
      </c>
      <c r="S79" s="12" t="str">
        <f t="shared" si="12"/>
        <v>-</v>
      </c>
      <c r="T79" s="16" t="str">
        <f t="shared" si="13"/>
        <v>-</v>
      </c>
      <c r="U79" s="18" t="str">
        <f>IFERROR(AVERAGEIFS('BDT''s'!$W:$W,'BDT''s'!$L:$L,VMI!M79,'BDT''s'!$F:$F,VMI!$B79,'BDT''s'!$E:$E,VMI!$A79)*T79,"-")</f>
        <v>-</v>
      </c>
      <c r="V79" s="18" t="str">
        <f t="shared" si="14"/>
        <v>-</v>
      </c>
      <c r="W79" s="3" t="s">
        <v>20</v>
      </c>
      <c r="X79" s="18" t="str">
        <f>IFERROR(AVERAGEIFS('BDT''s'!W:W,'BDT''s'!L:L,VMI!W79,'BDT''s'!F:F,VMI!B79,'BDT''s'!E:E,VMI!A79),"-")</f>
        <v>-</v>
      </c>
      <c r="Y79" s="18" t="str" cm="1">
        <f t="array" ref="Y79">IFERROR(_xlfn.PERCENTILE.INC(_xlfn._xlws.FILTER('BDT''s'!W:W,('BDT''s'!L:L=VMI!W79)*('BDT''s'!F:F=VMI!B79)*('BDT''s'!E:E=VMI!A79)),0.5),"-")</f>
        <v>-</v>
      </c>
      <c r="Z79" s="18" t="str" cm="1">
        <f t="array" ref="Z79">IFERROR(_xlfn.PERCENTILE.INC(_xlfn._xlws.FILTER('BDT''s'!W:W,('BDT''s'!L:L=VMI!W79)*('BDT''s'!F:F=VMI!B79)*('BDT''s'!E:E=VMI!A79)),0.75),"-")</f>
        <v>-</v>
      </c>
      <c r="AA79" s="18">
        <f>IFERROR(_xlfn.MAXIFS('BDT''s'!W:W,'BDT''s'!L:L,VMI!W79,'BDT''s'!F:F,VMI!B79,'BDT''s'!E:E,VMI!A79),"-")</f>
        <v>0</v>
      </c>
      <c r="AB79" s="16">
        <f>IFERROR(COUNTIFS('BDT''s'!L:L,VMI!W79,'BDT''s'!F:F,VMI!B79,'BDT''s'!E:E,VMI!A79),"-")</f>
        <v>0</v>
      </c>
      <c r="AC79" s="12" t="str">
        <f t="shared" si="15"/>
        <v>-</v>
      </c>
      <c r="AD79" s="16" t="str">
        <f t="shared" si="16"/>
        <v>-</v>
      </c>
      <c r="AE79" s="18" t="str">
        <f>IFERROR(AVERAGEIFS('BDT''s'!$W:$W,'BDT''s'!$L:$L,VMI!W79,'BDT''s'!$F:$F,VMI!$B79,'BDT''s'!$E:$E,VMI!$A79)*AD79,"-")</f>
        <v>-</v>
      </c>
      <c r="AF79" s="18" t="str">
        <f t="shared" si="17"/>
        <v>-</v>
      </c>
    </row>
    <row r="80" spans="1:32" x14ac:dyDescent="0.3">
      <c r="A80" s="15">
        <v>0.79</v>
      </c>
      <c r="B80" s="12" t="s">
        <v>38</v>
      </c>
      <c r="C80" s="3" t="s">
        <v>18</v>
      </c>
      <c r="D80" s="18" t="str">
        <f>IFERROR(AVERAGEIFS('BDT''s'!W:W,'BDT''s'!L:L,VMI!C80,'BDT''s'!F:F,VMI!B80,'BDT''s'!E:E,VMI!A80),"-")</f>
        <v>-</v>
      </c>
      <c r="E80" s="18" t="str" cm="1">
        <f t="array" ref="E80">IFERROR(_xlfn.PERCENTILE.INC(_xlfn._xlws.FILTER('BDT''s'!W:W,('BDT''s'!L:L=VMI!C80)*('BDT''s'!F:F=VMI!B80)*('BDT''s'!E:E=VMI!A80)),0.5),"-")</f>
        <v>-</v>
      </c>
      <c r="F80" s="18" t="str" cm="1">
        <f t="array" ref="F80">IFERROR(_xlfn.PERCENTILE.INC(_xlfn._xlws.FILTER('BDT''s'!W:W,('BDT''s'!L:L=VMI!C80)*('BDT''s'!F:F=VMI!B80)*('BDT''s'!E:E=VMI!A80)),0.75),"-")</f>
        <v>-</v>
      </c>
      <c r="G80" s="18">
        <f>IFERROR(_xlfn.MAXIFS('BDT''s'!W:W,'BDT''s'!L:L,VMI!C80,'BDT''s'!F:F,VMI!B80,'BDT''s'!E:E,VMI!A80),"-")</f>
        <v>0</v>
      </c>
      <c r="H80" s="16">
        <f>IFERROR(COUNTIFS('BDT''s'!L:L,VMI!C80,'BDT''s'!F:F,VMI!B80,'BDT''s'!E:E,VMI!A80),"-")</f>
        <v>0</v>
      </c>
      <c r="I80" s="12" t="str">
        <f t="shared" si="9"/>
        <v>-</v>
      </c>
      <c r="J80" s="16" t="str">
        <f t="shared" si="10"/>
        <v>-</v>
      </c>
      <c r="K80" s="18" t="str">
        <f>IFERROR(AVERAGEIFS('BDT''s'!$W:$W,'BDT''s'!$L:$L,VMI!C80,'BDT''s'!$F:$F,VMI!$B80,'BDT''s'!$E:$E,VMI!$A80)*J80,"-")</f>
        <v>-</v>
      </c>
      <c r="L80" s="18" t="str">
        <f t="shared" si="11"/>
        <v>-</v>
      </c>
      <c r="M80" s="3" t="s">
        <v>19</v>
      </c>
      <c r="N80" s="18" t="str">
        <f>IFERROR(AVERAGEIFS('BDT''s'!W:W,'BDT''s'!L:L,VMI!M80,'BDT''s'!F:F,VMI!B80,'BDT''s'!E:E,VMI!A80),"-")</f>
        <v>-</v>
      </c>
      <c r="O80" s="18" t="str" cm="1">
        <f t="array" ref="O80">IFERROR(_xlfn.PERCENTILE.INC(_xlfn._xlws.FILTER('BDT''s'!W:W,('BDT''s'!L:L=VMI!M80)*('BDT''s'!F:F=VMI!B80)*('BDT''s'!E:E=VMI!A80)),0.5),"-")</f>
        <v>-</v>
      </c>
      <c r="P80" s="18" t="str" cm="1">
        <f t="array" ref="P80">IFERROR(_xlfn.PERCENTILE.INC(_xlfn._xlws.FILTER('BDT''s'!W:W,('BDT''s'!L:L=VMI!M80)*('BDT''s'!F:F=VMI!B80)*('BDT''s'!E:E=VMI!A80)),0.75),"-")</f>
        <v>-</v>
      </c>
      <c r="Q80" s="18">
        <f>IFERROR(_xlfn.MAXIFS('BDT''s'!W:W,'BDT''s'!L:L,VMI!M80,'BDT''s'!F:F,VMI!B80,'BDT''s'!E:E,VMI!A80),"-")</f>
        <v>0</v>
      </c>
      <c r="R80" s="16">
        <f>IFERROR(COUNTIFS('BDT''s'!L:L,VMI!M80,'BDT''s'!F:F,VMI!B80,'BDT''s'!E:E,VMI!A80),"-")</f>
        <v>0</v>
      </c>
      <c r="S80" s="12" t="str">
        <f t="shared" si="12"/>
        <v>-</v>
      </c>
      <c r="T80" s="16" t="str">
        <f t="shared" si="13"/>
        <v>-</v>
      </c>
      <c r="U80" s="18" t="str">
        <f>IFERROR(AVERAGEIFS('BDT''s'!$W:$W,'BDT''s'!$L:$L,VMI!M80,'BDT''s'!$F:$F,VMI!$B80,'BDT''s'!$E:$E,VMI!$A80)*T80,"-")</f>
        <v>-</v>
      </c>
      <c r="V80" s="18" t="str">
        <f t="shared" si="14"/>
        <v>-</v>
      </c>
      <c r="W80" s="3" t="s">
        <v>20</v>
      </c>
      <c r="X80" s="18" t="str">
        <f>IFERROR(AVERAGEIFS('BDT''s'!W:W,'BDT''s'!L:L,VMI!W80,'BDT''s'!F:F,VMI!B80,'BDT''s'!E:E,VMI!A80),"-")</f>
        <v>-</v>
      </c>
      <c r="Y80" s="18" t="str" cm="1">
        <f t="array" ref="Y80">IFERROR(_xlfn.PERCENTILE.INC(_xlfn._xlws.FILTER('BDT''s'!W:W,('BDT''s'!L:L=VMI!W80)*('BDT''s'!F:F=VMI!B80)*('BDT''s'!E:E=VMI!A80)),0.5),"-")</f>
        <v>-</v>
      </c>
      <c r="Z80" s="18" t="str" cm="1">
        <f t="array" ref="Z80">IFERROR(_xlfn.PERCENTILE.INC(_xlfn._xlws.FILTER('BDT''s'!W:W,('BDT''s'!L:L=VMI!W80)*('BDT''s'!F:F=VMI!B80)*('BDT''s'!E:E=VMI!A80)),0.75),"-")</f>
        <v>-</v>
      </c>
      <c r="AA80" s="18">
        <f>IFERROR(_xlfn.MAXIFS('BDT''s'!W:W,'BDT''s'!L:L,VMI!W80,'BDT''s'!F:F,VMI!B80,'BDT''s'!E:E,VMI!A80),"-")</f>
        <v>0</v>
      </c>
      <c r="AB80" s="16">
        <f>IFERROR(COUNTIFS('BDT''s'!L:L,VMI!W80,'BDT''s'!F:F,VMI!B80,'BDT''s'!E:E,VMI!A80),"-")</f>
        <v>0</v>
      </c>
      <c r="AC80" s="12" t="str">
        <f t="shared" si="15"/>
        <v>-</v>
      </c>
      <c r="AD80" s="16" t="str">
        <f t="shared" si="16"/>
        <v>-</v>
      </c>
      <c r="AE80" s="18" t="str">
        <f>IFERROR(AVERAGEIFS('BDT''s'!$W:$W,'BDT''s'!$L:$L,VMI!W80,'BDT''s'!$F:$F,VMI!$B80,'BDT''s'!$E:$E,VMI!$A80)*AD80,"-")</f>
        <v>-</v>
      </c>
      <c r="AF80" s="18" t="str">
        <f t="shared" si="17"/>
        <v>-</v>
      </c>
    </row>
    <row r="81" spans="1:32" x14ac:dyDescent="0.3">
      <c r="A81" s="15">
        <v>0.8</v>
      </c>
      <c r="B81" s="12" t="s">
        <v>38</v>
      </c>
      <c r="C81" s="3" t="s">
        <v>18</v>
      </c>
      <c r="D81" s="18" t="str">
        <f>IFERROR(AVERAGEIFS('BDT''s'!W:W,'BDT''s'!L:L,VMI!C81,'BDT''s'!F:F,VMI!B81,'BDT''s'!E:E,VMI!A81),"-")</f>
        <v>-</v>
      </c>
      <c r="E81" s="18" t="str" cm="1">
        <f t="array" ref="E81">IFERROR(_xlfn.PERCENTILE.INC(_xlfn._xlws.FILTER('BDT''s'!W:W,('BDT''s'!L:L=VMI!C81)*('BDT''s'!F:F=VMI!B81)*('BDT''s'!E:E=VMI!A81)),0.5),"-")</f>
        <v>-</v>
      </c>
      <c r="F81" s="18" t="str" cm="1">
        <f t="array" ref="F81">IFERROR(_xlfn.PERCENTILE.INC(_xlfn._xlws.FILTER('BDT''s'!W:W,('BDT''s'!L:L=VMI!C81)*('BDT''s'!F:F=VMI!B81)*('BDT''s'!E:E=VMI!A81)),0.75),"-")</f>
        <v>-</v>
      </c>
      <c r="G81" s="18">
        <f>IFERROR(_xlfn.MAXIFS('BDT''s'!W:W,'BDT''s'!L:L,VMI!C81,'BDT''s'!F:F,VMI!B81,'BDT''s'!E:E,VMI!A81),"-")</f>
        <v>0</v>
      </c>
      <c r="H81" s="16">
        <f>IFERROR(COUNTIFS('BDT''s'!L:L,VMI!C81,'BDT''s'!F:F,VMI!B81,'BDT''s'!E:E,VMI!A81),"-")</f>
        <v>0</v>
      </c>
      <c r="I81" s="12" t="str">
        <f t="shared" si="9"/>
        <v>-</v>
      </c>
      <c r="J81" s="16" t="str">
        <f t="shared" si="10"/>
        <v>-</v>
      </c>
      <c r="K81" s="18" t="str">
        <f>IFERROR(AVERAGEIFS('BDT''s'!$W:$W,'BDT''s'!$L:$L,VMI!C81,'BDT''s'!$F:$F,VMI!$B81,'BDT''s'!$E:$E,VMI!$A81)*J81,"-")</f>
        <v>-</v>
      </c>
      <c r="L81" s="18" t="str">
        <f t="shared" si="11"/>
        <v>-</v>
      </c>
      <c r="M81" s="3" t="s">
        <v>19</v>
      </c>
      <c r="N81" s="18" t="str">
        <f>IFERROR(AVERAGEIFS('BDT''s'!W:W,'BDT''s'!L:L,VMI!M81,'BDT''s'!F:F,VMI!B81,'BDT''s'!E:E,VMI!A81),"-")</f>
        <v>-</v>
      </c>
      <c r="O81" s="18" t="str" cm="1">
        <f t="array" ref="O81">IFERROR(_xlfn.PERCENTILE.INC(_xlfn._xlws.FILTER('BDT''s'!W:W,('BDT''s'!L:L=VMI!M81)*('BDT''s'!F:F=VMI!B81)*('BDT''s'!E:E=VMI!A81)),0.5),"-")</f>
        <v>-</v>
      </c>
      <c r="P81" s="18" t="str" cm="1">
        <f t="array" ref="P81">IFERROR(_xlfn.PERCENTILE.INC(_xlfn._xlws.FILTER('BDT''s'!W:W,('BDT''s'!L:L=VMI!M81)*('BDT''s'!F:F=VMI!B81)*('BDT''s'!E:E=VMI!A81)),0.75),"-")</f>
        <v>-</v>
      </c>
      <c r="Q81" s="18">
        <f>IFERROR(_xlfn.MAXIFS('BDT''s'!W:W,'BDT''s'!L:L,VMI!M81,'BDT''s'!F:F,VMI!B81,'BDT''s'!E:E,VMI!A81),"-")</f>
        <v>0</v>
      </c>
      <c r="R81" s="16">
        <f>IFERROR(COUNTIFS('BDT''s'!L:L,VMI!M81,'BDT''s'!F:F,VMI!B81,'BDT''s'!E:E,VMI!A81),"-")</f>
        <v>0</v>
      </c>
      <c r="S81" s="12" t="str">
        <f t="shared" si="12"/>
        <v>-</v>
      </c>
      <c r="T81" s="16" t="str">
        <f t="shared" si="13"/>
        <v>-</v>
      </c>
      <c r="U81" s="18" t="str">
        <f>IFERROR(AVERAGEIFS('BDT''s'!$W:$W,'BDT''s'!$L:$L,VMI!M81,'BDT''s'!$F:$F,VMI!$B81,'BDT''s'!$E:$E,VMI!$A81)*T81,"-")</f>
        <v>-</v>
      </c>
      <c r="V81" s="18" t="str">
        <f t="shared" si="14"/>
        <v>-</v>
      </c>
      <c r="W81" s="3" t="s">
        <v>20</v>
      </c>
      <c r="X81" s="18" t="str">
        <f>IFERROR(AVERAGEIFS('BDT''s'!W:W,'BDT''s'!L:L,VMI!W81,'BDT''s'!F:F,VMI!B81,'BDT''s'!E:E,VMI!A81),"-")</f>
        <v>-</v>
      </c>
      <c r="Y81" s="18" t="str" cm="1">
        <f t="array" ref="Y81">IFERROR(_xlfn.PERCENTILE.INC(_xlfn._xlws.FILTER('BDT''s'!W:W,('BDT''s'!L:L=VMI!W81)*('BDT''s'!F:F=VMI!B81)*('BDT''s'!E:E=VMI!A81)),0.5),"-")</f>
        <v>-</v>
      </c>
      <c r="Z81" s="18" t="str" cm="1">
        <f t="array" ref="Z81">IFERROR(_xlfn.PERCENTILE.INC(_xlfn._xlws.FILTER('BDT''s'!W:W,('BDT''s'!L:L=VMI!W81)*('BDT''s'!F:F=VMI!B81)*('BDT''s'!E:E=VMI!A81)),0.75),"-")</f>
        <v>-</v>
      </c>
      <c r="AA81" s="18">
        <f>IFERROR(_xlfn.MAXIFS('BDT''s'!W:W,'BDT''s'!L:L,VMI!W81,'BDT''s'!F:F,VMI!B81,'BDT''s'!E:E,VMI!A81),"-")</f>
        <v>0</v>
      </c>
      <c r="AB81" s="16">
        <f>IFERROR(COUNTIFS('BDT''s'!L:L,VMI!W81,'BDT''s'!F:F,VMI!B81,'BDT''s'!E:E,VMI!A81),"-")</f>
        <v>0</v>
      </c>
      <c r="AC81" s="12" t="str">
        <f t="shared" si="15"/>
        <v>-</v>
      </c>
      <c r="AD81" s="16" t="str">
        <f t="shared" si="16"/>
        <v>-</v>
      </c>
      <c r="AE81" s="18" t="str">
        <f>IFERROR(AVERAGEIFS('BDT''s'!$W:$W,'BDT''s'!$L:$L,VMI!W81,'BDT''s'!$F:$F,VMI!$B81,'BDT''s'!$E:$E,VMI!$A81)*AD81,"-")</f>
        <v>-</v>
      </c>
      <c r="AF81" s="18" t="str">
        <f t="shared" si="17"/>
        <v>-</v>
      </c>
    </row>
    <row r="82" spans="1:32" x14ac:dyDescent="0.3">
      <c r="A82" s="15">
        <v>0.81</v>
      </c>
      <c r="B82" s="12" t="s">
        <v>38</v>
      </c>
      <c r="C82" s="3" t="s">
        <v>18</v>
      </c>
      <c r="D82" s="18" t="str">
        <f>IFERROR(AVERAGEIFS('BDT''s'!W:W,'BDT''s'!L:L,VMI!C82,'BDT''s'!F:F,VMI!B82,'BDT''s'!E:E,VMI!A82),"-")</f>
        <v>-</v>
      </c>
      <c r="E82" s="18" t="str" cm="1">
        <f t="array" ref="E82">IFERROR(_xlfn.PERCENTILE.INC(_xlfn._xlws.FILTER('BDT''s'!W:W,('BDT''s'!L:L=VMI!C82)*('BDT''s'!F:F=VMI!B82)*('BDT''s'!E:E=VMI!A82)),0.5),"-")</f>
        <v>-</v>
      </c>
      <c r="F82" s="18" t="str" cm="1">
        <f t="array" ref="F82">IFERROR(_xlfn.PERCENTILE.INC(_xlfn._xlws.FILTER('BDT''s'!W:W,('BDT''s'!L:L=VMI!C82)*('BDT''s'!F:F=VMI!B82)*('BDT''s'!E:E=VMI!A82)),0.75),"-")</f>
        <v>-</v>
      </c>
      <c r="G82" s="18">
        <f>IFERROR(_xlfn.MAXIFS('BDT''s'!W:W,'BDT''s'!L:L,VMI!C82,'BDT''s'!F:F,VMI!B82,'BDT''s'!E:E,VMI!A82),"-")</f>
        <v>0</v>
      </c>
      <c r="H82" s="16">
        <f>IFERROR(COUNTIFS('BDT''s'!L:L,VMI!C82,'BDT''s'!F:F,VMI!B82,'BDT''s'!E:E,VMI!A82),"-")</f>
        <v>0</v>
      </c>
      <c r="I82" s="12" t="str">
        <f t="shared" si="9"/>
        <v>-</v>
      </c>
      <c r="J82" s="16" t="str">
        <f t="shared" si="10"/>
        <v>-</v>
      </c>
      <c r="K82" s="18" t="str">
        <f>IFERROR(AVERAGEIFS('BDT''s'!$W:$W,'BDT''s'!$L:$L,VMI!C82,'BDT''s'!$F:$F,VMI!$B82,'BDT''s'!$E:$E,VMI!$A82)*J82,"-")</f>
        <v>-</v>
      </c>
      <c r="L82" s="18" t="str">
        <f t="shared" si="11"/>
        <v>-</v>
      </c>
      <c r="M82" s="3" t="s">
        <v>19</v>
      </c>
      <c r="N82" s="18" t="str">
        <f>IFERROR(AVERAGEIFS('BDT''s'!W:W,'BDT''s'!L:L,VMI!M82,'BDT''s'!F:F,VMI!B82,'BDT''s'!E:E,VMI!A82),"-")</f>
        <v>-</v>
      </c>
      <c r="O82" s="18" t="str" cm="1">
        <f t="array" ref="O82">IFERROR(_xlfn.PERCENTILE.INC(_xlfn._xlws.FILTER('BDT''s'!W:W,('BDT''s'!L:L=VMI!M82)*('BDT''s'!F:F=VMI!B82)*('BDT''s'!E:E=VMI!A82)),0.5),"-")</f>
        <v>-</v>
      </c>
      <c r="P82" s="18" t="str" cm="1">
        <f t="array" ref="P82">IFERROR(_xlfn.PERCENTILE.INC(_xlfn._xlws.FILTER('BDT''s'!W:W,('BDT''s'!L:L=VMI!M82)*('BDT''s'!F:F=VMI!B82)*('BDT''s'!E:E=VMI!A82)),0.75),"-")</f>
        <v>-</v>
      </c>
      <c r="Q82" s="18">
        <f>IFERROR(_xlfn.MAXIFS('BDT''s'!W:W,'BDT''s'!L:L,VMI!M82,'BDT''s'!F:F,VMI!B82,'BDT''s'!E:E,VMI!A82),"-")</f>
        <v>0</v>
      </c>
      <c r="R82" s="16">
        <f>IFERROR(COUNTIFS('BDT''s'!L:L,VMI!M82,'BDT''s'!F:F,VMI!B82,'BDT''s'!E:E,VMI!A82),"-")</f>
        <v>0</v>
      </c>
      <c r="S82" s="12" t="str">
        <f t="shared" si="12"/>
        <v>-</v>
      </c>
      <c r="T82" s="16" t="str">
        <f t="shared" si="13"/>
        <v>-</v>
      </c>
      <c r="U82" s="18" t="str">
        <f>IFERROR(AVERAGEIFS('BDT''s'!$W:$W,'BDT''s'!$L:$L,VMI!M82,'BDT''s'!$F:$F,VMI!$B82,'BDT''s'!$E:$E,VMI!$A82)*T82,"-")</f>
        <v>-</v>
      </c>
      <c r="V82" s="18" t="str">
        <f t="shared" si="14"/>
        <v>-</v>
      </c>
      <c r="W82" s="3" t="s">
        <v>20</v>
      </c>
      <c r="X82" s="18" t="str">
        <f>IFERROR(AVERAGEIFS('BDT''s'!W:W,'BDT''s'!L:L,VMI!W82,'BDT''s'!F:F,VMI!B82,'BDT''s'!E:E,VMI!A82),"-")</f>
        <v>-</v>
      </c>
      <c r="Y82" s="18" t="str" cm="1">
        <f t="array" ref="Y82">IFERROR(_xlfn.PERCENTILE.INC(_xlfn._xlws.FILTER('BDT''s'!W:W,('BDT''s'!L:L=VMI!W82)*('BDT''s'!F:F=VMI!B82)*('BDT''s'!E:E=VMI!A82)),0.5),"-")</f>
        <v>-</v>
      </c>
      <c r="Z82" s="18" t="str" cm="1">
        <f t="array" ref="Z82">IFERROR(_xlfn.PERCENTILE.INC(_xlfn._xlws.FILTER('BDT''s'!W:W,('BDT''s'!L:L=VMI!W82)*('BDT''s'!F:F=VMI!B82)*('BDT''s'!E:E=VMI!A82)),0.75),"-")</f>
        <v>-</v>
      </c>
      <c r="AA82" s="18">
        <f>IFERROR(_xlfn.MAXIFS('BDT''s'!W:W,'BDT''s'!L:L,VMI!W82,'BDT''s'!F:F,VMI!B82,'BDT''s'!E:E,VMI!A82),"-")</f>
        <v>0</v>
      </c>
      <c r="AB82" s="16">
        <f>IFERROR(COUNTIFS('BDT''s'!L:L,VMI!W82,'BDT''s'!F:F,VMI!B82,'BDT''s'!E:E,VMI!A82),"-")</f>
        <v>0</v>
      </c>
      <c r="AC82" s="12" t="str">
        <f t="shared" si="15"/>
        <v>-</v>
      </c>
      <c r="AD82" s="16" t="str">
        <f t="shared" si="16"/>
        <v>-</v>
      </c>
      <c r="AE82" s="18" t="str">
        <f>IFERROR(AVERAGEIFS('BDT''s'!$W:$W,'BDT''s'!$L:$L,VMI!W82,'BDT''s'!$F:$F,VMI!$B82,'BDT''s'!$E:$E,VMI!$A82)*AD82,"-")</f>
        <v>-</v>
      </c>
      <c r="AF82" s="18" t="str">
        <f t="shared" si="17"/>
        <v>-</v>
      </c>
    </row>
    <row r="83" spans="1:32" x14ac:dyDescent="0.3">
      <c r="A83" s="15">
        <v>0.82</v>
      </c>
      <c r="B83" s="12" t="s">
        <v>38</v>
      </c>
      <c r="C83" s="3" t="s">
        <v>18</v>
      </c>
      <c r="D83" s="18" t="str">
        <f>IFERROR(AVERAGEIFS('BDT''s'!W:W,'BDT''s'!L:L,VMI!C83,'BDT''s'!F:F,VMI!B83,'BDT''s'!E:E,VMI!A83),"-")</f>
        <v>-</v>
      </c>
      <c r="E83" s="18" t="str" cm="1">
        <f t="array" ref="E83">IFERROR(_xlfn.PERCENTILE.INC(_xlfn._xlws.FILTER('BDT''s'!W:W,('BDT''s'!L:L=VMI!C83)*('BDT''s'!F:F=VMI!B83)*('BDT''s'!E:E=VMI!A83)),0.5),"-")</f>
        <v>-</v>
      </c>
      <c r="F83" s="18" t="str" cm="1">
        <f t="array" ref="F83">IFERROR(_xlfn.PERCENTILE.INC(_xlfn._xlws.FILTER('BDT''s'!W:W,('BDT''s'!L:L=VMI!C83)*('BDT''s'!F:F=VMI!B83)*('BDT''s'!E:E=VMI!A83)),0.75),"-")</f>
        <v>-</v>
      </c>
      <c r="G83" s="18">
        <f>IFERROR(_xlfn.MAXIFS('BDT''s'!W:W,'BDT''s'!L:L,VMI!C83,'BDT''s'!F:F,VMI!B83,'BDT''s'!E:E,VMI!A83),"-")</f>
        <v>0</v>
      </c>
      <c r="H83" s="16">
        <f>IFERROR(COUNTIFS('BDT''s'!L:L,VMI!C83,'BDT''s'!F:F,VMI!B83,'BDT''s'!E:E,VMI!A83),"-")</f>
        <v>0</v>
      </c>
      <c r="I83" s="12" t="str">
        <f t="shared" si="9"/>
        <v>-</v>
      </c>
      <c r="J83" s="16" t="str">
        <f t="shared" si="10"/>
        <v>-</v>
      </c>
      <c r="K83" s="18" t="str">
        <f>IFERROR(AVERAGEIFS('BDT''s'!$W:$W,'BDT''s'!$L:$L,VMI!C83,'BDT''s'!$F:$F,VMI!$B83,'BDT''s'!$E:$E,VMI!$A83)*J83,"-")</f>
        <v>-</v>
      </c>
      <c r="L83" s="18" t="str">
        <f t="shared" si="11"/>
        <v>-</v>
      </c>
      <c r="M83" s="3" t="s">
        <v>19</v>
      </c>
      <c r="N83" s="18" t="str">
        <f>IFERROR(AVERAGEIFS('BDT''s'!W:W,'BDT''s'!L:L,VMI!M83,'BDT''s'!F:F,VMI!B83,'BDT''s'!E:E,VMI!A83),"-")</f>
        <v>-</v>
      </c>
      <c r="O83" s="18" t="str" cm="1">
        <f t="array" ref="O83">IFERROR(_xlfn.PERCENTILE.INC(_xlfn._xlws.FILTER('BDT''s'!W:W,('BDT''s'!L:L=VMI!M83)*('BDT''s'!F:F=VMI!B83)*('BDT''s'!E:E=VMI!A83)),0.5),"-")</f>
        <v>-</v>
      </c>
      <c r="P83" s="18" t="str" cm="1">
        <f t="array" ref="P83">IFERROR(_xlfn.PERCENTILE.INC(_xlfn._xlws.FILTER('BDT''s'!W:W,('BDT''s'!L:L=VMI!M83)*('BDT''s'!F:F=VMI!B83)*('BDT''s'!E:E=VMI!A83)),0.75),"-")</f>
        <v>-</v>
      </c>
      <c r="Q83" s="18">
        <f>IFERROR(_xlfn.MAXIFS('BDT''s'!W:W,'BDT''s'!L:L,VMI!M83,'BDT''s'!F:F,VMI!B83,'BDT''s'!E:E,VMI!A83),"-")</f>
        <v>0</v>
      </c>
      <c r="R83" s="16">
        <f>IFERROR(COUNTIFS('BDT''s'!L:L,VMI!M83,'BDT''s'!F:F,VMI!B83,'BDT''s'!E:E,VMI!A83),"-")</f>
        <v>0</v>
      </c>
      <c r="S83" s="12" t="str">
        <f t="shared" si="12"/>
        <v>-</v>
      </c>
      <c r="T83" s="16" t="str">
        <f t="shared" si="13"/>
        <v>-</v>
      </c>
      <c r="U83" s="18" t="str">
        <f>IFERROR(AVERAGEIFS('BDT''s'!$W:$W,'BDT''s'!$L:$L,VMI!M83,'BDT''s'!$F:$F,VMI!$B83,'BDT''s'!$E:$E,VMI!$A83)*T83,"-")</f>
        <v>-</v>
      </c>
      <c r="V83" s="18" t="str">
        <f t="shared" si="14"/>
        <v>-</v>
      </c>
      <c r="W83" s="3" t="s">
        <v>20</v>
      </c>
      <c r="X83" s="18" t="str">
        <f>IFERROR(AVERAGEIFS('BDT''s'!W:W,'BDT''s'!L:L,VMI!W83,'BDT''s'!F:F,VMI!B83,'BDT''s'!E:E,VMI!A83),"-")</f>
        <v>-</v>
      </c>
      <c r="Y83" s="18" t="str" cm="1">
        <f t="array" ref="Y83">IFERROR(_xlfn.PERCENTILE.INC(_xlfn._xlws.FILTER('BDT''s'!W:W,('BDT''s'!L:L=VMI!W83)*('BDT''s'!F:F=VMI!B83)*('BDT''s'!E:E=VMI!A83)),0.5),"-")</f>
        <v>-</v>
      </c>
      <c r="Z83" s="18" t="str" cm="1">
        <f t="array" ref="Z83">IFERROR(_xlfn.PERCENTILE.INC(_xlfn._xlws.FILTER('BDT''s'!W:W,('BDT''s'!L:L=VMI!W83)*('BDT''s'!F:F=VMI!B83)*('BDT''s'!E:E=VMI!A83)),0.75),"-")</f>
        <v>-</v>
      </c>
      <c r="AA83" s="18">
        <f>IFERROR(_xlfn.MAXIFS('BDT''s'!W:W,'BDT''s'!L:L,VMI!W83,'BDT''s'!F:F,VMI!B83,'BDT''s'!E:E,VMI!A83),"-")</f>
        <v>0</v>
      </c>
      <c r="AB83" s="16">
        <f>IFERROR(COUNTIFS('BDT''s'!L:L,VMI!W83,'BDT''s'!F:F,VMI!B83,'BDT''s'!E:E,VMI!A83),"-")</f>
        <v>0</v>
      </c>
      <c r="AC83" s="12" t="str">
        <f t="shared" si="15"/>
        <v>-</v>
      </c>
      <c r="AD83" s="16" t="str">
        <f t="shared" si="16"/>
        <v>-</v>
      </c>
      <c r="AE83" s="18" t="str">
        <f>IFERROR(AVERAGEIFS('BDT''s'!$W:$W,'BDT''s'!$L:$L,VMI!W83,'BDT''s'!$F:$F,VMI!$B83,'BDT''s'!$E:$E,VMI!$A83)*AD83,"-")</f>
        <v>-</v>
      </c>
      <c r="AF83" s="18" t="str">
        <f t="shared" si="17"/>
        <v>-</v>
      </c>
    </row>
    <row r="84" spans="1:32" x14ac:dyDescent="0.3">
      <c r="A84" s="15">
        <v>0.83</v>
      </c>
      <c r="B84" s="12" t="s">
        <v>38</v>
      </c>
      <c r="C84" s="3" t="s">
        <v>18</v>
      </c>
      <c r="D84" s="18" t="str">
        <f>IFERROR(AVERAGEIFS('BDT''s'!W:W,'BDT''s'!L:L,VMI!C84,'BDT''s'!F:F,VMI!B84,'BDT''s'!E:E,VMI!A84),"-")</f>
        <v>-</v>
      </c>
      <c r="E84" s="18" t="str" cm="1">
        <f t="array" ref="E84">IFERROR(_xlfn.PERCENTILE.INC(_xlfn._xlws.FILTER('BDT''s'!W:W,('BDT''s'!L:L=VMI!C84)*('BDT''s'!F:F=VMI!B84)*('BDT''s'!E:E=VMI!A84)),0.5),"-")</f>
        <v>-</v>
      </c>
      <c r="F84" s="18" t="str" cm="1">
        <f t="array" ref="F84">IFERROR(_xlfn.PERCENTILE.INC(_xlfn._xlws.FILTER('BDT''s'!W:W,('BDT''s'!L:L=VMI!C84)*('BDT''s'!F:F=VMI!B84)*('BDT''s'!E:E=VMI!A84)),0.75),"-")</f>
        <v>-</v>
      </c>
      <c r="G84" s="18">
        <f>IFERROR(_xlfn.MAXIFS('BDT''s'!W:W,'BDT''s'!L:L,VMI!C84,'BDT''s'!F:F,VMI!B84,'BDT''s'!E:E,VMI!A84),"-")</f>
        <v>0</v>
      </c>
      <c r="H84" s="16">
        <f>IFERROR(COUNTIFS('BDT''s'!L:L,VMI!C84,'BDT''s'!F:F,VMI!B84,'BDT''s'!E:E,VMI!A84),"-")</f>
        <v>0</v>
      </c>
      <c r="I84" s="12" t="str">
        <f t="shared" si="9"/>
        <v>-</v>
      </c>
      <c r="J84" s="16" t="str">
        <f t="shared" si="10"/>
        <v>-</v>
      </c>
      <c r="K84" s="18" t="str">
        <f>IFERROR(AVERAGEIFS('BDT''s'!$W:$W,'BDT''s'!$L:$L,VMI!C84,'BDT''s'!$F:$F,VMI!$B84,'BDT''s'!$E:$E,VMI!$A84)*J84,"-")</f>
        <v>-</v>
      </c>
      <c r="L84" s="18" t="str">
        <f t="shared" si="11"/>
        <v>-</v>
      </c>
      <c r="M84" s="3" t="s">
        <v>19</v>
      </c>
      <c r="N84" s="18" t="str">
        <f>IFERROR(AVERAGEIFS('BDT''s'!W:W,'BDT''s'!L:L,VMI!M84,'BDT''s'!F:F,VMI!B84,'BDT''s'!E:E,VMI!A84),"-")</f>
        <v>-</v>
      </c>
      <c r="O84" s="18" t="str" cm="1">
        <f t="array" ref="O84">IFERROR(_xlfn.PERCENTILE.INC(_xlfn._xlws.FILTER('BDT''s'!W:W,('BDT''s'!L:L=VMI!M84)*('BDT''s'!F:F=VMI!B84)*('BDT''s'!E:E=VMI!A84)),0.5),"-")</f>
        <v>-</v>
      </c>
      <c r="P84" s="18" t="str" cm="1">
        <f t="array" ref="P84">IFERROR(_xlfn.PERCENTILE.INC(_xlfn._xlws.FILTER('BDT''s'!W:W,('BDT''s'!L:L=VMI!M84)*('BDT''s'!F:F=VMI!B84)*('BDT''s'!E:E=VMI!A84)),0.75),"-")</f>
        <v>-</v>
      </c>
      <c r="Q84" s="18">
        <f>IFERROR(_xlfn.MAXIFS('BDT''s'!W:W,'BDT''s'!L:L,VMI!M84,'BDT''s'!F:F,VMI!B84,'BDT''s'!E:E,VMI!A84),"-")</f>
        <v>0</v>
      </c>
      <c r="R84" s="16">
        <f>IFERROR(COUNTIFS('BDT''s'!L:L,VMI!M84,'BDT''s'!F:F,VMI!B84,'BDT''s'!E:E,VMI!A84),"-")</f>
        <v>0</v>
      </c>
      <c r="S84" s="12" t="str">
        <f t="shared" si="12"/>
        <v>-</v>
      </c>
      <c r="T84" s="16" t="str">
        <f t="shared" si="13"/>
        <v>-</v>
      </c>
      <c r="U84" s="18" t="str">
        <f>IFERROR(AVERAGEIFS('BDT''s'!$W:$W,'BDT''s'!$L:$L,VMI!M84,'BDT''s'!$F:$F,VMI!$B84,'BDT''s'!$E:$E,VMI!$A84)*T84,"-")</f>
        <v>-</v>
      </c>
      <c r="V84" s="18" t="str">
        <f t="shared" si="14"/>
        <v>-</v>
      </c>
      <c r="W84" s="3" t="s">
        <v>20</v>
      </c>
      <c r="X84" s="18" t="str">
        <f>IFERROR(AVERAGEIFS('BDT''s'!W:W,'BDT''s'!L:L,VMI!W84,'BDT''s'!F:F,VMI!B84,'BDT''s'!E:E,VMI!A84),"-")</f>
        <v>-</v>
      </c>
      <c r="Y84" s="18" t="str" cm="1">
        <f t="array" ref="Y84">IFERROR(_xlfn.PERCENTILE.INC(_xlfn._xlws.FILTER('BDT''s'!W:W,('BDT''s'!L:L=VMI!W84)*('BDT''s'!F:F=VMI!B84)*('BDT''s'!E:E=VMI!A84)),0.5),"-")</f>
        <v>-</v>
      </c>
      <c r="Z84" s="18" t="str" cm="1">
        <f t="array" ref="Z84">IFERROR(_xlfn.PERCENTILE.INC(_xlfn._xlws.FILTER('BDT''s'!W:W,('BDT''s'!L:L=VMI!W84)*('BDT''s'!F:F=VMI!B84)*('BDT''s'!E:E=VMI!A84)),0.75),"-")</f>
        <v>-</v>
      </c>
      <c r="AA84" s="18">
        <f>IFERROR(_xlfn.MAXIFS('BDT''s'!W:W,'BDT''s'!L:L,VMI!W84,'BDT''s'!F:F,VMI!B84,'BDT''s'!E:E,VMI!A84),"-")</f>
        <v>0</v>
      </c>
      <c r="AB84" s="16">
        <f>IFERROR(COUNTIFS('BDT''s'!L:L,VMI!W84,'BDT''s'!F:F,VMI!B84,'BDT''s'!E:E,VMI!A84),"-")</f>
        <v>0</v>
      </c>
      <c r="AC84" s="12" t="str">
        <f t="shared" si="15"/>
        <v>-</v>
      </c>
      <c r="AD84" s="16" t="str">
        <f t="shared" si="16"/>
        <v>-</v>
      </c>
      <c r="AE84" s="18" t="str">
        <f>IFERROR(AVERAGEIFS('BDT''s'!$W:$W,'BDT''s'!$L:$L,VMI!W84,'BDT''s'!$F:$F,VMI!$B84,'BDT''s'!$E:$E,VMI!$A84)*AD84,"-")</f>
        <v>-</v>
      </c>
      <c r="AF84" s="18" t="str">
        <f t="shared" si="17"/>
        <v>-</v>
      </c>
    </row>
    <row r="85" spans="1:32" x14ac:dyDescent="0.3">
      <c r="A85" s="15">
        <v>0.84</v>
      </c>
      <c r="B85" s="12" t="s">
        <v>38</v>
      </c>
      <c r="C85" s="3" t="s">
        <v>18</v>
      </c>
      <c r="D85" s="18" t="str">
        <f>IFERROR(AVERAGEIFS('BDT''s'!W:W,'BDT''s'!L:L,VMI!C85,'BDT''s'!F:F,VMI!B85,'BDT''s'!E:E,VMI!A85),"-")</f>
        <v>-</v>
      </c>
      <c r="E85" s="18" t="str" cm="1">
        <f t="array" ref="E85">IFERROR(_xlfn.PERCENTILE.INC(_xlfn._xlws.FILTER('BDT''s'!W:W,('BDT''s'!L:L=VMI!C85)*('BDT''s'!F:F=VMI!B85)*('BDT''s'!E:E=VMI!A85)),0.5),"-")</f>
        <v>-</v>
      </c>
      <c r="F85" s="18" t="str" cm="1">
        <f t="array" ref="F85">IFERROR(_xlfn.PERCENTILE.INC(_xlfn._xlws.FILTER('BDT''s'!W:W,('BDT''s'!L:L=VMI!C85)*('BDT''s'!F:F=VMI!B85)*('BDT''s'!E:E=VMI!A85)),0.75),"-")</f>
        <v>-</v>
      </c>
      <c r="G85" s="18">
        <f>IFERROR(_xlfn.MAXIFS('BDT''s'!W:W,'BDT''s'!L:L,VMI!C85,'BDT''s'!F:F,VMI!B85,'BDT''s'!E:E,VMI!A85),"-")</f>
        <v>0</v>
      </c>
      <c r="H85" s="16">
        <f>IFERROR(COUNTIFS('BDT''s'!L:L,VMI!C85,'BDT''s'!F:F,VMI!B85,'BDT''s'!E:E,VMI!A85),"-")</f>
        <v>0</v>
      </c>
      <c r="I85" s="12" t="str">
        <f t="shared" si="9"/>
        <v>-</v>
      </c>
      <c r="J85" s="16" t="str">
        <f t="shared" si="10"/>
        <v>-</v>
      </c>
      <c r="K85" s="18" t="str">
        <f>IFERROR(AVERAGEIFS('BDT''s'!$W:$W,'BDT''s'!$L:$L,VMI!C85,'BDT''s'!$F:$F,VMI!$B85,'BDT''s'!$E:$E,VMI!$A85)*J85,"-")</f>
        <v>-</v>
      </c>
      <c r="L85" s="18" t="str">
        <f t="shared" si="11"/>
        <v>-</v>
      </c>
      <c r="M85" s="3" t="s">
        <v>19</v>
      </c>
      <c r="N85" s="18" t="str">
        <f>IFERROR(AVERAGEIFS('BDT''s'!W:W,'BDT''s'!L:L,VMI!M85,'BDT''s'!F:F,VMI!B85,'BDT''s'!E:E,VMI!A85),"-")</f>
        <v>-</v>
      </c>
      <c r="O85" s="18" t="str" cm="1">
        <f t="array" ref="O85">IFERROR(_xlfn.PERCENTILE.INC(_xlfn._xlws.FILTER('BDT''s'!W:W,('BDT''s'!L:L=VMI!M85)*('BDT''s'!F:F=VMI!B85)*('BDT''s'!E:E=VMI!A85)),0.5),"-")</f>
        <v>-</v>
      </c>
      <c r="P85" s="18" t="str" cm="1">
        <f t="array" ref="P85">IFERROR(_xlfn.PERCENTILE.INC(_xlfn._xlws.FILTER('BDT''s'!W:W,('BDT''s'!L:L=VMI!M85)*('BDT''s'!F:F=VMI!B85)*('BDT''s'!E:E=VMI!A85)),0.75),"-")</f>
        <v>-</v>
      </c>
      <c r="Q85" s="18">
        <f>IFERROR(_xlfn.MAXIFS('BDT''s'!W:W,'BDT''s'!L:L,VMI!M85,'BDT''s'!F:F,VMI!B85,'BDT''s'!E:E,VMI!A85),"-")</f>
        <v>0</v>
      </c>
      <c r="R85" s="16">
        <f>IFERROR(COUNTIFS('BDT''s'!L:L,VMI!M85,'BDT''s'!F:F,VMI!B85,'BDT''s'!E:E,VMI!A85),"-")</f>
        <v>0</v>
      </c>
      <c r="S85" s="12" t="str">
        <f t="shared" si="12"/>
        <v>-</v>
      </c>
      <c r="T85" s="16" t="str">
        <f t="shared" si="13"/>
        <v>-</v>
      </c>
      <c r="U85" s="18" t="str">
        <f>IFERROR(AVERAGEIFS('BDT''s'!$W:$W,'BDT''s'!$L:$L,VMI!M85,'BDT''s'!$F:$F,VMI!$B85,'BDT''s'!$E:$E,VMI!$A85)*T85,"-")</f>
        <v>-</v>
      </c>
      <c r="V85" s="18" t="str">
        <f t="shared" si="14"/>
        <v>-</v>
      </c>
      <c r="W85" s="3" t="s">
        <v>20</v>
      </c>
      <c r="X85" s="18" t="str">
        <f>IFERROR(AVERAGEIFS('BDT''s'!W:W,'BDT''s'!L:L,VMI!W85,'BDT''s'!F:F,VMI!B85,'BDT''s'!E:E,VMI!A85),"-")</f>
        <v>-</v>
      </c>
      <c r="Y85" s="18" t="str" cm="1">
        <f t="array" ref="Y85">IFERROR(_xlfn.PERCENTILE.INC(_xlfn._xlws.FILTER('BDT''s'!W:W,('BDT''s'!L:L=VMI!W85)*('BDT''s'!F:F=VMI!B85)*('BDT''s'!E:E=VMI!A85)),0.5),"-")</f>
        <v>-</v>
      </c>
      <c r="Z85" s="18" t="str" cm="1">
        <f t="array" ref="Z85">IFERROR(_xlfn.PERCENTILE.INC(_xlfn._xlws.FILTER('BDT''s'!W:W,('BDT''s'!L:L=VMI!W85)*('BDT''s'!F:F=VMI!B85)*('BDT''s'!E:E=VMI!A85)),0.75),"-")</f>
        <v>-</v>
      </c>
      <c r="AA85" s="18">
        <f>IFERROR(_xlfn.MAXIFS('BDT''s'!W:W,'BDT''s'!L:L,VMI!W85,'BDT''s'!F:F,VMI!B85,'BDT''s'!E:E,VMI!A85),"-")</f>
        <v>0</v>
      </c>
      <c r="AB85" s="16">
        <f>IFERROR(COUNTIFS('BDT''s'!L:L,VMI!W85,'BDT''s'!F:F,VMI!B85,'BDT''s'!E:E,VMI!A85),"-")</f>
        <v>0</v>
      </c>
      <c r="AC85" s="12" t="str">
        <f t="shared" si="15"/>
        <v>-</v>
      </c>
      <c r="AD85" s="16" t="str">
        <f t="shared" si="16"/>
        <v>-</v>
      </c>
      <c r="AE85" s="18" t="str">
        <f>IFERROR(AVERAGEIFS('BDT''s'!$W:$W,'BDT''s'!$L:$L,VMI!W85,'BDT''s'!$F:$F,VMI!$B85,'BDT''s'!$E:$E,VMI!$A85)*AD85,"-")</f>
        <v>-</v>
      </c>
      <c r="AF85" s="18" t="str">
        <f t="shared" si="17"/>
        <v>-</v>
      </c>
    </row>
    <row r="86" spans="1:32" x14ac:dyDescent="0.3">
      <c r="A86" s="15">
        <v>0.85</v>
      </c>
      <c r="B86" s="12" t="s">
        <v>38</v>
      </c>
      <c r="C86" s="3" t="s">
        <v>18</v>
      </c>
      <c r="D86" s="18" t="str">
        <f>IFERROR(AVERAGEIFS('BDT''s'!W:W,'BDT''s'!L:L,VMI!C86,'BDT''s'!F:F,VMI!B86,'BDT''s'!E:E,VMI!A86),"-")</f>
        <v>-</v>
      </c>
      <c r="E86" s="18" t="str" cm="1">
        <f t="array" ref="E86">IFERROR(_xlfn.PERCENTILE.INC(_xlfn._xlws.FILTER('BDT''s'!W:W,('BDT''s'!L:L=VMI!C86)*('BDT''s'!F:F=VMI!B86)*('BDT''s'!E:E=VMI!A86)),0.5),"-")</f>
        <v>-</v>
      </c>
      <c r="F86" s="18" t="str" cm="1">
        <f t="array" ref="F86">IFERROR(_xlfn.PERCENTILE.INC(_xlfn._xlws.FILTER('BDT''s'!W:W,('BDT''s'!L:L=VMI!C86)*('BDT''s'!F:F=VMI!B86)*('BDT''s'!E:E=VMI!A86)),0.75),"-")</f>
        <v>-</v>
      </c>
      <c r="G86" s="18">
        <f>IFERROR(_xlfn.MAXIFS('BDT''s'!W:W,'BDT''s'!L:L,VMI!C86,'BDT''s'!F:F,VMI!B86,'BDT''s'!E:E,VMI!A86),"-")</f>
        <v>0</v>
      </c>
      <c r="H86" s="16">
        <f>IFERROR(COUNTIFS('BDT''s'!L:L,VMI!C86,'BDT''s'!F:F,VMI!B86,'BDT''s'!E:E,VMI!A86),"-")</f>
        <v>0</v>
      </c>
      <c r="I86" s="12" t="str">
        <f t="shared" si="9"/>
        <v>-</v>
      </c>
      <c r="J86" s="16" t="str">
        <f t="shared" si="10"/>
        <v>-</v>
      </c>
      <c r="K86" s="18" t="str">
        <f>IFERROR(AVERAGEIFS('BDT''s'!$W:$W,'BDT''s'!$L:$L,VMI!C86,'BDT''s'!$F:$F,VMI!$B86,'BDT''s'!$E:$E,VMI!$A86)*J86,"-")</f>
        <v>-</v>
      </c>
      <c r="L86" s="18" t="str">
        <f t="shared" si="11"/>
        <v>-</v>
      </c>
      <c r="M86" s="3" t="s">
        <v>19</v>
      </c>
      <c r="N86" s="18" t="str">
        <f>IFERROR(AVERAGEIFS('BDT''s'!W:W,'BDT''s'!L:L,VMI!M86,'BDT''s'!F:F,VMI!B86,'BDT''s'!E:E,VMI!A86),"-")</f>
        <v>-</v>
      </c>
      <c r="O86" s="18" t="str" cm="1">
        <f t="array" ref="O86">IFERROR(_xlfn.PERCENTILE.INC(_xlfn._xlws.FILTER('BDT''s'!W:W,('BDT''s'!L:L=VMI!M86)*('BDT''s'!F:F=VMI!B86)*('BDT''s'!E:E=VMI!A86)),0.5),"-")</f>
        <v>-</v>
      </c>
      <c r="P86" s="18" t="str" cm="1">
        <f t="array" ref="P86">IFERROR(_xlfn.PERCENTILE.INC(_xlfn._xlws.FILTER('BDT''s'!W:W,('BDT''s'!L:L=VMI!M86)*('BDT''s'!F:F=VMI!B86)*('BDT''s'!E:E=VMI!A86)),0.75),"-")</f>
        <v>-</v>
      </c>
      <c r="Q86" s="18">
        <f>IFERROR(_xlfn.MAXIFS('BDT''s'!W:W,'BDT''s'!L:L,VMI!M86,'BDT''s'!F:F,VMI!B86,'BDT''s'!E:E,VMI!A86),"-")</f>
        <v>0</v>
      </c>
      <c r="R86" s="16">
        <f>IFERROR(COUNTIFS('BDT''s'!L:L,VMI!M86,'BDT''s'!F:F,VMI!B86,'BDT''s'!E:E,VMI!A86),"-")</f>
        <v>0</v>
      </c>
      <c r="S86" s="12" t="str">
        <f t="shared" si="12"/>
        <v>-</v>
      </c>
      <c r="T86" s="16" t="str">
        <f t="shared" si="13"/>
        <v>-</v>
      </c>
      <c r="U86" s="18" t="str">
        <f>IFERROR(AVERAGEIFS('BDT''s'!$W:$W,'BDT''s'!$L:$L,VMI!M86,'BDT''s'!$F:$F,VMI!$B86,'BDT''s'!$E:$E,VMI!$A86)*T86,"-")</f>
        <v>-</v>
      </c>
      <c r="V86" s="18" t="str">
        <f t="shared" si="14"/>
        <v>-</v>
      </c>
      <c r="W86" s="3" t="s">
        <v>20</v>
      </c>
      <c r="X86" s="18" t="str">
        <f>IFERROR(AVERAGEIFS('BDT''s'!W:W,'BDT''s'!L:L,VMI!W86,'BDT''s'!F:F,VMI!B86,'BDT''s'!E:E,VMI!A86),"-")</f>
        <v>-</v>
      </c>
      <c r="Y86" s="18" t="str" cm="1">
        <f t="array" ref="Y86">IFERROR(_xlfn.PERCENTILE.INC(_xlfn._xlws.FILTER('BDT''s'!W:W,('BDT''s'!L:L=VMI!W86)*('BDT''s'!F:F=VMI!B86)*('BDT''s'!E:E=VMI!A86)),0.5),"-")</f>
        <v>-</v>
      </c>
      <c r="Z86" s="18" t="str" cm="1">
        <f t="array" ref="Z86">IFERROR(_xlfn.PERCENTILE.INC(_xlfn._xlws.FILTER('BDT''s'!W:W,('BDT''s'!L:L=VMI!W86)*('BDT''s'!F:F=VMI!B86)*('BDT''s'!E:E=VMI!A86)),0.75),"-")</f>
        <v>-</v>
      </c>
      <c r="AA86" s="18">
        <f>IFERROR(_xlfn.MAXIFS('BDT''s'!W:W,'BDT''s'!L:L,VMI!W86,'BDT''s'!F:F,VMI!B86,'BDT''s'!E:E,VMI!A86),"-")</f>
        <v>0</v>
      </c>
      <c r="AB86" s="16">
        <f>IFERROR(COUNTIFS('BDT''s'!L:L,VMI!W86,'BDT''s'!F:F,VMI!B86,'BDT''s'!E:E,VMI!A86),"-")</f>
        <v>0</v>
      </c>
      <c r="AC86" s="12" t="str">
        <f t="shared" si="15"/>
        <v>-</v>
      </c>
      <c r="AD86" s="16" t="str">
        <f t="shared" si="16"/>
        <v>-</v>
      </c>
      <c r="AE86" s="18" t="str">
        <f>IFERROR(AVERAGEIFS('BDT''s'!$W:$W,'BDT''s'!$L:$L,VMI!W86,'BDT''s'!$F:$F,VMI!$B86,'BDT''s'!$E:$E,VMI!$A86)*AD86,"-")</f>
        <v>-</v>
      </c>
      <c r="AF86" s="18" t="str">
        <f t="shared" si="17"/>
        <v>-</v>
      </c>
    </row>
    <row r="87" spans="1:32" x14ac:dyDescent="0.3">
      <c r="A87" s="15">
        <v>0.86</v>
      </c>
      <c r="B87" s="12" t="s">
        <v>38</v>
      </c>
      <c r="C87" s="3" t="s">
        <v>18</v>
      </c>
      <c r="D87" s="18" t="str">
        <f>IFERROR(AVERAGEIFS('BDT''s'!W:W,'BDT''s'!L:L,VMI!C87,'BDT''s'!F:F,VMI!B87,'BDT''s'!E:E,VMI!A87),"-")</f>
        <v>-</v>
      </c>
      <c r="E87" s="18" t="str" cm="1">
        <f t="array" ref="E87">IFERROR(_xlfn.PERCENTILE.INC(_xlfn._xlws.FILTER('BDT''s'!W:W,('BDT''s'!L:L=VMI!C87)*('BDT''s'!F:F=VMI!B87)*('BDT''s'!E:E=VMI!A87)),0.5),"-")</f>
        <v>-</v>
      </c>
      <c r="F87" s="18" t="str" cm="1">
        <f t="array" ref="F87">IFERROR(_xlfn.PERCENTILE.INC(_xlfn._xlws.FILTER('BDT''s'!W:W,('BDT''s'!L:L=VMI!C87)*('BDT''s'!F:F=VMI!B87)*('BDT''s'!E:E=VMI!A87)),0.75),"-")</f>
        <v>-</v>
      </c>
      <c r="G87" s="18">
        <f>IFERROR(_xlfn.MAXIFS('BDT''s'!W:W,'BDT''s'!L:L,VMI!C87,'BDT''s'!F:F,VMI!B87,'BDT''s'!E:E,VMI!A87),"-")</f>
        <v>0</v>
      </c>
      <c r="H87" s="16">
        <f>IFERROR(COUNTIFS('BDT''s'!L:L,VMI!C87,'BDT''s'!F:F,VMI!B87,'BDT''s'!E:E,VMI!A87),"-")</f>
        <v>0</v>
      </c>
      <c r="I87" s="12" t="str">
        <f t="shared" si="9"/>
        <v>-</v>
      </c>
      <c r="J87" s="16" t="str">
        <f t="shared" si="10"/>
        <v>-</v>
      </c>
      <c r="K87" s="18" t="str">
        <f>IFERROR(AVERAGEIFS('BDT''s'!$W:$W,'BDT''s'!$L:$L,VMI!C87,'BDT''s'!$F:$F,VMI!$B87,'BDT''s'!$E:$E,VMI!$A87)*J87,"-")</f>
        <v>-</v>
      </c>
      <c r="L87" s="18" t="str">
        <f t="shared" si="11"/>
        <v>-</v>
      </c>
      <c r="M87" s="3" t="s">
        <v>19</v>
      </c>
      <c r="N87" s="18" t="str">
        <f>IFERROR(AVERAGEIFS('BDT''s'!W:W,'BDT''s'!L:L,VMI!M87,'BDT''s'!F:F,VMI!B87,'BDT''s'!E:E,VMI!A87),"-")</f>
        <v>-</v>
      </c>
      <c r="O87" s="18" t="str" cm="1">
        <f t="array" ref="O87">IFERROR(_xlfn.PERCENTILE.INC(_xlfn._xlws.FILTER('BDT''s'!W:W,('BDT''s'!L:L=VMI!M87)*('BDT''s'!F:F=VMI!B87)*('BDT''s'!E:E=VMI!A87)),0.5),"-")</f>
        <v>-</v>
      </c>
      <c r="P87" s="18" t="str" cm="1">
        <f t="array" ref="P87">IFERROR(_xlfn.PERCENTILE.INC(_xlfn._xlws.FILTER('BDT''s'!W:W,('BDT''s'!L:L=VMI!M87)*('BDT''s'!F:F=VMI!B87)*('BDT''s'!E:E=VMI!A87)),0.75),"-")</f>
        <v>-</v>
      </c>
      <c r="Q87" s="18">
        <f>IFERROR(_xlfn.MAXIFS('BDT''s'!W:W,'BDT''s'!L:L,VMI!M87,'BDT''s'!F:F,VMI!B87,'BDT''s'!E:E,VMI!A87),"-")</f>
        <v>0</v>
      </c>
      <c r="R87" s="16">
        <f>IFERROR(COUNTIFS('BDT''s'!L:L,VMI!M87,'BDT''s'!F:F,VMI!B87,'BDT''s'!E:E,VMI!A87),"-")</f>
        <v>0</v>
      </c>
      <c r="S87" s="12" t="str">
        <f t="shared" si="12"/>
        <v>-</v>
      </c>
      <c r="T87" s="16" t="str">
        <f t="shared" si="13"/>
        <v>-</v>
      </c>
      <c r="U87" s="18" t="str">
        <f>IFERROR(AVERAGEIFS('BDT''s'!$W:$W,'BDT''s'!$L:$L,VMI!M87,'BDT''s'!$F:$F,VMI!$B87,'BDT''s'!$E:$E,VMI!$A87)*T87,"-")</f>
        <v>-</v>
      </c>
      <c r="V87" s="18" t="str">
        <f t="shared" si="14"/>
        <v>-</v>
      </c>
      <c r="W87" s="3" t="s">
        <v>20</v>
      </c>
      <c r="X87" s="18" t="str">
        <f>IFERROR(AVERAGEIFS('BDT''s'!W:W,'BDT''s'!L:L,VMI!W87,'BDT''s'!F:F,VMI!B87,'BDT''s'!E:E,VMI!A87),"-")</f>
        <v>-</v>
      </c>
      <c r="Y87" s="18" t="str" cm="1">
        <f t="array" ref="Y87">IFERROR(_xlfn.PERCENTILE.INC(_xlfn._xlws.FILTER('BDT''s'!W:W,('BDT''s'!L:L=VMI!W87)*('BDT''s'!F:F=VMI!B87)*('BDT''s'!E:E=VMI!A87)),0.5),"-")</f>
        <v>-</v>
      </c>
      <c r="Z87" s="18" t="str" cm="1">
        <f t="array" ref="Z87">IFERROR(_xlfn.PERCENTILE.INC(_xlfn._xlws.FILTER('BDT''s'!W:W,('BDT''s'!L:L=VMI!W87)*('BDT''s'!F:F=VMI!B87)*('BDT''s'!E:E=VMI!A87)),0.75),"-")</f>
        <v>-</v>
      </c>
      <c r="AA87" s="18">
        <f>IFERROR(_xlfn.MAXIFS('BDT''s'!W:W,'BDT''s'!L:L,VMI!W87,'BDT''s'!F:F,VMI!B87,'BDT''s'!E:E,VMI!A87),"-")</f>
        <v>0</v>
      </c>
      <c r="AB87" s="16">
        <f>IFERROR(COUNTIFS('BDT''s'!L:L,VMI!W87,'BDT''s'!F:F,VMI!B87,'BDT''s'!E:E,VMI!A87),"-")</f>
        <v>0</v>
      </c>
      <c r="AC87" s="12" t="str">
        <f t="shared" si="15"/>
        <v>-</v>
      </c>
      <c r="AD87" s="16" t="str">
        <f t="shared" si="16"/>
        <v>-</v>
      </c>
      <c r="AE87" s="18" t="str">
        <f>IFERROR(AVERAGEIFS('BDT''s'!$W:$W,'BDT''s'!$L:$L,VMI!W87,'BDT''s'!$F:$F,VMI!$B87,'BDT''s'!$E:$E,VMI!$A87)*AD87,"-")</f>
        <v>-</v>
      </c>
      <c r="AF87" s="18" t="str">
        <f t="shared" si="17"/>
        <v>-</v>
      </c>
    </row>
    <row r="88" spans="1:32" x14ac:dyDescent="0.3">
      <c r="A88" s="15">
        <v>0.87</v>
      </c>
      <c r="B88" s="12" t="s">
        <v>38</v>
      </c>
      <c r="C88" s="3" t="s">
        <v>18</v>
      </c>
      <c r="D88" s="18" t="str">
        <f>IFERROR(AVERAGEIFS('BDT''s'!W:W,'BDT''s'!L:L,VMI!C88,'BDT''s'!F:F,VMI!B88,'BDT''s'!E:E,VMI!A88),"-")</f>
        <v>-</v>
      </c>
      <c r="E88" s="18" t="str" cm="1">
        <f t="array" ref="E88">IFERROR(_xlfn.PERCENTILE.INC(_xlfn._xlws.FILTER('BDT''s'!W:W,('BDT''s'!L:L=VMI!C88)*('BDT''s'!F:F=VMI!B88)*('BDT''s'!E:E=VMI!A88)),0.5),"-")</f>
        <v>-</v>
      </c>
      <c r="F88" s="18" t="str" cm="1">
        <f t="array" ref="F88">IFERROR(_xlfn.PERCENTILE.INC(_xlfn._xlws.FILTER('BDT''s'!W:W,('BDT''s'!L:L=VMI!C88)*('BDT''s'!F:F=VMI!B88)*('BDT''s'!E:E=VMI!A88)),0.75),"-")</f>
        <v>-</v>
      </c>
      <c r="G88" s="18">
        <f>IFERROR(_xlfn.MAXIFS('BDT''s'!W:W,'BDT''s'!L:L,VMI!C88,'BDT''s'!F:F,VMI!B88,'BDT''s'!E:E,VMI!A88),"-")</f>
        <v>0</v>
      </c>
      <c r="H88" s="16">
        <f>IFERROR(COUNTIFS('BDT''s'!L:L,VMI!C88,'BDT''s'!F:F,VMI!B88,'BDT''s'!E:E,VMI!A88),"-")</f>
        <v>0</v>
      </c>
      <c r="I88" s="12" t="str">
        <f t="shared" si="9"/>
        <v>-</v>
      </c>
      <c r="J88" s="16" t="str">
        <f t="shared" si="10"/>
        <v>-</v>
      </c>
      <c r="K88" s="18" t="str">
        <f>IFERROR(AVERAGEIFS('BDT''s'!$W:$W,'BDT''s'!$L:$L,VMI!C88,'BDT''s'!$F:$F,VMI!$B88,'BDT''s'!$E:$E,VMI!$A88)*J88,"-")</f>
        <v>-</v>
      </c>
      <c r="L88" s="18" t="str">
        <f t="shared" si="11"/>
        <v>-</v>
      </c>
      <c r="M88" s="3" t="s">
        <v>19</v>
      </c>
      <c r="N88" s="18" t="str">
        <f>IFERROR(AVERAGEIFS('BDT''s'!W:W,'BDT''s'!L:L,VMI!M88,'BDT''s'!F:F,VMI!B88,'BDT''s'!E:E,VMI!A88),"-")</f>
        <v>-</v>
      </c>
      <c r="O88" s="18" t="str" cm="1">
        <f t="array" ref="O88">IFERROR(_xlfn.PERCENTILE.INC(_xlfn._xlws.FILTER('BDT''s'!W:W,('BDT''s'!L:L=VMI!M88)*('BDT''s'!F:F=VMI!B88)*('BDT''s'!E:E=VMI!A88)),0.5),"-")</f>
        <v>-</v>
      </c>
      <c r="P88" s="18" t="str" cm="1">
        <f t="array" ref="P88">IFERROR(_xlfn.PERCENTILE.INC(_xlfn._xlws.FILTER('BDT''s'!W:W,('BDT''s'!L:L=VMI!M88)*('BDT''s'!F:F=VMI!B88)*('BDT''s'!E:E=VMI!A88)),0.75),"-")</f>
        <v>-</v>
      </c>
      <c r="Q88" s="18">
        <f>IFERROR(_xlfn.MAXIFS('BDT''s'!W:W,'BDT''s'!L:L,VMI!M88,'BDT''s'!F:F,VMI!B88,'BDT''s'!E:E,VMI!A88),"-")</f>
        <v>0</v>
      </c>
      <c r="R88" s="16">
        <f>IFERROR(COUNTIFS('BDT''s'!L:L,VMI!M88,'BDT''s'!F:F,VMI!B88,'BDT''s'!E:E,VMI!A88),"-")</f>
        <v>0</v>
      </c>
      <c r="S88" s="12" t="str">
        <f t="shared" si="12"/>
        <v>-</v>
      </c>
      <c r="T88" s="16" t="str">
        <f t="shared" si="13"/>
        <v>-</v>
      </c>
      <c r="U88" s="18" t="str">
        <f>IFERROR(AVERAGEIFS('BDT''s'!$W:$W,'BDT''s'!$L:$L,VMI!M88,'BDT''s'!$F:$F,VMI!$B88,'BDT''s'!$E:$E,VMI!$A88)*T88,"-")</f>
        <v>-</v>
      </c>
      <c r="V88" s="18" t="str">
        <f t="shared" si="14"/>
        <v>-</v>
      </c>
      <c r="W88" s="3" t="s">
        <v>20</v>
      </c>
      <c r="X88" s="18" t="str">
        <f>IFERROR(AVERAGEIFS('BDT''s'!W:W,'BDT''s'!L:L,VMI!W88,'BDT''s'!F:F,VMI!B88,'BDT''s'!E:E,VMI!A88),"-")</f>
        <v>-</v>
      </c>
      <c r="Y88" s="18" t="str" cm="1">
        <f t="array" ref="Y88">IFERROR(_xlfn.PERCENTILE.INC(_xlfn._xlws.FILTER('BDT''s'!W:W,('BDT''s'!L:L=VMI!W88)*('BDT''s'!F:F=VMI!B88)*('BDT''s'!E:E=VMI!A88)),0.5),"-")</f>
        <v>-</v>
      </c>
      <c r="Z88" s="18" t="str" cm="1">
        <f t="array" ref="Z88">IFERROR(_xlfn.PERCENTILE.INC(_xlfn._xlws.FILTER('BDT''s'!W:W,('BDT''s'!L:L=VMI!W88)*('BDT''s'!F:F=VMI!B88)*('BDT''s'!E:E=VMI!A88)),0.75),"-")</f>
        <v>-</v>
      </c>
      <c r="AA88" s="18">
        <f>IFERROR(_xlfn.MAXIFS('BDT''s'!W:W,'BDT''s'!L:L,VMI!W88,'BDT''s'!F:F,VMI!B88,'BDT''s'!E:E,VMI!A88),"-")</f>
        <v>0</v>
      </c>
      <c r="AB88" s="16">
        <f>IFERROR(COUNTIFS('BDT''s'!L:L,VMI!W88,'BDT''s'!F:F,VMI!B88,'BDT''s'!E:E,VMI!A88),"-")</f>
        <v>0</v>
      </c>
      <c r="AC88" s="12" t="str">
        <f t="shared" si="15"/>
        <v>-</v>
      </c>
      <c r="AD88" s="16" t="str">
        <f t="shared" si="16"/>
        <v>-</v>
      </c>
      <c r="AE88" s="18" t="str">
        <f>IFERROR(AVERAGEIFS('BDT''s'!$W:$W,'BDT''s'!$L:$L,VMI!W88,'BDT''s'!$F:$F,VMI!$B88,'BDT''s'!$E:$E,VMI!$A88)*AD88,"-")</f>
        <v>-</v>
      </c>
      <c r="AF88" s="18" t="str">
        <f t="shared" si="17"/>
        <v>-</v>
      </c>
    </row>
    <row r="89" spans="1:32" x14ac:dyDescent="0.3">
      <c r="A89" s="15">
        <v>0.88</v>
      </c>
      <c r="B89" s="12" t="s">
        <v>38</v>
      </c>
      <c r="C89" s="3" t="s">
        <v>18</v>
      </c>
      <c r="D89" s="18" t="str">
        <f>IFERROR(AVERAGEIFS('BDT''s'!W:W,'BDT''s'!L:L,VMI!C89,'BDT''s'!F:F,VMI!B89,'BDT''s'!E:E,VMI!A89),"-")</f>
        <v>-</v>
      </c>
      <c r="E89" s="18" t="str" cm="1">
        <f t="array" ref="E89">IFERROR(_xlfn.PERCENTILE.INC(_xlfn._xlws.FILTER('BDT''s'!W:W,('BDT''s'!L:L=VMI!C89)*('BDT''s'!F:F=VMI!B89)*('BDT''s'!E:E=VMI!A89)),0.5),"-")</f>
        <v>-</v>
      </c>
      <c r="F89" s="18" t="str" cm="1">
        <f t="array" ref="F89">IFERROR(_xlfn.PERCENTILE.INC(_xlfn._xlws.FILTER('BDT''s'!W:W,('BDT''s'!L:L=VMI!C89)*('BDT''s'!F:F=VMI!B89)*('BDT''s'!E:E=VMI!A89)),0.75),"-")</f>
        <v>-</v>
      </c>
      <c r="G89" s="18">
        <f>IFERROR(_xlfn.MAXIFS('BDT''s'!W:W,'BDT''s'!L:L,VMI!C89,'BDT''s'!F:F,VMI!B89,'BDT''s'!E:E,VMI!A89),"-")</f>
        <v>0</v>
      </c>
      <c r="H89" s="16">
        <f>IFERROR(COUNTIFS('BDT''s'!L:L,VMI!C89,'BDT''s'!F:F,VMI!B89,'BDT''s'!E:E,VMI!A89),"-")</f>
        <v>0</v>
      </c>
      <c r="I89" s="12" t="str">
        <f t="shared" si="9"/>
        <v>-</v>
      </c>
      <c r="J89" s="16" t="str">
        <f t="shared" si="10"/>
        <v>-</v>
      </c>
      <c r="K89" s="18" t="str">
        <f>IFERROR(AVERAGEIFS('BDT''s'!$W:$W,'BDT''s'!$L:$L,VMI!C89,'BDT''s'!$F:$F,VMI!$B89,'BDT''s'!$E:$E,VMI!$A89)*J89,"-")</f>
        <v>-</v>
      </c>
      <c r="L89" s="18" t="str">
        <f t="shared" si="11"/>
        <v>-</v>
      </c>
      <c r="M89" s="3" t="s">
        <v>19</v>
      </c>
      <c r="N89" s="18" t="str">
        <f>IFERROR(AVERAGEIFS('BDT''s'!W:W,'BDT''s'!L:L,VMI!M89,'BDT''s'!F:F,VMI!B89,'BDT''s'!E:E,VMI!A89),"-")</f>
        <v>-</v>
      </c>
      <c r="O89" s="18" t="str" cm="1">
        <f t="array" ref="O89">IFERROR(_xlfn.PERCENTILE.INC(_xlfn._xlws.FILTER('BDT''s'!W:W,('BDT''s'!L:L=VMI!M89)*('BDT''s'!F:F=VMI!B89)*('BDT''s'!E:E=VMI!A89)),0.5),"-")</f>
        <v>-</v>
      </c>
      <c r="P89" s="18" t="str" cm="1">
        <f t="array" ref="P89">IFERROR(_xlfn.PERCENTILE.INC(_xlfn._xlws.FILTER('BDT''s'!W:W,('BDT''s'!L:L=VMI!M89)*('BDT''s'!F:F=VMI!B89)*('BDT''s'!E:E=VMI!A89)),0.75),"-")</f>
        <v>-</v>
      </c>
      <c r="Q89" s="18">
        <f>IFERROR(_xlfn.MAXIFS('BDT''s'!W:W,'BDT''s'!L:L,VMI!M89,'BDT''s'!F:F,VMI!B89,'BDT''s'!E:E,VMI!A89),"-")</f>
        <v>0</v>
      </c>
      <c r="R89" s="16">
        <f>IFERROR(COUNTIFS('BDT''s'!L:L,VMI!M89,'BDT''s'!F:F,VMI!B89,'BDT''s'!E:E,VMI!A89),"-")</f>
        <v>0</v>
      </c>
      <c r="S89" s="12" t="str">
        <f t="shared" si="12"/>
        <v>-</v>
      </c>
      <c r="T89" s="16" t="str">
        <f t="shared" si="13"/>
        <v>-</v>
      </c>
      <c r="U89" s="18" t="str">
        <f>IFERROR(AVERAGEIFS('BDT''s'!$W:$W,'BDT''s'!$L:$L,VMI!M89,'BDT''s'!$F:$F,VMI!$B89,'BDT''s'!$E:$E,VMI!$A89)*T89,"-")</f>
        <v>-</v>
      </c>
      <c r="V89" s="18" t="str">
        <f t="shared" si="14"/>
        <v>-</v>
      </c>
      <c r="W89" s="3" t="s">
        <v>20</v>
      </c>
      <c r="X89" s="18" t="str">
        <f>IFERROR(AVERAGEIFS('BDT''s'!W:W,'BDT''s'!L:L,VMI!W89,'BDT''s'!F:F,VMI!B89,'BDT''s'!E:E,VMI!A89),"-")</f>
        <v>-</v>
      </c>
      <c r="Y89" s="18" t="str" cm="1">
        <f t="array" ref="Y89">IFERROR(_xlfn.PERCENTILE.INC(_xlfn._xlws.FILTER('BDT''s'!W:W,('BDT''s'!L:L=VMI!W89)*('BDT''s'!F:F=VMI!B89)*('BDT''s'!E:E=VMI!A89)),0.5),"-")</f>
        <v>-</v>
      </c>
      <c r="Z89" s="18" t="str" cm="1">
        <f t="array" ref="Z89">IFERROR(_xlfn.PERCENTILE.INC(_xlfn._xlws.FILTER('BDT''s'!W:W,('BDT''s'!L:L=VMI!W89)*('BDT''s'!F:F=VMI!B89)*('BDT''s'!E:E=VMI!A89)),0.75),"-")</f>
        <v>-</v>
      </c>
      <c r="AA89" s="18">
        <f>IFERROR(_xlfn.MAXIFS('BDT''s'!W:W,'BDT''s'!L:L,VMI!W89,'BDT''s'!F:F,VMI!B89,'BDT''s'!E:E,VMI!A89),"-")</f>
        <v>0</v>
      </c>
      <c r="AB89" s="16">
        <f>IFERROR(COUNTIFS('BDT''s'!L:L,VMI!W89,'BDT''s'!F:F,VMI!B89,'BDT''s'!E:E,VMI!A89),"-")</f>
        <v>0</v>
      </c>
      <c r="AC89" s="12" t="str">
        <f t="shared" si="15"/>
        <v>-</v>
      </c>
      <c r="AD89" s="16" t="str">
        <f t="shared" si="16"/>
        <v>-</v>
      </c>
      <c r="AE89" s="18" t="str">
        <f>IFERROR(AVERAGEIFS('BDT''s'!$W:$W,'BDT''s'!$L:$L,VMI!W89,'BDT''s'!$F:$F,VMI!$B89,'BDT''s'!$E:$E,VMI!$A89)*AD89,"-")</f>
        <v>-</v>
      </c>
      <c r="AF89" s="18" t="str">
        <f t="shared" si="17"/>
        <v>-</v>
      </c>
    </row>
    <row r="90" spans="1:32" x14ac:dyDescent="0.3">
      <c r="A90" s="15">
        <v>0.89</v>
      </c>
      <c r="B90" s="12" t="s">
        <v>38</v>
      </c>
      <c r="C90" s="3" t="s">
        <v>18</v>
      </c>
      <c r="D90" s="18" t="str">
        <f>IFERROR(AVERAGEIFS('BDT''s'!W:W,'BDT''s'!L:L,VMI!C90,'BDT''s'!F:F,VMI!B90,'BDT''s'!E:E,VMI!A90),"-")</f>
        <v>-</v>
      </c>
      <c r="E90" s="18" t="str" cm="1">
        <f t="array" ref="E90">IFERROR(_xlfn.PERCENTILE.INC(_xlfn._xlws.FILTER('BDT''s'!W:W,('BDT''s'!L:L=VMI!C90)*('BDT''s'!F:F=VMI!B90)*('BDT''s'!E:E=VMI!A90)),0.5),"-")</f>
        <v>-</v>
      </c>
      <c r="F90" s="18" t="str" cm="1">
        <f t="array" ref="F90">IFERROR(_xlfn.PERCENTILE.INC(_xlfn._xlws.FILTER('BDT''s'!W:W,('BDT''s'!L:L=VMI!C90)*('BDT''s'!F:F=VMI!B90)*('BDT''s'!E:E=VMI!A90)),0.75),"-")</f>
        <v>-</v>
      </c>
      <c r="G90" s="18">
        <f>IFERROR(_xlfn.MAXIFS('BDT''s'!W:W,'BDT''s'!L:L,VMI!C90,'BDT''s'!F:F,VMI!B90,'BDT''s'!E:E,VMI!A90),"-")</f>
        <v>0</v>
      </c>
      <c r="H90" s="16">
        <f>IFERROR(COUNTIFS('BDT''s'!L:L,VMI!C90,'BDT''s'!F:F,VMI!B90,'BDT''s'!E:E,VMI!A90),"-")</f>
        <v>0</v>
      </c>
      <c r="I90" s="12" t="str">
        <f t="shared" si="9"/>
        <v>-</v>
      </c>
      <c r="J90" s="16" t="str">
        <f t="shared" si="10"/>
        <v>-</v>
      </c>
      <c r="K90" s="18" t="str">
        <f>IFERROR(AVERAGEIFS('BDT''s'!$W:$W,'BDT''s'!$L:$L,VMI!C90,'BDT''s'!$F:$F,VMI!$B90,'BDT''s'!$E:$E,VMI!$A90)*J90,"-")</f>
        <v>-</v>
      </c>
      <c r="L90" s="18" t="str">
        <f t="shared" si="11"/>
        <v>-</v>
      </c>
      <c r="M90" s="3" t="s">
        <v>19</v>
      </c>
      <c r="N90" s="18" t="str">
        <f>IFERROR(AVERAGEIFS('BDT''s'!W:W,'BDT''s'!L:L,VMI!M90,'BDT''s'!F:F,VMI!B90,'BDT''s'!E:E,VMI!A90),"-")</f>
        <v>-</v>
      </c>
      <c r="O90" s="18" t="str" cm="1">
        <f t="array" ref="O90">IFERROR(_xlfn.PERCENTILE.INC(_xlfn._xlws.FILTER('BDT''s'!W:W,('BDT''s'!L:L=VMI!M90)*('BDT''s'!F:F=VMI!B90)*('BDT''s'!E:E=VMI!A90)),0.5),"-")</f>
        <v>-</v>
      </c>
      <c r="P90" s="18" t="str" cm="1">
        <f t="array" ref="P90">IFERROR(_xlfn.PERCENTILE.INC(_xlfn._xlws.FILTER('BDT''s'!W:W,('BDT''s'!L:L=VMI!M90)*('BDT''s'!F:F=VMI!B90)*('BDT''s'!E:E=VMI!A90)),0.75),"-")</f>
        <v>-</v>
      </c>
      <c r="Q90" s="18">
        <f>IFERROR(_xlfn.MAXIFS('BDT''s'!W:W,'BDT''s'!L:L,VMI!M90,'BDT''s'!F:F,VMI!B90,'BDT''s'!E:E,VMI!A90),"-")</f>
        <v>0</v>
      </c>
      <c r="R90" s="16">
        <f>IFERROR(COUNTIFS('BDT''s'!L:L,VMI!M90,'BDT''s'!F:F,VMI!B90,'BDT''s'!E:E,VMI!A90),"-")</f>
        <v>0</v>
      </c>
      <c r="S90" s="12" t="str">
        <f t="shared" si="12"/>
        <v>-</v>
      </c>
      <c r="T90" s="16" t="str">
        <f t="shared" si="13"/>
        <v>-</v>
      </c>
      <c r="U90" s="18" t="str">
        <f>IFERROR(AVERAGEIFS('BDT''s'!$W:$W,'BDT''s'!$L:$L,VMI!M90,'BDT''s'!$F:$F,VMI!$B90,'BDT''s'!$E:$E,VMI!$A90)*T90,"-")</f>
        <v>-</v>
      </c>
      <c r="V90" s="18" t="str">
        <f t="shared" si="14"/>
        <v>-</v>
      </c>
      <c r="W90" s="3" t="s">
        <v>20</v>
      </c>
      <c r="X90" s="18" t="str">
        <f>IFERROR(AVERAGEIFS('BDT''s'!W:W,'BDT''s'!L:L,VMI!W90,'BDT''s'!F:F,VMI!B90,'BDT''s'!E:E,VMI!A90),"-")</f>
        <v>-</v>
      </c>
      <c r="Y90" s="18" t="str" cm="1">
        <f t="array" ref="Y90">IFERROR(_xlfn.PERCENTILE.INC(_xlfn._xlws.FILTER('BDT''s'!W:W,('BDT''s'!L:L=VMI!W90)*('BDT''s'!F:F=VMI!B90)*('BDT''s'!E:E=VMI!A90)),0.5),"-")</f>
        <v>-</v>
      </c>
      <c r="Z90" s="18" t="str" cm="1">
        <f t="array" ref="Z90">IFERROR(_xlfn.PERCENTILE.INC(_xlfn._xlws.FILTER('BDT''s'!W:W,('BDT''s'!L:L=VMI!W90)*('BDT''s'!F:F=VMI!B90)*('BDT''s'!E:E=VMI!A90)),0.75),"-")</f>
        <v>-</v>
      </c>
      <c r="AA90" s="18">
        <f>IFERROR(_xlfn.MAXIFS('BDT''s'!W:W,'BDT''s'!L:L,VMI!W90,'BDT''s'!F:F,VMI!B90,'BDT''s'!E:E,VMI!A90),"-")</f>
        <v>0</v>
      </c>
      <c r="AB90" s="16">
        <f>IFERROR(COUNTIFS('BDT''s'!L:L,VMI!W90,'BDT''s'!F:F,VMI!B90,'BDT''s'!E:E,VMI!A90),"-")</f>
        <v>0</v>
      </c>
      <c r="AC90" s="12" t="str">
        <f t="shared" si="15"/>
        <v>-</v>
      </c>
      <c r="AD90" s="16" t="str">
        <f t="shared" si="16"/>
        <v>-</v>
      </c>
      <c r="AE90" s="18" t="str">
        <f>IFERROR(AVERAGEIFS('BDT''s'!$W:$W,'BDT''s'!$L:$L,VMI!W90,'BDT''s'!$F:$F,VMI!$B90,'BDT''s'!$E:$E,VMI!$A90)*AD90,"-")</f>
        <v>-</v>
      </c>
      <c r="AF90" s="18" t="str">
        <f t="shared" si="17"/>
        <v>-</v>
      </c>
    </row>
    <row r="91" spans="1:32" x14ac:dyDescent="0.3">
      <c r="A91" s="15">
        <v>0.9</v>
      </c>
      <c r="B91" s="12" t="s">
        <v>38</v>
      </c>
      <c r="C91" s="3" t="s">
        <v>18</v>
      </c>
      <c r="D91" s="18" t="str">
        <f>IFERROR(AVERAGEIFS('BDT''s'!W:W,'BDT''s'!L:L,VMI!C91,'BDT''s'!F:F,VMI!B91,'BDT''s'!E:E,VMI!A91),"-")</f>
        <v>-</v>
      </c>
      <c r="E91" s="18" t="str" cm="1">
        <f t="array" ref="E91">IFERROR(_xlfn.PERCENTILE.INC(_xlfn._xlws.FILTER('BDT''s'!W:W,('BDT''s'!L:L=VMI!C91)*('BDT''s'!F:F=VMI!B91)*('BDT''s'!E:E=VMI!A91)),0.5),"-")</f>
        <v>-</v>
      </c>
      <c r="F91" s="18" t="str" cm="1">
        <f t="array" ref="F91">IFERROR(_xlfn.PERCENTILE.INC(_xlfn._xlws.FILTER('BDT''s'!W:W,('BDT''s'!L:L=VMI!C91)*('BDT''s'!F:F=VMI!B91)*('BDT''s'!E:E=VMI!A91)),0.75),"-")</f>
        <v>-</v>
      </c>
      <c r="G91" s="18">
        <f>IFERROR(_xlfn.MAXIFS('BDT''s'!W:W,'BDT''s'!L:L,VMI!C91,'BDT''s'!F:F,VMI!B91,'BDT''s'!E:E,VMI!A91),"-")</f>
        <v>0</v>
      </c>
      <c r="H91" s="16">
        <f>IFERROR(COUNTIFS('BDT''s'!L:L,VMI!C91,'BDT''s'!F:F,VMI!B91,'BDT''s'!E:E,VMI!A91),"-")</f>
        <v>0</v>
      </c>
      <c r="I91" s="12" t="str">
        <f t="shared" si="9"/>
        <v>-</v>
      </c>
      <c r="J91" s="16" t="str">
        <f t="shared" si="10"/>
        <v>-</v>
      </c>
      <c r="K91" s="18" t="str">
        <f>IFERROR(AVERAGEIFS('BDT''s'!$W:$W,'BDT''s'!$L:$L,VMI!C91,'BDT''s'!$F:$F,VMI!$B91,'BDT''s'!$E:$E,VMI!$A91)*J91,"-")</f>
        <v>-</v>
      </c>
      <c r="L91" s="18" t="str">
        <f t="shared" si="11"/>
        <v>-</v>
      </c>
      <c r="M91" s="3" t="s">
        <v>19</v>
      </c>
      <c r="N91" s="18" t="str">
        <f>IFERROR(AVERAGEIFS('BDT''s'!W:W,'BDT''s'!L:L,VMI!M91,'BDT''s'!F:F,VMI!B91,'BDT''s'!E:E,VMI!A91),"-")</f>
        <v>-</v>
      </c>
      <c r="O91" s="18" t="str" cm="1">
        <f t="array" ref="O91">IFERROR(_xlfn.PERCENTILE.INC(_xlfn._xlws.FILTER('BDT''s'!W:W,('BDT''s'!L:L=VMI!M91)*('BDT''s'!F:F=VMI!B91)*('BDT''s'!E:E=VMI!A91)),0.5),"-")</f>
        <v>-</v>
      </c>
      <c r="P91" s="18" t="str" cm="1">
        <f t="array" ref="P91">IFERROR(_xlfn.PERCENTILE.INC(_xlfn._xlws.FILTER('BDT''s'!W:W,('BDT''s'!L:L=VMI!M91)*('BDT''s'!F:F=VMI!B91)*('BDT''s'!E:E=VMI!A91)),0.75),"-")</f>
        <v>-</v>
      </c>
      <c r="Q91" s="18">
        <f>IFERROR(_xlfn.MAXIFS('BDT''s'!W:W,'BDT''s'!L:L,VMI!M91,'BDT''s'!F:F,VMI!B91,'BDT''s'!E:E,VMI!A91),"-")</f>
        <v>0</v>
      </c>
      <c r="R91" s="16">
        <f>IFERROR(COUNTIFS('BDT''s'!L:L,VMI!M91,'BDT''s'!F:F,VMI!B91,'BDT''s'!E:E,VMI!A91),"-")</f>
        <v>0</v>
      </c>
      <c r="S91" s="12" t="str">
        <f t="shared" si="12"/>
        <v>-</v>
      </c>
      <c r="T91" s="16" t="str">
        <f t="shared" si="13"/>
        <v>-</v>
      </c>
      <c r="U91" s="18" t="str">
        <f>IFERROR(AVERAGEIFS('BDT''s'!$W:$W,'BDT''s'!$L:$L,VMI!M91,'BDT''s'!$F:$F,VMI!$B91,'BDT''s'!$E:$E,VMI!$A91)*T91,"-")</f>
        <v>-</v>
      </c>
      <c r="V91" s="18" t="str">
        <f t="shared" si="14"/>
        <v>-</v>
      </c>
      <c r="W91" s="3" t="s">
        <v>20</v>
      </c>
      <c r="X91" s="18" t="str">
        <f>IFERROR(AVERAGEIFS('BDT''s'!W:W,'BDT''s'!L:L,VMI!W91,'BDT''s'!F:F,VMI!B91,'BDT''s'!E:E,VMI!A91),"-")</f>
        <v>-</v>
      </c>
      <c r="Y91" s="18" t="str" cm="1">
        <f t="array" ref="Y91">IFERROR(_xlfn.PERCENTILE.INC(_xlfn._xlws.FILTER('BDT''s'!W:W,('BDT''s'!L:L=VMI!W91)*('BDT''s'!F:F=VMI!B91)*('BDT''s'!E:E=VMI!A91)),0.5),"-")</f>
        <v>-</v>
      </c>
      <c r="Z91" s="18" t="str" cm="1">
        <f t="array" ref="Z91">IFERROR(_xlfn.PERCENTILE.INC(_xlfn._xlws.FILTER('BDT''s'!W:W,('BDT''s'!L:L=VMI!W91)*('BDT''s'!F:F=VMI!B91)*('BDT''s'!E:E=VMI!A91)),0.75),"-")</f>
        <v>-</v>
      </c>
      <c r="AA91" s="18">
        <f>IFERROR(_xlfn.MAXIFS('BDT''s'!W:W,'BDT''s'!L:L,VMI!W91,'BDT''s'!F:F,VMI!B91,'BDT''s'!E:E,VMI!A91),"-")</f>
        <v>0</v>
      </c>
      <c r="AB91" s="16">
        <f>IFERROR(COUNTIFS('BDT''s'!L:L,VMI!W91,'BDT''s'!F:F,VMI!B91,'BDT''s'!E:E,VMI!A91),"-")</f>
        <v>0</v>
      </c>
      <c r="AC91" s="12" t="str">
        <f t="shared" si="15"/>
        <v>-</v>
      </c>
      <c r="AD91" s="16" t="str">
        <f t="shared" si="16"/>
        <v>-</v>
      </c>
      <c r="AE91" s="18" t="str">
        <f>IFERROR(AVERAGEIFS('BDT''s'!$W:$W,'BDT''s'!$L:$L,VMI!W91,'BDT''s'!$F:$F,VMI!$B91,'BDT''s'!$E:$E,VMI!$A91)*AD91,"-")</f>
        <v>-</v>
      </c>
      <c r="AF91" s="18" t="str">
        <f t="shared" si="17"/>
        <v>-</v>
      </c>
    </row>
    <row r="92" spans="1:32" x14ac:dyDescent="0.3">
      <c r="A92" s="15">
        <v>0.91</v>
      </c>
      <c r="B92" s="12" t="s">
        <v>38</v>
      </c>
      <c r="C92" s="3" t="s">
        <v>18</v>
      </c>
      <c r="D92" s="18" t="str">
        <f>IFERROR(AVERAGEIFS('BDT''s'!W:W,'BDT''s'!L:L,VMI!C92,'BDT''s'!F:F,VMI!B92,'BDT''s'!E:E,VMI!A92),"-")</f>
        <v>-</v>
      </c>
      <c r="E92" s="18" t="str" cm="1">
        <f t="array" ref="E92">IFERROR(_xlfn.PERCENTILE.INC(_xlfn._xlws.FILTER('BDT''s'!W:W,('BDT''s'!L:L=VMI!C92)*('BDT''s'!F:F=VMI!B92)*('BDT''s'!E:E=VMI!A92)),0.5),"-")</f>
        <v>-</v>
      </c>
      <c r="F92" s="18" t="str" cm="1">
        <f t="array" ref="F92">IFERROR(_xlfn.PERCENTILE.INC(_xlfn._xlws.FILTER('BDT''s'!W:W,('BDT''s'!L:L=VMI!C92)*('BDT''s'!F:F=VMI!B92)*('BDT''s'!E:E=VMI!A92)),0.75),"-")</f>
        <v>-</v>
      </c>
      <c r="G92" s="18">
        <f>IFERROR(_xlfn.MAXIFS('BDT''s'!W:W,'BDT''s'!L:L,VMI!C92,'BDT''s'!F:F,VMI!B92,'BDT''s'!E:E,VMI!A92),"-")</f>
        <v>0</v>
      </c>
      <c r="H92" s="16">
        <f>IFERROR(COUNTIFS('BDT''s'!L:L,VMI!C92,'BDT''s'!F:F,VMI!B92,'BDT''s'!E:E,VMI!A92),"-")</f>
        <v>0</v>
      </c>
      <c r="I92" s="12" t="str">
        <f t="shared" si="9"/>
        <v>-</v>
      </c>
      <c r="J92" s="16" t="str">
        <f t="shared" si="10"/>
        <v>-</v>
      </c>
      <c r="K92" s="18" t="str">
        <f>IFERROR(AVERAGEIFS('BDT''s'!$W:$W,'BDT''s'!$L:$L,VMI!C92,'BDT''s'!$F:$F,VMI!$B92,'BDT''s'!$E:$E,VMI!$A92)*J92,"-")</f>
        <v>-</v>
      </c>
      <c r="L92" s="18" t="str">
        <f t="shared" si="11"/>
        <v>-</v>
      </c>
      <c r="M92" s="3" t="s">
        <v>19</v>
      </c>
      <c r="N92" s="18" t="str">
        <f>IFERROR(AVERAGEIFS('BDT''s'!W:W,'BDT''s'!L:L,VMI!M92,'BDT''s'!F:F,VMI!B92,'BDT''s'!E:E,VMI!A92),"-")</f>
        <v>-</v>
      </c>
      <c r="O92" s="18" t="str" cm="1">
        <f t="array" ref="O92">IFERROR(_xlfn.PERCENTILE.INC(_xlfn._xlws.FILTER('BDT''s'!W:W,('BDT''s'!L:L=VMI!M92)*('BDT''s'!F:F=VMI!B92)*('BDT''s'!E:E=VMI!A92)),0.5),"-")</f>
        <v>-</v>
      </c>
      <c r="P92" s="18" t="str" cm="1">
        <f t="array" ref="P92">IFERROR(_xlfn.PERCENTILE.INC(_xlfn._xlws.FILTER('BDT''s'!W:W,('BDT''s'!L:L=VMI!M92)*('BDT''s'!F:F=VMI!B92)*('BDT''s'!E:E=VMI!A92)),0.75),"-")</f>
        <v>-</v>
      </c>
      <c r="Q92" s="18">
        <f>IFERROR(_xlfn.MAXIFS('BDT''s'!W:W,'BDT''s'!L:L,VMI!M92,'BDT''s'!F:F,VMI!B92,'BDT''s'!E:E,VMI!A92),"-")</f>
        <v>0</v>
      </c>
      <c r="R92" s="16">
        <f>IFERROR(COUNTIFS('BDT''s'!L:L,VMI!M92,'BDT''s'!F:F,VMI!B92,'BDT''s'!E:E,VMI!A92),"-")</f>
        <v>0</v>
      </c>
      <c r="S92" s="12" t="str">
        <f t="shared" si="12"/>
        <v>-</v>
      </c>
      <c r="T92" s="16" t="str">
        <f t="shared" si="13"/>
        <v>-</v>
      </c>
      <c r="U92" s="18" t="str">
        <f>IFERROR(AVERAGEIFS('BDT''s'!$W:$W,'BDT''s'!$L:$L,VMI!M92,'BDT''s'!$F:$F,VMI!$B92,'BDT''s'!$E:$E,VMI!$A92)*T92,"-")</f>
        <v>-</v>
      </c>
      <c r="V92" s="18" t="str">
        <f t="shared" si="14"/>
        <v>-</v>
      </c>
      <c r="W92" s="3" t="s">
        <v>20</v>
      </c>
      <c r="X92" s="18" t="str">
        <f>IFERROR(AVERAGEIFS('BDT''s'!W:W,'BDT''s'!L:L,VMI!W92,'BDT''s'!F:F,VMI!B92,'BDT''s'!E:E,VMI!A92),"-")</f>
        <v>-</v>
      </c>
      <c r="Y92" s="18" t="str" cm="1">
        <f t="array" ref="Y92">IFERROR(_xlfn.PERCENTILE.INC(_xlfn._xlws.FILTER('BDT''s'!W:W,('BDT''s'!L:L=VMI!W92)*('BDT''s'!F:F=VMI!B92)*('BDT''s'!E:E=VMI!A92)),0.5),"-")</f>
        <v>-</v>
      </c>
      <c r="Z92" s="18" t="str" cm="1">
        <f t="array" ref="Z92">IFERROR(_xlfn.PERCENTILE.INC(_xlfn._xlws.FILTER('BDT''s'!W:W,('BDT''s'!L:L=VMI!W92)*('BDT''s'!F:F=VMI!B92)*('BDT''s'!E:E=VMI!A92)),0.75),"-")</f>
        <v>-</v>
      </c>
      <c r="AA92" s="18">
        <f>IFERROR(_xlfn.MAXIFS('BDT''s'!W:W,'BDT''s'!L:L,VMI!W92,'BDT''s'!F:F,VMI!B92,'BDT''s'!E:E,VMI!A92),"-")</f>
        <v>0</v>
      </c>
      <c r="AB92" s="16">
        <f>IFERROR(COUNTIFS('BDT''s'!L:L,VMI!W92,'BDT''s'!F:F,VMI!B92,'BDT''s'!E:E,VMI!A92),"-")</f>
        <v>0</v>
      </c>
      <c r="AC92" s="12" t="str">
        <f t="shared" si="15"/>
        <v>-</v>
      </c>
      <c r="AD92" s="16" t="str">
        <f t="shared" si="16"/>
        <v>-</v>
      </c>
      <c r="AE92" s="18" t="str">
        <f>IFERROR(AVERAGEIFS('BDT''s'!$W:$W,'BDT''s'!$L:$L,VMI!W92,'BDT''s'!$F:$F,VMI!$B92,'BDT''s'!$E:$E,VMI!$A92)*AD92,"-")</f>
        <v>-</v>
      </c>
      <c r="AF92" s="18" t="str">
        <f t="shared" si="17"/>
        <v>-</v>
      </c>
    </row>
    <row r="93" spans="1:32" x14ac:dyDescent="0.3">
      <c r="A93" s="15">
        <v>0.92</v>
      </c>
      <c r="B93" s="12" t="s">
        <v>38</v>
      </c>
      <c r="C93" s="3" t="s">
        <v>18</v>
      </c>
      <c r="D93" s="18" t="str">
        <f>IFERROR(AVERAGEIFS('BDT''s'!W:W,'BDT''s'!L:L,VMI!C93,'BDT''s'!F:F,VMI!B93,'BDT''s'!E:E,VMI!A93),"-")</f>
        <v>-</v>
      </c>
      <c r="E93" s="18" t="str" cm="1">
        <f t="array" ref="E93">IFERROR(_xlfn.PERCENTILE.INC(_xlfn._xlws.FILTER('BDT''s'!W:W,('BDT''s'!L:L=VMI!C93)*('BDT''s'!F:F=VMI!B93)*('BDT''s'!E:E=VMI!A93)),0.5),"-")</f>
        <v>-</v>
      </c>
      <c r="F93" s="18" t="str" cm="1">
        <f t="array" ref="F93">IFERROR(_xlfn.PERCENTILE.INC(_xlfn._xlws.FILTER('BDT''s'!W:W,('BDT''s'!L:L=VMI!C93)*('BDT''s'!F:F=VMI!B93)*('BDT''s'!E:E=VMI!A93)),0.75),"-")</f>
        <v>-</v>
      </c>
      <c r="G93" s="18">
        <f>IFERROR(_xlfn.MAXIFS('BDT''s'!W:W,'BDT''s'!L:L,VMI!C93,'BDT''s'!F:F,VMI!B93,'BDT''s'!E:E,VMI!A93),"-")</f>
        <v>0</v>
      </c>
      <c r="H93" s="16">
        <f>IFERROR(COUNTIFS('BDT''s'!L:L,VMI!C93,'BDT''s'!F:F,VMI!B93,'BDT''s'!E:E,VMI!A93),"-")</f>
        <v>0</v>
      </c>
      <c r="I93" s="12" t="str">
        <f t="shared" si="9"/>
        <v>-</v>
      </c>
      <c r="J93" s="16" t="str">
        <f t="shared" si="10"/>
        <v>-</v>
      </c>
      <c r="K93" s="18" t="str">
        <f>IFERROR(AVERAGEIFS('BDT''s'!$W:$W,'BDT''s'!$L:$L,VMI!C93,'BDT''s'!$F:$F,VMI!$B93,'BDT''s'!$E:$E,VMI!$A93)*J93,"-")</f>
        <v>-</v>
      </c>
      <c r="L93" s="18" t="str">
        <f t="shared" si="11"/>
        <v>-</v>
      </c>
      <c r="M93" s="3" t="s">
        <v>19</v>
      </c>
      <c r="N93" s="18" t="str">
        <f>IFERROR(AVERAGEIFS('BDT''s'!W:W,'BDT''s'!L:L,VMI!M93,'BDT''s'!F:F,VMI!B93,'BDT''s'!E:E,VMI!A93),"-")</f>
        <v>-</v>
      </c>
      <c r="O93" s="18" t="str" cm="1">
        <f t="array" ref="O93">IFERROR(_xlfn.PERCENTILE.INC(_xlfn._xlws.FILTER('BDT''s'!W:W,('BDT''s'!L:L=VMI!M93)*('BDT''s'!F:F=VMI!B93)*('BDT''s'!E:E=VMI!A93)),0.5),"-")</f>
        <v>-</v>
      </c>
      <c r="P93" s="18" t="str" cm="1">
        <f t="array" ref="P93">IFERROR(_xlfn.PERCENTILE.INC(_xlfn._xlws.FILTER('BDT''s'!W:W,('BDT''s'!L:L=VMI!M93)*('BDT''s'!F:F=VMI!B93)*('BDT''s'!E:E=VMI!A93)),0.75),"-")</f>
        <v>-</v>
      </c>
      <c r="Q93" s="18">
        <f>IFERROR(_xlfn.MAXIFS('BDT''s'!W:W,'BDT''s'!L:L,VMI!M93,'BDT''s'!F:F,VMI!B93,'BDT''s'!E:E,VMI!A93),"-")</f>
        <v>0</v>
      </c>
      <c r="R93" s="16">
        <f>IFERROR(COUNTIFS('BDT''s'!L:L,VMI!M93,'BDT''s'!F:F,VMI!B93,'BDT''s'!E:E,VMI!A93),"-")</f>
        <v>0</v>
      </c>
      <c r="S93" s="12" t="str">
        <f t="shared" si="12"/>
        <v>-</v>
      </c>
      <c r="T93" s="16" t="str">
        <f t="shared" si="13"/>
        <v>-</v>
      </c>
      <c r="U93" s="18" t="str">
        <f>IFERROR(AVERAGEIFS('BDT''s'!$W:$W,'BDT''s'!$L:$L,VMI!M93,'BDT''s'!$F:$F,VMI!$B93,'BDT''s'!$E:$E,VMI!$A93)*T93,"-")</f>
        <v>-</v>
      </c>
      <c r="V93" s="18" t="str">
        <f t="shared" si="14"/>
        <v>-</v>
      </c>
      <c r="W93" s="3" t="s">
        <v>20</v>
      </c>
      <c r="X93" s="18" t="str">
        <f>IFERROR(AVERAGEIFS('BDT''s'!W:W,'BDT''s'!L:L,VMI!W93,'BDT''s'!F:F,VMI!B93,'BDT''s'!E:E,VMI!A93),"-")</f>
        <v>-</v>
      </c>
      <c r="Y93" s="18" t="str" cm="1">
        <f t="array" ref="Y93">IFERROR(_xlfn.PERCENTILE.INC(_xlfn._xlws.FILTER('BDT''s'!W:W,('BDT''s'!L:L=VMI!W93)*('BDT''s'!F:F=VMI!B93)*('BDT''s'!E:E=VMI!A93)),0.5),"-")</f>
        <v>-</v>
      </c>
      <c r="Z93" s="18" t="str" cm="1">
        <f t="array" ref="Z93">IFERROR(_xlfn.PERCENTILE.INC(_xlfn._xlws.FILTER('BDT''s'!W:W,('BDT''s'!L:L=VMI!W93)*('BDT''s'!F:F=VMI!B93)*('BDT''s'!E:E=VMI!A93)),0.75),"-")</f>
        <v>-</v>
      </c>
      <c r="AA93" s="18">
        <f>IFERROR(_xlfn.MAXIFS('BDT''s'!W:W,'BDT''s'!L:L,VMI!W93,'BDT''s'!F:F,VMI!B93,'BDT''s'!E:E,VMI!A93),"-")</f>
        <v>0</v>
      </c>
      <c r="AB93" s="16">
        <f>IFERROR(COUNTIFS('BDT''s'!L:L,VMI!W93,'BDT''s'!F:F,VMI!B93,'BDT''s'!E:E,VMI!A93),"-")</f>
        <v>0</v>
      </c>
      <c r="AC93" s="12" t="str">
        <f t="shared" si="15"/>
        <v>-</v>
      </c>
      <c r="AD93" s="16" t="str">
        <f t="shared" si="16"/>
        <v>-</v>
      </c>
      <c r="AE93" s="18" t="str">
        <f>IFERROR(AVERAGEIFS('BDT''s'!$W:$W,'BDT''s'!$L:$L,VMI!W93,'BDT''s'!$F:$F,VMI!$B93,'BDT''s'!$E:$E,VMI!$A93)*AD93,"-")</f>
        <v>-</v>
      </c>
      <c r="AF93" s="18" t="str">
        <f t="shared" si="17"/>
        <v>-</v>
      </c>
    </row>
    <row r="94" spans="1:32" x14ac:dyDescent="0.3">
      <c r="A94" s="15">
        <v>0.93</v>
      </c>
      <c r="B94" s="12" t="s">
        <v>38</v>
      </c>
      <c r="C94" s="3" t="s">
        <v>18</v>
      </c>
      <c r="D94" s="18" t="str">
        <f>IFERROR(AVERAGEIFS('BDT''s'!W:W,'BDT''s'!L:L,VMI!C94,'BDT''s'!F:F,VMI!B94,'BDT''s'!E:E,VMI!A94),"-")</f>
        <v>-</v>
      </c>
      <c r="E94" s="18" t="str" cm="1">
        <f t="array" ref="E94">IFERROR(_xlfn.PERCENTILE.INC(_xlfn._xlws.FILTER('BDT''s'!W:W,('BDT''s'!L:L=VMI!C94)*('BDT''s'!F:F=VMI!B94)*('BDT''s'!E:E=VMI!A94)),0.5),"-")</f>
        <v>-</v>
      </c>
      <c r="F94" s="18" t="str" cm="1">
        <f t="array" ref="F94">IFERROR(_xlfn.PERCENTILE.INC(_xlfn._xlws.FILTER('BDT''s'!W:W,('BDT''s'!L:L=VMI!C94)*('BDT''s'!F:F=VMI!B94)*('BDT''s'!E:E=VMI!A94)),0.75),"-")</f>
        <v>-</v>
      </c>
      <c r="G94" s="18">
        <f>IFERROR(_xlfn.MAXIFS('BDT''s'!W:W,'BDT''s'!L:L,VMI!C94,'BDT''s'!F:F,VMI!B94,'BDT''s'!E:E,VMI!A94),"-")</f>
        <v>0</v>
      </c>
      <c r="H94" s="16">
        <f>IFERROR(COUNTIFS('BDT''s'!L:L,VMI!C94,'BDT''s'!F:F,VMI!B94,'BDT''s'!E:E,VMI!A94),"-")</f>
        <v>0</v>
      </c>
      <c r="I94" s="12" t="str">
        <f t="shared" si="9"/>
        <v>-</v>
      </c>
      <c r="J94" s="16" t="str">
        <f t="shared" si="10"/>
        <v>-</v>
      </c>
      <c r="K94" s="18" t="str">
        <f>IFERROR(AVERAGEIFS('BDT''s'!$W:$W,'BDT''s'!$L:$L,VMI!C94,'BDT''s'!$F:$F,VMI!$B94,'BDT''s'!$E:$E,VMI!$A94)*J94,"-")</f>
        <v>-</v>
      </c>
      <c r="L94" s="18" t="str">
        <f t="shared" si="11"/>
        <v>-</v>
      </c>
      <c r="M94" s="3" t="s">
        <v>19</v>
      </c>
      <c r="N94" s="18" t="str">
        <f>IFERROR(AVERAGEIFS('BDT''s'!W:W,'BDT''s'!L:L,VMI!M94,'BDT''s'!F:F,VMI!B94,'BDT''s'!E:E,VMI!A94),"-")</f>
        <v>-</v>
      </c>
      <c r="O94" s="18" t="str" cm="1">
        <f t="array" ref="O94">IFERROR(_xlfn.PERCENTILE.INC(_xlfn._xlws.FILTER('BDT''s'!W:W,('BDT''s'!L:L=VMI!M94)*('BDT''s'!F:F=VMI!B94)*('BDT''s'!E:E=VMI!A94)),0.5),"-")</f>
        <v>-</v>
      </c>
      <c r="P94" s="18" t="str" cm="1">
        <f t="array" ref="P94">IFERROR(_xlfn.PERCENTILE.INC(_xlfn._xlws.FILTER('BDT''s'!W:W,('BDT''s'!L:L=VMI!M94)*('BDT''s'!F:F=VMI!B94)*('BDT''s'!E:E=VMI!A94)),0.75),"-")</f>
        <v>-</v>
      </c>
      <c r="Q94" s="18">
        <f>IFERROR(_xlfn.MAXIFS('BDT''s'!W:W,'BDT''s'!L:L,VMI!M94,'BDT''s'!F:F,VMI!B94,'BDT''s'!E:E,VMI!A94),"-")</f>
        <v>0</v>
      </c>
      <c r="R94" s="16">
        <f>IFERROR(COUNTIFS('BDT''s'!L:L,VMI!M94,'BDT''s'!F:F,VMI!B94,'BDT''s'!E:E,VMI!A94),"-")</f>
        <v>0</v>
      </c>
      <c r="S94" s="12" t="str">
        <f t="shared" si="12"/>
        <v>-</v>
      </c>
      <c r="T94" s="16" t="str">
        <f t="shared" si="13"/>
        <v>-</v>
      </c>
      <c r="U94" s="18" t="str">
        <f>IFERROR(AVERAGEIFS('BDT''s'!$W:$W,'BDT''s'!$L:$L,VMI!M94,'BDT''s'!$F:$F,VMI!$B94,'BDT''s'!$E:$E,VMI!$A94)*T94,"-")</f>
        <v>-</v>
      </c>
      <c r="V94" s="18" t="str">
        <f t="shared" si="14"/>
        <v>-</v>
      </c>
      <c r="W94" s="3" t="s">
        <v>20</v>
      </c>
      <c r="X94" s="18" t="str">
        <f>IFERROR(AVERAGEIFS('BDT''s'!W:W,'BDT''s'!L:L,VMI!W94,'BDT''s'!F:F,VMI!B94,'BDT''s'!E:E,VMI!A94),"-")</f>
        <v>-</v>
      </c>
      <c r="Y94" s="18" t="str" cm="1">
        <f t="array" ref="Y94">IFERROR(_xlfn.PERCENTILE.INC(_xlfn._xlws.FILTER('BDT''s'!W:W,('BDT''s'!L:L=VMI!W94)*('BDT''s'!F:F=VMI!B94)*('BDT''s'!E:E=VMI!A94)),0.5),"-")</f>
        <v>-</v>
      </c>
      <c r="Z94" s="18" t="str" cm="1">
        <f t="array" ref="Z94">IFERROR(_xlfn.PERCENTILE.INC(_xlfn._xlws.FILTER('BDT''s'!W:W,('BDT''s'!L:L=VMI!W94)*('BDT''s'!F:F=VMI!B94)*('BDT''s'!E:E=VMI!A94)),0.75),"-")</f>
        <v>-</v>
      </c>
      <c r="AA94" s="18">
        <f>IFERROR(_xlfn.MAXIFS('BDT''s'!W:W,'BDT''s'!L:L,VMI!W94,'BDT''s'!F:F,VMI!B94,'BDT''s'!E:E,VMI!A94),"-")</f>
        <v>0</v>
      </c>
      <c r="AB94" s="16">
        <f>IFERROR(COUNTIFS('BDT''s'!L:L,VMI!W94,'BDT''s'!F:F,VMI!B94,'BDT''s'!E:E,VMI!A94),"-")</f>
        <v>0</v>
      </c>
      <c r="AC94" s="12" t="str">
        <f t="shared" si="15"/>
        <v>-</v>
      </c>
      <c r="AD94" s="16" t="str">
        <f t="shared" si="16"/>
        <v>-</v>
      </c>
      <c r="AE94" s="18" t="str">
        <f>IFERROR(AVERAGEIFS('BDT''s'!$W:$W,'BDT''s'!$L:$L,VMI!W94,'BDT''s'!$F:$F,VMI!$B94,'BDT''s'!$E:$E,VMI!$A94)*AD94,"-")</f>
        <v>-</v>
      </c>
      <c r="AF94" s="18" t="str">
        <f t="shared" si="17"/>
        <v>-</v>
      </c>
    </row>
    <row r="95" spans="1:32" x14ac:dyDescent="0.3">
      <c r="A95" s="15">
        <v>0.94</v>
      </c>
      <c r="B95" s="12" t="s">
        <v>38</v>
      </c>
      <c r="C95" s="3" t="s">
        <v>18</v>
      </c>
      <c r="D95" s="18" t="str">
        <f>IFERROR(AVERAGEIFS('BDT''s'!W:W,'BDT''s'!L:L,VMI!C95,'BDT''s'!F:F,VMI!B95,'BDT''s'!E:E,VMI!A95),"-")</f>
        <v>-</v>
      </c>
      <c r="E95" s="18" t="str" cm="1">
        <f t="array" ref="E95">IFERROR(_xlfn.PERCENTILE.INC(_xlfn._xlws.FILTER('BDT''s'!W:W,('BDT''s'!L:L=VMI!C95)*('BDT''s'!F:F=VMI!B95)*('BDT''s'!E:E=VMI!A95)),0.5),"-")</f>
        <v>-</v>
      </c>
      <c r="F95" s="18" t="str" cm="1">
        <f t="array" ref="F95">IFERROR(_xlfn.PERCENTILE.INC(_xlfn._xlws.FILTER('BDT''s'!W:W,('BDT''s'!L:L=VMI!C95)*('BDT''s'!F:F=VMI!B95)*('BDT''s'!E:E=VMI!A95)),0.75),"-")</f>
        <v>-</v>
      </c>
      <c r="G95" s="18">
        <f>IFERROR(_xlfn.MAXIFS('BDT''s'!W:W,'BDT''s'!L:L,VMI!C95,'BDT''s'!F:F,VMI!B95,'BDT''s'!E:E,VMI!A95),"-")</f>
        <v>0</v>
      </c>
      <c r="H95" s="16">
        <f>IFERROR(COUNTIFS('BDT''s'!L:L,VMI!C95,'BDT''s'!F:F,VMI!B95,'BDT''s'!E:E,VMI!A95),"-")</f>
        <v>0</v>
      </c>
      <c r="I95" s="12" t="str">
        <f t="shared" si="9"/>
        <v>-</v>
      </c>
      <c r="J95" s="16" t="str">
        <f t="shared" si="10"/>
        <v>-</v>
      </c>
      <c r="K95" s="18" t="str">
        <f>IFERROR(AVERAGEIFS('BDT''s'!$W:$W,'BDT''s'!$L:$L,VMI!C95,'BDT''s'!$F:$F,VMI!$B95,'BDT''s'!$E:$E,VMI!$A95)*J95,"-")</f>
        <v>-</v>
      </c>
      <c r="L95" s="18" t="str">
        <f t="shared" si="11"/>
        <v>-</v>
      </c>
      <c r="M95" s="3" t="s">
        <v>19</v>
      </c>
      <c r="N95" s="18" t="str">
        <f>IFERROR(AVERAGEIFS('BDT''s'!W:W,'BDT''s'!L:L,VMI!M95,'BDT''s'!F:F,VMI!B95,'BDT''s'!E:E,VMI!A95),"-")</f>
        <v>-</v>
      </c>
      <c r="O95" s="18" t="str" cm="1">
        <f t="array" ref="O95">IFERROR(_xlfn.PERCENTILE.INC(_xlfn._xlws.FILTER('BDT''s'!W:W,('BDT''s'!L:L=VMI!M95)*('BDT''s'!F:F=VMI!B95)*('BDT''s'!E:E=VMI!A95)),0.5),"-")</f>
        <v>-</v>
      </c>
      <c r="P95" s="18" t="str" cm="1">
        <f t="array" ref="P95">IFERROR(_xlfn.PERCENTILE.INC(_xlfn._xlws.FILTER('BDT''s'!W:W,('BDT''s'!L:L=VMI!M95)*('BDT''s'!F:F=VMI!B95)*('BDT''s'!E:E=VMI!A95)),0.75),"-")</f>
        <v>-</v>
      </c>
      <c r="Q95" s="18">
        <f>IFERROR(_xlfn.MAXIFS('BDT''s'!W:W,'BDT''s'!L:L,VMI!M95,'BDT''s'!F:F,VMI!B95,'BDT''s'!E:E,VMI!A95),"-")</f>
        <v>0</v>
      </c>
      <c r="R95" s="16">
        <f>IFERROR(COUNTIFS('BDT''s'!L:L,VMI!M95,'BDT''s'!F:F,VMI!B95,'BDT''s'!E:E,VMI!A95),"-")</f>
        <v>0</v>
      </c>
      <c r="S95" s="12" t="str">
        <f t="shared" si="12"/>
        <v>-</v>
      </c>
      <c r="T95" s="16" t="str">
        <f t="shared" si="13"/>
        <v>-</v>
      </c>
      <c r="U95" s="18" t="str">
        <f>IFERROR(AVERAGEIFS('BDT''s'!$W:$W,'BDT''s'!$L:$L,VMI!M95,'BDT''s'!$F:$F,VMI!$B95,'BDT''s'!$E:$E,VMI!$A95)*T95,"-")</f>
        <v>-</v>
      </c>
      <c r="V95" s="18" t="str">
        <f t="shared" si="14"/>
        <v>-</v>
      </c>
      <c r="W95" s="3" t="s">
        <v>20</v>
      </c>
      <c r="X95" s="18" t="str">
        <f>IFERROR(AVERAGEIFS('BDT''s'!W:W,'BDT''s'!L:L,VMI!W95,'BDT''s'!F:F,VMI!B95,'BDT''s'!E:E,VMI!A95),"-")</f>
        <v>-</v>
      </c>
      <c r="Y95" s="18" t="str" cm="1">
        <f t="array" ref="Y95">IFERROR(_xlfn.PERCENTILE.INC(_xlfn._xlws.FILTER('BDT''s'!W:W,('BDT''s'!L:L=VMI!W95)*('BDT''s'!F:F=VMI!B95)*('BDT''s'!E:E=VMI!A95)),0.5),"-")</f>
        <v>-</v>
      </c>
      <c r="Z95" s="18" t="str" cm="1">
        <f t="array" ref="Z95">IFERROR(_xlfn.PERCENTILE.INC(_xlfn._xlws.FILTER('BDT''s'!W:W,('BDT''s'!L:L=VMI!W95)*('BDT''s'!F:F=VMI!B95)*('BDT''s'!E:E=VMI!A95)),0.75),"-")</f>
        <v>-</v>
      </c>
      <c r="AA95" s="18">
        <f>IFERROR(_xlfn.MAXIFS('BDT''s'!W:W,'BDT''s'!L:L,VMI!W95,'BDT''s'!F:F,VMI!B95,'BDT''s'!E:E,VMI!A95),"-")</f>
        <v>0</v>
      </c>
      <c r="AB95" s="16">
        <f>IFERROR(COUNTIFS('BDT''s'!L:L,VMI!W95,'BDT''s'!F:F,VMI!B95,'BDT''s'!E:E,VMI!A95),"-")</f>
        <v>0</v>
      </c>
      <c r="AC95" s="12" t="str">
        <f t="shared" si="15"/>
        <v>-</v>
      </c>
      <c r="AD95" s="16" t="str">
        <f t="shared" si="16"/>
        <v>-</v>
      </c>
      <c r="AE95" s="18" t="str">
        <f>IFERROR(AVERAGEIFS('BDT''s'!$W:$W,'BDT''s'!$L:$L,VMI!W95,'BDT''s'!$F:$F,VMI!$B95,'BDT''s'!$E:$E,VMI!$A95)*AD95,"-")</f>
        <v>-</v>
      </c>
      <c r="AF95" s="18" t="str">
        <f t="shared" si="17"/>
        <v>-</v>
      </c>
    </row>
    <row r="96" spans="1:32" x14ac:dyDescent="0.3">
      <c r="A96" s="15">
        <v>0.95</v>
      </c>
      <c r="B96" s="12" t="s">
        <v>38</v>
      </c>
      <c r="C96" s="3" t="s">
        <v>18</v>
      </c>
      <c r="D96" s="18" t="str">
        <f>IFERROR(AVERAGEIFS('BDT''s'!W:W,'BDT''s'!L:L,VMI!C96,'BDT''s'!F:F,VMI!B96,'BDT''s'!E:E,VMI!A96),"-")</f>
        <v>-</v>
      </c>
      <c r="E96" s="18" t="str" cm="1">
        <f t="array" ref="E96">IFERROR(_xlfn.PERCENTILE.INC(_xlfn._xlws.FILTER('BDT''s'!W:W,('BDT''s'!L:L=VMI!C96)*('BDT''s'!F:F=VMI!B96)*('BDT''s'!E:E=VMI!A96)),0.5),"-")</f>
        <v>-</v>
      </c>
      <c r="F96" s="18" t="str" cm="1">
        <f t="array" ref="F96">IFERROR(_xlfn.PERCENTILE.INC(_xlfn._xlws.FILTER('BDT''s'!W:W,('BDT''s'!L:L=VMI!C96)*('BDT''s'!F:F=VMI!B96)*('BDT''s'!E:E=VMI!A96)),0.75),"-")</f>
        <v>-</v>
      </c>
      <c r="G96" s="18">
        <f>IFERROR(_xlfn.MAXIFS('BDT''s'!W:W,'BDT''s'!L:L,VMI!C96,'BDT''s'!F:F,VMI!B96,'BDT''s'!E:E,VMI!A96),"-")</f>
        <v>0</v>
      </c>
      <c r="H96" s="16">
        <f>IFERROR(COUNTIFS('BDT''s'!L:L,VMI!C96,'BDT''s'!F:F,VMI!B96,'BDT''s'!E:E,VMI!A96),"-")</f>
        <v>0</v>
      </c>
      <c r="I96" s="12" t="str">
        <f t="shared" si="9"/>
        <v>-</v>
      </c>
      <c r="J96" s="16" t="str">
        <f t="shared" si="10"/>
        <v>-</v>
      </c>
      <c r="K96" s="18" t="str">
        <f>IFERROR(AVERAGEIFS('BDT''s'!$W:$W,'BDT''s'!$L:$L,VMI!C96,'BDT''s'!$F:$F,VMI!$B96,'BDT''s'!$E:$E,VMI!$A96)*J96,"-")</f>
        <v>-</v>
      </c>
      <c r="L96" s="18" t="str">
        <f t="shared" si="11"/>
        <v>-</v>
      </c>
      <c r="M96" s="3" t="s">
        <v>19</v>
      </c>
      <c r="N96" s="18" t="str">
        <f>IFERROR(AVERAGEIFS('BDT''s'!W:W,'BDT''s'!L:L,VMI!M96,'BDT''s'!F:F,VMI!B96,'BDT''s'!E:E,VMI!A96),"-")</f>
        <v>-</v>
      </c>
      <c r="O96" s="18" t="str" cm="1">
        <f t="array" ref="O96">IFERROR(_xlfn.PERCENTILE.INC(_xlfn._xlws.FILTER('BDT''s'!W:W,('BDT''s'!L:L=VMI!M96)*('BDT''s'!F:F=VMI!B96)*('BDT''s'!E:E=VMI!A96)),0.5),"-")</f>
        <v>-</v>
      </c>
      <c r="P96" s="18" t="str" cm="1">
        <f t="array" ref="P96">IFERROR(_xlfn.PERCENTILE.INC(_xlfn._xlws.FILTER('BDT''s'!W:W,('BDT''s'!L:L=VMI!M96)*('BDT''s'!F:F=VMI!B96)*('BDT''s'!E:E=VMI!A96)),0.75),"-")</f>
        <v>-</v>
      </c>
      <c r="Q96" s="18">
        <f>IFERROR(_xlfn.MAXIFS('BDT''s'!W:W,'BDT''s'!L:L,VMI!M96,'BDT''s'!F:F,VMI!B96,'BDT''s'!E:E,VMI!A96),"-")</f>
        <v>0</v>
      </c>
      <c r="R96" s="16">
        <f>IFERROR(COUNTIFS('BDT''s'!L:L,VMI!M96,'BDT''s'!F:F,VMI!B96,'BDT''s'!E:E,VMI!A96),"-")</f>
        <v>0</v>
      </c>
      <c r="S96" s="12" t="str">
        <f t="shared" si="12"/>
        <v>-</v>
      </c>
      <c r="T96" s="16" t="str">
        <f t="shared" si="13"/>
        <v>-</v>
      </c>
      <c r="U96" s="18" t="str">
        <f>IFERROR(AVERAGEIFS('BDT''s'!$W:$W,'BDT''s'!$L:$L,VMI!M96,'BDT''s'!$F:$F,VMI!$B96,'BDT''s'!$E:$E,VMI!$A96)*T96,"-")</f>
        <v>-</v>
      </c>
      <c r="V96" s="18" t="str">
        <f t="shared" si="14"/>
        <v>-</v>
      </c>
      <c r="W96" s="3" t="s">
        <v>20</v>
      </c>
      <c r="X96" s="18" t="str">
        <f>IFERROR(AVERAGEIFS('BDT''s'!W:W,'BDT''s'!L:L,VMI!W96,'BDT''s'!F:F,VMI!B96,'BDT''s'!E:E,VMI!A96),"-")</f>
        <v>-</v>
      </c>
      <c r="Y96" s="18" t="str" cm="1">
        <f t="array" ref="Y96">IFERROR(_xlfn.PERCENTILE.INC(_xlfn._xlws.FILTER('BDT''s'!W:W,('BDT''s'!L:L=VMI!W96)*('BDT''s'!F:F=VMI!B96)*('BDT''s'!E:E=VMI!A96)),0.5),"-")</f>
        <v>-</v>
      </c>
      <c r="Z96" s="18" t="str" cm="1">
        <f t="array" ref="Z96">IFERROR(_xlfn.PERCENTILE.INC(_xlfn._xlws.FILTER('BDT''s'!W:W,('BDT''s'!L:L=VMI!W96)*('BDT''s'!F:F=VMI!B96)*('BDT''s'!E:E=VMI!A96)),0.75),"-")</f>
        <v>-</v>
      </c>
      <c r="AA96" s="18">
        <f>IFERROR(_xlfn.MAXIFS('BDT''s'!W:W,'BDT''s'!L:L,VMI!W96,'BDT''s'!F:F,VMI!B96,'BDT''s'!E:E,VMI!A96),"-")</f>
        <v>0</v>
      </c>
      <c r="AB96" s="16">
        <f>IFERROR(COUNTIFS('BDT''s'!L:L,VMI!W96,'BDT''s'!F:F,VMI!B96,'BDT''s'!E:E,VMI!A96),"-")</f>
        <v>0</v>
      </c>
      <c r="AC96" s="12" t="str">
        <f t="shared" si="15"/>
        <v>-</v>
      </c>
      <c r="AD96" s="16" t="str">
        <f t="shared" si="16"/>
        <v>-</v>
      </c>
      <c r="AE96" s="18" t="str">
        <f>IFERROR(AVERAGEIFS('BDT''s'!$W:$W,'BDT''s'!$L:$L,VMI!W96,'BDT''s'!$F:$F,VMI!$B96,'BDT''s'!$E:$E,VMI!$A96)*AD96,"-")</f>
        <v>-</v>
      </c>
      <c r="AF96" s="18" t="str">
        <f t="shared" si="17"/>
        <v>-</v>
      </c>
    </row>
    <row r="97" spans="1:32" x14ac:dyDescent="0.3">
      <c r="A97" s="15">
        <v>0.96</v>
      </c>
      <c r="B97" s="12" t="s">
        <v>38</v>
      </c>
      <c r="C97" s="3" t="s">
        <v>18</v>
      </c>
      <c r="D97" s="18" t="str">
        <f>IFERROR(AVERAGEIFS('BDT''s'!W:W,'BDT''s'!L:L,VMI!C97,'BDT''s'!F:F,VMI!B97,'BDT''s'!E:E,VMI!A97),"-")</f>
        <v>-</v>
      </c>
      <c r="E97" s="18" t="str" cm="1">
        <f t="array" ref="E97">IFERROR(_xlfn.PERCENTILE.INC(_xlfn._xlws.FILTER('BDT''s'!W:W,('BDT''s'!L:L=VMI!C97)*('BDT''s'!F:F=VMI!B97)*('BDT''s'!E:E=VMI!A97)),0.5),"-")</f>
        <v>-</v>
      </c>
      <c r="F97" s="18" t="str" cm="1">
        <f t="array" ref="F97">IFERROR(_xlfn.PERCENTILE.INC(_xlfn._xlws.FILTER('BDT''s'!W:W,('BDT''s'!L:L=VMI!C97)*('BDT''s'!F:F=VMI!B97)*('BDT''s'!E:E=VMI!A97)),0.75),"-")</f>
        <v>-</v>
      </c>
      <c r="G97" s="18">
        <f>IFERROR(_xlfn.MAXIFS('BDT''s'!W:W,'BDT''s'!L:L,VMI!C97,'BDT''s'!F:F,VMI!B97,'BDT''s'!E:E,VMI!A97),"-")</f>
        <v>0</v>
      </c>
      <c r="H97" s="16">
        <f>IFERROR(COUNTIFS('BDT''s'!L:L,VMI!C97,'BDT''s'!F:F,VMI!B97,'BDT''s'!E:E,VMI!A97),"-")</f>
        <v>0</v>
      </c>
      <c r="I97" s="12" t="str">
        <f t="shared" si="9"/>
        <v>-</v>
      </c>
      <c r="J97" s="16" t="str">
        <f t="shared" si="10"/>
        <v>-</v>
      </c>
      <c r="K97" s="18" t="str">
        <f>IFERROR(AVERAGEIFS('BDT''s'!$W:$W,'BDT''s'!$L:$L,VMI!C97,'BDT''s'!$F:$F,VMI!$B97,'BDT''s'!$E:$E,VMI!$A97)*J97,"-")</f>
        <v>-</v>
      </c>
      <c r="L97" s="18" t="str">
        <f t="shared" si="11"/>
        <v>-</v>
      </c>
      <c r="M97" s="3" t="s">
        <v>19</v>
      </c>
      <c r="N97" s="18" t="str">
        <f>IFERROR(AVERAGEIFS('BDT''s'!W:W,'BDT''s'!L:L,VMI!M97,'BDT''s'!F:F,VMI!B97,'BDT''s'!E:E,VMI!A97),"-")</f>
        <v>-</v>
      </c>
      <c r="O97" s="18" t="str" cm="1">
        <f t="array" ref="O97">IFERROR(_xlfn.PERCENTILE.INC(_xlfn._xlws.FILTER('BDT''s'!W:W,('BDT''s'!L:L=VMI!M97)*('BDT''s'!F:F=VMI!B97)*('BDT''s'!E:E=VMI!A97)),0.5),"-")</f>
        <v>-</v>
      </c>
      <c r="P97" s="18" t="str" cm="1">
        <f t="array" ref="P97">IFERROR(_xlfn.PERCENTILE.INC(_xlfn._xlws.FILTER('BDT''s'!W:W,('BDT''s'!L:L=VMI!M97)*('BDT''s'!F:F=VMI!B97)*('BDT''s'!E:E=VMI!A97)),0.75),"-")</f>
        <v>-</v>
      </c>
      <c r="Q97" s="18">
        <f>IFERROR(_xlfn.MAXIFS('BDT''s'!W:W,'BDT''s'!L:L,VMI!M97,'BDT''s'!F:F,VMI!B97,'BDT''s'!E:E,VMI!A97),"-")</f>
        <v>0</v>
      </c>
      <c r="R97" s="16">
        <f>IFERROR(COUNTIFS('BDT''s'!L:L,VMI!M97,'BDT''s'!F:F,VMI!B97,'BDT''s'!E:E,VMI!A97),"-")</f>
        <v>0</v>
      </c>
      <c r="S97" s="12" t="str">
        <f t="shared" si="12"/>
        <v>-</v>
      </c>
      <c r="T97" s="16" t="str">
        <f t="shared" si="13"/>
        <v>-</v>
      </c>
      <c r="U97" s="18" t="str">
        <f>IFERROR(AVERAGEIFS('BDT''s'!$W:$W,'BDT''s'!$L:$L,VMI!M97,'BDT''s'!$F:$F,VMI!$B97,'BDT''s'!$E:$E,VMI!$A97)*T97,"-")</f>
        <v>-</v>
      </c>
      <c r="V97" s="18" t="str">
        <f t="shared" si="14"/>
        <v>-</v>
      </c>
      <c r="W97" s="3" t="s">
        <v>20</v>
      </c>
      <c r="X97" s="18" t="str">
        <f>IFERROR(AVERAGEIFS('BDT''s'!W:W,'BDT''s'!L:L,VMI!W97,'BDT''s'!F:F,VMI!B97,'BDT''s'!E:E,VMI!A97),"-")</f>
        <v>-</v>
      </c>
      <c r="Y97" s="18" t="str" cm="1">
        <f t="array" ref="Y97">IFERROR(_xlfn.PERCENTILE.INC(_xlfn._xlws.FILTER('BDT''s'!W:W,('BDT''s'!L:L=VMI!W97)*('BDT''s'!F:F=VMI!B97)*('BDT''s'!E:E=VMI!A97)),0.5),"-")</f>
        <v>-</v>
      </c>
      <c r="Z97" s="18" t="str" cm="1">
        <f t="array" ref="Z97">IFERROR(_xlfn.PERCENTILE.INC(_xlfn._xlws.FILTER('BDT''s'!W:W,('BDT''s'!L:L=VMI!W97)*('BDT''s'!F:F=VMI!B97)*('BDT''s'!E:E=VMI!A97)),0.75),"-")</f>
        <v>-</v>
      </c>
      <c r="AA97" s="18">
        <f>IFERROR(_xlfn.MAXIFS('BDT''s'!W:W,'BDT''s'!L:L,VMI!W97,'BDT''s'!F:F,VMI!B97,'BDT''s'!E:E,VMI!A97),"-")</f>
        <v>0</v>
      </c>
      <c r="AB97" s="16">
        <f>IFERROR(COUNTIFS('BDT''s'!L:L,VMI!W97,'BDT''s'!F:F,VMI!B97,'BDT''s'!E:E,VMI!A97),"-")</f>
        <v>0</v>
      </c>
      <c r="AC97" s="12" t="str">
        <f t="shared" si="15"/>
        <v>-</v>
      </c>
      <c r="AD97" s="16" t="str">
        <f t="shared" si="16"/>
        <v>-</v>
      </c>
      <c r="AE97" s="18" t="str">
        <f>IFERROR(AVERAGEIFS('BDT''s'!$W:$W,'BDT''s'!$L:$L,VMI!W97,'BDT''s'!$F:$F,VMI!$B97,'BDT''s'!$E:$E,VMI!$A97)*AD97,"-")</f>
        <v>-</v>
      </c>
      <c r="AF97" s="18" t="str">
        <f t="shared" si="17"/>
        <v>-</v>
      </c>
    </row>
    <row r="98" spans="1:32" x14ac:dyDescent="0.3">
      <c r="A98" s="15">
        <v>0.97</v>
      </c>
      <c r="B98" s="12" t="s">
        <v>38</v>
      </c>
      <c r="C98" s="3" t="s">
        <v>18</v>
      </c>
      <c r="D98" s="18" t="str">
        <f>IFERROR(AVERAGEIFS('BDT''s'!W:W,'BDT''s'!L:L,VMI!C98,'BDT''s'!F:F,VMI!B98,'BDT''s'!E:E,VMI!A98),"-")</f>
        <v>-</v>
      </c>
      <c r="E98" s="18" t="str" cm="1">
        <f t="array" ref="E98">IFERROR(_xlfn.PERCENTILE.INC(_xlfn._xlws.FILTER('BDT''s'!W:W,('BDT''s'!L:L=VMI!C98)*('BDT''s'!F:F=VMI!B98)*('BDT''s'!E:E=VMI!A98)),0.5),"-")</f>
        <v>-</v>
      </c>
      <c r="F98" s="18" t="str" cm="1">
        <f t="array" ref="F98">IFERROR(_xlfn.PERCENTILE.INC(_xlfn._xlws.FILTER('BDT''s'!W:W,('BDT''s'!L:L=VMI!C98)*('BDT''s'!F:F=VMI!B98)*('BDT''s'!E:E=VMI!A98)),0.75),"-")</f>
        <v>-</v>
      </c>
      <c r="G98" s="18">
        <f>IFERROR(_xlfn.MAXIFS('BDT''s'!W:W,'BDT''s'!L:L,VMI!C98,'BDT''s'!F:F,VMI!B98,'BDT''s'!E:E,VMI!A98),"-")</f>
        <v>0</v>
      </c>
      <c r="H98" s="16">
        <f>IFERROR(COUNTIFS('BDT''s'!L:L,VMI!C98,'BDT''s'!F:F,VMI!B98,'BDT''s'!E:E,VMI!A98),"-")</f>
        <v>0</v>
      </c>
      <c r="I98" s="12" t="str">
        <f t="shared" si="9"/>
        <v>-</v>
      </c>
      <c r="J98" s="16" t="str">
        <f t="shared" si="10"/>
        <v>-</v>
      </c>
      <c r="K98" s="18" t="str">
        <f>IFERROR(AVERAGEIFS('BDT''s'!$W:$W,'BDT''s'!$L:$L,VMI!C98,'BDT''s'!$F:$F,VMI!$B98,'BDT''s'!$E:$E,VMI!$A98)*J98,"-")</f>
        <v>-</v>
      </c>
      <c r="L98" s="18" t="str">
        <f t="shared" si="11"/>
        <v>-</v>
      </c>
      <c r="M98" s="3" t="s">
        <v>19</v>
      </c>
      <c r="N98" s="18" t="str">
        <f>IFERROR(AVERAGEIFS('BDT''s'!W:W,'BDT''s'!L:L,VMI!M98,'BDT''s'!F:F,VMI!B98,'BDT''s'!E:E,VMI!A98),"-")</f>
        <v>-</v>
      </c>
      <c r="O98" s="18" t="str" cm="1">
        <f t="array" ref="O98">IFERROR(_xlfn.PERCENTILE.INC(_xlfn._xlws.FILTER('BDT''s'!W:W,('BDT''s'!L:L=VMI!M98)*('BDT''s'!F:F=VMI!B98)*('BDT''s'!E:E=VMI!A98)),0.5),"-")</f>
        <v>-</v>
      </c>
      <c r="P98" s="18" t="str" cm="1">
        <f t="array" ref="P98">IFERROR(_xlfn.PERCENTILE.INC(_xlfn._xlws.FILTER('BDT''s'!W:W,('BDT''s'!L:L=VMI!M98)*('BDT''s'!F:F=VMI!B98)*('BDT''s'!E:E=VMI!A98)),0.75),"-")</f>
        <v>-</v>
      </c>
      <c r="Q98" s="18">
        <f>IFERROR(_xlfn.MAXIFS('BDT''s'!W:W,'BDT''s'!L:L,VMI!M98,'BDT''s'!F:F,VMI!B98,'BDT''s'!E:E,VMI!A98),"-")</f>
        <v>0</v>
      </c>
      <c r="R98" s="16">
        <f>IFERROR(COUNTIFS('BDT''s'!L:L,VMI!M98,'BDT''s'!F:F,VMI!B98,'BDT''s'!E:E,VMI!A98),"-")</f>
        <v>0</v>
      </c>
      <c r="S98" s="12" t="str">
        <f t="shared" si="12"/>
        <v>-</v>
      </c>
      <c r="T98" s="16" t="str">
        <f t="shared" si="13"/>
        <v>-</v>
      </c>
      <c r="U98" s="18" t="str">
        <f>IFERROR(AVERAGEIFS('BDT''s'!$W:$W,'BDT''s'!$L:$L,VMI!M98,'BDT''s'!$F:$F,VMI!$B98,'BDT''s'!$E:$E,VMI!$A98)*T98,"-")</f>
        <v>-</v>
      </c>
      <c r="V98" s="18" t="str">
        <f t="shared" si="14"/>
        <v>-</v>
      </c>
      <c r="W98" s="3" t="s">
        <v>20</v>
      </c>
      <c r="X98" s="18" t="str">
        <f>IFERROR(AVERAGEIFS('BDT''s'!W:W,'BDT''s'!L:L,VMI!W98,'BDT''s'!F:F,VMI!B98,'BDT''s'!E:E,VMI!A98),"-")</f>
        <v>-</v>
      </c>
      <c r="Y98" s="18" t="str" cm="1">
        <f t="array" ref="Y98">IFERROR(_xlfn.PERCENTILE.INC(_xlfn._xlws.FILTER('BDT''s'!W:W,('BDT''s'!L:L=VMI!W98)*('BDT''s'!F:F=VMI!B98)*('BDT''s'!E:E=VMI!A98)),0.5),"-")</f>
        <v>-</v>
      </c>
      <c r="Z98" s="18" t="str" cm="1">
        <f t="array" ref="Z98">IFERROR(_xlfn.PERCENTILE.INC(_xlfn._xlws.FILTER('BDT''s'!W:W,('BDT''s'!L:L=VMI!W98)*('BDT''s'!F:F=VMI!B98)*('BDT''s'!E:E=VMI!A98)),0.75),"-")</f>
        <v>-</v>
      </c>
      <c r="AA98" s="18">
        <f>IFERROR(_xlfn.MAXIFS('BDT''s'!W:W,'BDT''s'!L:L,VMI!W98,'BDT''s'!F:F,VMI!B98,'BDT''s'!E:E,VMI!A98),"-")</f>
        <v>0</v>
      </c>
      <c r="AB98" s="16">
        <f>IFERROR(COUNTIFS('BDT''s'!L:L,VMI!W98,'BDT''s'!F:F,VMI!B98,'BDT''s'!E:E,VMI!A98),"-")</f>
        <v>0</v>
      </c>
      <c r="AC98" s="12" t="str">
        <f t="shared" si="15"/>
        <v>-</v>
      </c>
      <c r="AD98" s="16" t="str">
        <f t="shared" si="16"/>
        <v>-</v>
      </c>
      <c r="AE98" s="18" t="str">
        <f>IFERROR(AVERAGEIFS('BDT''s'!$W:$W,'BDT''s'!$L:$L,VMI!W98,'BDT''s'!$F:$F,VMI!$B98,'BDT''s'!$E:$E,VMI!$A98)*AD98,"-")</f>
        <v>-</v>
      </c>
      <c r="AF98" s="18" t="str">
        <f t="shared" si="17"/>
        <v>-</v>
      </c>
    </row>
    <row r="99" spans="1:32" x14ac:dyDescent="0.3">
      <c r="A99" s="15">
        <v>0.98</v>
      </c>
      <c r="B99" s="12" t="s">
        <v>38</v>
      </c>
      <c r="C99" s="3" t="s">
        <v>18</v>
      </c>
      <c r="D99" s="18" t="str">
        <f>IFERROR(AVERAGEIFS('BDT''s'!W:W,'BDT''s'!L:L,VMI!C99,'BDT''s'!F:F,VMI!B99,'BDT''s'!E:E,VMI!A99),"-")</f>
        <v>-</v>
      </c>
      <c r="E99" s="18" t="str" cm="1">
        <f t="array" ref="E99">IFERROR(_xlfn.PERCENTILE.INC(_xlfn._xlws.FILTER('BDT''s'!W:W,('BDT''s'!L:L=VMI!C99)*('BDT''s'!F:F=VMI!B99)*('BDT''s'!E:E=VMI!A99)),0.5),"-")</f>
        <v>-</v>
      </c>
      <c r="F99" s="18" t="str" cm="1">
        <f t="array" ref="F99">IFERROR(_xlfn.PERCENTILE.INC(_xlfn._xlws.FILTER('BDT''s'!W:W,('BDT''s'!L:L=VMI!C99)*('BDT''s'!F:F=VMI!B99)*('BDT''s'!E:E=VMI!A99)),0.75),"-")</f>
        <v>-</v>
      </c>
      <c r="G99" s="18">
        <f>IFERROR(_xlfn.MAXIFS('BDT''s'!W:W,'BDT''s'!L:L,VMI!C99,'BDT''s'!F:F,VMI!B99,'BDT''s'!E:E,VMI!A99),"-")</f>
        <v>0</v>
      </c>
      <c r="H99" s="16">
        <f>IFERROR(COUNTIFS('BDT''s'!L:L,VMI!C99,'BDT''s'!F:F,VMI!B99,'BDT''s'!E:E,VMI!A99),"-")</f>
        <v>0</v>
      </c>
      <c r="I99" s="12" t="str">
        <f t="shared" si="9"/>
        <v>-</v>
      </c>
      <c r="J99" s="16" t="str">
        <f t="shared" si="10"/>
        <v>-</v>
      </c>
      <c r="K99" s="18" t="str">
        <f>IFERROR(AVERAGEIFS('BDT''s'!$W:$W,'BDT''s'!$L:$L,VMI!C99,'BDT''s'!$F:$F,VMI!$B99,'BDT''s'!$E:$E,VMI!$A99)*J99,"-")</f>
        <v>-</v>
      </c>
      <c r="L99" s="18" t="str">
        <f t="shared" si="11"/>
        <v>-</v>
      </c>
      <c r="M99" s="3" t="s">
        <v>19</v>
      </c>
      <c r="N99" s="18" t="str">
        <f>IFERROR(AVERAGEIFS('BDT''s'!W:W,'BDT''s'!L:L,VMI!M99,'BDT''s'!F:F,VMI!B99,'BDT''s'!E:E,VMI!A99),"-")</f>
        <v>-</v>
      </c>
      <c r="O99" s="18" t="str" cm="1">
        <f t="array" ref="O99">IFERROR(_xlfn.PERCENTILE.INC(_xlfn._xlws.FILTER('BDT''s'!W:W,('BDT''s'!L:L=VMI!M99)*('BDT''s'!F:F=VMI!B99)*('BDT''s'!E:E=VMI!A99)),0.5),"-")</f>
        <v>-</v>
      </c>
      <c r="P99" s="18" t="str" cm="1">
        <f t="array" ref="P99">IFERROR(_xlfn.PERCENTILE.INC(_xlfn._xlws.FILTER('BDT''s'!W:W,('BDT''s'!L:L=VMI!M99)*('BDT''s'!F:F=VMI!B99)*('BDT''s'!E:E=VMI!A99)),0.75),"-")</f>
        <v>-</v>
      </c>
      <c r="Q99" s="18">
        <f>IFERROR(_xlfn.MAXIFS('BDT''s'!W:W,'BDT''s'!L:L,VMI!M99,'BDT''s'!F:F,VMI!B99,'BDT''s'!E:E,VMI!A99),"-")</f>
        <v>0</v>
      </c>
      <c r="R99" s="16">
        <f>IFERROR(COUNTIFS('BDT''s'!L:L,VMI!M99,'BDT''s'!F:F,VMI!B99,'BDT''s'!E:E,VMI!A99),"-")</f>
        <v>0</v>
      </c>
      <c r="S99" s="12" t="str">
        <f t="shared" si="12"/>
        <v>-</v>
      </c>
      <c r="T99" s="16" t="str">
        <f t="shared" si="13"/>
        <v>-</v>
      </c>
      <c r="U99" s="18" t="str">
        <f>IFERROR(AVERAGEIFS('BDT''s'!$W:$W,'BDT''s'!$L:$L,VMI!M99,'BDT''s'!$F:$F,VMI!$B99,'BDT''s'!$E:$E,VMI!$A99)*T99,"-")</f>
        <v>-</v>
      </c>
      <c r="V99" s="18" t="str">
        <f t="shared" si="14"/>
        <v>-</v>
      </c>
      <c r="W99" s="3" t="s">
        <v>20</v>
      </c>
      <c r="X99" s="18" t="str">
        <f>IFERROR(AVERAGEIFS('BDT''s'!W:W,'BDT''s'!L:L,VMI!W99,'BDT''s'!F:F,VMI!B99,'BDT''s'!E:E,VMI!A99),"-")</f>
        <v>-</v>
      </c>
      <c r="Y99" s="18" t="str" cm="1">
        <f t="array" ref="Y99">IFERROR(_xlfn.PERCENTILE.INC(_xlfn._xlws.FILTER('BDT''s'!W:W,('BDT''s'!L:L=VMI!W99)*('BDT''s'!F:F=VMI!B99)*('BDT''s'!E:E=VMI!A99)),0.5),"-")</f>
        <v>-</v>
      </c>
      <c r="Z99" s="18" t="str" cm="1">
        <f t="array" ref="Z99">IFERROR(_xlfn.PERCENTILE.INC(_xlfn._xlws.FILTER('BDT''s'!W:W,('BDT''s'!L:L=VMI!W99)*('BDT''s'!F:F=VMI!B99)*('BDT''s'!E:E=VMI!A99)),0.75),"-")</f>
        <v>-</v>
      </c>
      <c r="AA99" s="18">
        <f>IFERROR(_xlfn.MAXIFS('BDT''s'!W:W,'BDT''s'!L:L,VMI!W99,'BDT''s'!F:F,VMI!B99,'BDT''s'!E:E,VMI!A99),"-")</f>
        <v>0</v>
      </c>
      <c r="AB99" s="16">
        <f>IFERROR(COUNTIFS('BDT''s'!L:L,VMI!W99,'BDT''s'!F:F,VMI!B99,'BDT''s'!E:E,VMI!A99),"-")</f>
        <v>0</v>
      </c>
      <c r="AC99" s="12" t="str">
        <f t="shared" si="15"/>
        <v>-</v>
      </c>
      <c r="AD99" s="16" t="str">
        <f t="shared" si="16"/>
        <v>-</v>
      </c>
      <c r="AE99" s="18" t="str">
        <f>IFERROR(AVERAGEIFS('BDT''s'!$W:$W,'BDT''s'!$L:$L,VMI!W99,'BDT''s'!$F:$F,VMI!$B99,'BDT''s'!$E:$E,VMI!$A99)*AD99,"-")</f>
        <v>-</v>
      </c>
      <c r="AF99" s="18" t="str">
        <f t="shared" si="17"/>
        <v>-</v>
      </c>
    </row>
    <row r="100" spans="1:32" x14ac:dyDescent="0.3">
      <c r="A100" s="15">
        <v>0.99</v>
      </c>
      <c r="B100" s="12" t="s">
        <v>38</v>
      </c>
      <c r="C100" s="3" t="s">
        <v>18</v>
      </c>
      <c r="D100" s="18" t="str">
        <f>IFERROR(AVERAGEIFS('BDT''s'!W:W,'BDT''s'!L:L,VMI!C100,'BDT''s'!F:F,VMI!B100,'BDT''s'!E:E,VMI!A100),"-")</f>
        <v>-</v>
      </c>
      <c r="E100" s="18" t="str" cm="1">
        <f t="array" ref="E100">IFERROR(_xlfn.PERCENTILE.INC(_xlfn._xlws.FILTER('BDT''s'!W:W,('BDT''s'!L:L=VMI!C100)*('BDT''s'!F:F=VMI!B100)*('BDT''s'!E:E=VMI!A100)),0.5),"-")</f>
        <v>-</v>
      </c>
      <c r="F100" s="18" t="str" cm="1">
        <f t="array" ref="F100">IFERROR(_xlfn.PERCENTILE.INC(_xlfn._xlws.FILTER('BDT''s'!W:W,('BDT''s'!L:L=VMI!C100)*('BDT''s'!F:F=VMI!B100)*('BDT''s'!E:E=VMI!A100)),0.75),"-")</f>
        <v>-</v>
      </c>
      <c r="G100" s="18">
        <f>IFERROR(_xlfn.MAXIFS('BDT''s'!W:W,'BDT''s'!L:L,VMI!C100,'BDT''s'!F:F,VMI!B100,'BDT''s'!E:E,VMI!A100),"-")</f>
        <v>0</v>
      </c>
      <c r="H100" s="16">
        <f>IFERROR(COUNTIFS('BDT''s'!L:L,VMI!C100,'BDT''s'!F:F,VMI!B100,'BDT''s'!E:E,VMI!A100),"-")</f>
        <v>0</v>
      </c>
      <c r="I100" s="12" t="str">
        <f t="shared" si="9"/>
        <v>-</v>
      </c>
      <c r="J100" s="16" t="str">
        <f t="shared" si="10"/>
        <v>-</v>
      </c>
      <c r="K100" s="18" t="str">
        <f>IFERROR(AVERAGEIFS('BDT''s'!$W:$W,'BDT''s'!$L:$L,VMI!C100,'BDT''s'!$F:$F,VMI!$B100,'BDT''s'!$E:$E,VMI!$A100)*J100,"-")</f>
        <v>-</v>
      </c>
      <c r="L100" s="18" t="str">
        <f t="shared" si="11"/>
        <v>-</v>
      </c>
      <c r="M100" s="3" t="s">
        <v>19</v>
      </c>
      <c r="N100" s="18" t="str">
        <f>IFERROR(AVERAGEIFS('BDT''s'!W:W,'BDT''s'!L:L,VMI!M100,'BDT''s'!F:F,VMI!B100,'BDT''s'!E:E,VMI!A100),"-")</f>
        <v>-</v>
      </c>
      <c r="O100" s="18" t="str" cm="1">
        <f t="array" ref="O100">IFERROR(_xlfn.PERCENTILE.INC(_xlfn._xlws.FILTER('BDT''s'!W:W,('BDT''s'!L:L=VMI!M100)*('BDT''s'!F:F=VMI!B100)*('BDT''s'!E:E=VMI!A100)),0.5),"-")</f>
        <v>-</v>
      </c>
      <c r="P100" s="18" t="str" cm="1">
        <f t="array" ref="P100">IFERROR(_xlfn.PERCENTILE.INC(_xlfn._xlws.FILTER('BDT''s'!W:W,('BDT''s'!L:L=VMI!M100)*('BDT''s'!F:F=VMI!B100)*('BDT''s'!E:E=VMI!A100)),0.75),"-")</f>
        <v>-</v>
      </c>
      <c r="Q100" s="18">
        <f>IFERROR(_xlfn.MAXIFS('BDT''s'!W:W,'BDT''s'!L:L,VMI!M100,'BDT''s'!F:F,VMI!B100,'BDT''s'!E:E,VMI!A100),"-")</f>
        <v>0</v>
      </c>
      <c r="R100" s="16">
        <f>IFERROR(COUNTIFS('BDT''s'!L:L,VMI!M100,'BDT''s'!F:F,VMI!B100,'BDT''s'!E:E,VMI!A100),"-")</f>
        <v>0</v>
      </c>
      <c r="S100" s="12" t="str">
        <f t="shared" si="12"/>
        <v>-</v>
      </c>
      <c r="T100" s="16" t="str">
        <f t="shared" si="13"/>
        <v>-</v>
      </c>
      <c r="U100" s="18" t="str">
        <f>IFERROR(AVERAGEIFS('BDT''s'!$W:$W,'BDT''s'!$L:$L,VMI!M100,'BDT''s'!$F:$F,VMI!$B100,'BDT''s'!$E:$E,VMI!$A100)*T100,"-")</f>
        <v>-</v>
      </c>
      <c r="V100" s="18" t="str">
        <f t="shared" si="14"/>
        <v>-</v>
      </c>
      <c r="W100" s="3" t="s">
        <v>20</v>
      </c>
      <c r="X100" s="18" t="str">
        <f>IFERROR(AVERAGEIFS('BDT''s'!W:W,'BDT''s'!L:L,VMI!W100,'BDT''s'!F:F,VMI!B100,'BDT''s'!E:E,VMI!A100),"-")</f>
        <v>-</v>
      </c>
      <c r="Y100" s="18" t="str" cm="1">
        <f t="array" ref="Y100">IFERROR(_xlfn.PERCENTILE.INC(_xlfn._xlws.FILTER('BDT''s'!W:W,('BDT''s'!L:L=VMI!W100)*('BDT''s'!F:F=VMI!B100)*('BDT''s'!E:E=VMI!A100)),0.5),"-")</f>
        <v>-</v>
      </c>
      <c r="Z100" s="18" t="str" cm="1">
        <f t="array" ref="Z100">IFERROR(_xlfn.PERCENTILE.INC(_xlfn._xlws.FILTER('BDT''s'!W:W,('BDT''s'!L:L=VMI!W100)*('BDT''s'!F:F=VMI!B100)*('BDT''s'!E:E=VMI!A100)),0.75),"-")</f>
        <v>-</v>
      </c>
      <c r="AA100" s="18">
        <f>IFERROR(_xlfn.MAXIFS('BDT''s'!W:W,'BDT''s'!L:L,VMI!W100,'BDT''s'!F:F,VMI!B100,'BDT''s'!E:E,VMI!A100),"-")</f>
        <v>0</v>
      </c>
      <c r="AB100" s="16">
        <f>IFERROR(COUNTIFS('BDT''s'!L:L,VMI!W100,'BDT''s'!F:F,VMI!B100,'BDT''s'!E:E,VMI!A100),"-")</f>
        <v>0</v>
      </c>
      <c r="AC100" s="12" t="str">
        <f t="shared" si="15"/>
        <v>-</v>
      </c>
      <c r="AD100" s="16" t="str">
        <f t="shared" si="16"/>
        <v>-</v>
      </c>
      <c r="AE100" s="18" t="str">
        <f>IFERROR(AVERAGEIFS('BDT''s'!$W:$W,'BDT''s'!$L:$L,VMI!W100,'BDT''s'!$F:$F,VMI!$B100,'BDT''s'!$E:$E,VMI!$A100)*AD100,"-")</f>
        <v>-</v>
      </c>
      <c r="AF100" s="18" t="str">
        <f t="shared" si="17"/>
        <v>-</v>
      </c>
    </row>
  </sheetData>
  <conditionalFormatting sqref="I1:I1048576">
    <cfRule type="cellIs" dxfId="11" priority="7" operator="equal">
      <formula>"ALTO"</formula>
    </cfRule>
    <cfRule type="cellIs" dxfId="10" priority="8" operator="equal">
      <formula>"MEDIO"</formula>
    </cfRule>
    <cfRule type="cellIs" dxfId="9" priority="9" operator="equal">
      <formula>"BAIXO"</formula>
    </cfRule>
  </conditionalFormatting>
  <conditionalFormatting sqref="S1:S1048576">
    <cfRule type="cellIs" dxfId="8" priority="4" operator="equal">
      <formula>"ALTO"</formula>
    </cfRule>
    <cfRule type="cellIs" dxfId="7" priority="5" operator="equal">
      <formula>"MEDIO"</formula>
    </cfRule>
    <cfRule type="cellIs" dxfId="6" priority="6" operator="equal">
      <formula>"BAIXO"</formula>
    </cfRule>
  </conditionalFormatting>
  <conditionalFormatting sqref="AC1:AC1048576">
    <cfRule type="cellIs" dxfId="5" priority="1" operator="equal">
      <formula>"ALTO"</formula>
    </cfRule>
    <cfRule type="cellIs" dxfId="4" priority="2" operator="equal">
      <formula>"MEDIO"</formula>
    </cfRule>
    <cfRule type="cellIs" dxfId="3" priority="3" operator="equal">
      <formula>"BAIXO"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8A98-D328-419A-827E-ACDDDFC1328D}">
  <dimension ref="A1:BI7"/>
  <sheetViews>
    <sheetView zoomScale="85" zoomScaleNormal="85" workbookViewId="0">
      <pane ySplit="1" topLeftCell="A2" activePane="bottomLeft" state="frozen"/>
      <selection pane="bottomLeft" activeCell="D12" sqref="D12"/>
    </sheetView>
  </sheetViews>
  <sheetFormatPr defaultColWidth="8.88671875" defaultRowHeight="14.4" x14ac:dyDescent="0.3"/>
  <cols>
    <col min="1" max="1" width="25.44140625" style="3" customWidth="1"/>
    <col min="2" max="2" width="16.6640625" style="12" customWidth="1"/>
    <col min="3" max="3" width="10.6640625" style="18" customWidth="1"/>
    <col min="4" max="4" width="11.44140625" style="18" customWidth="1"/>
    <col min="5" max="5" width="12" style="18" customWidth="1"/>
    <col min="6" max="6" width="15.5546875" style="18" customWidth="1"/>
    <col min="7" max="7" width="16.88671875" style="12" customWidth="1"/>
    <col min="8" max="8" width="13.44140625" style="12" customWidth="1"/>
    <col min="9" max="9" width="13.5546875" style="15" customWidth="1"/>
    <col min="10" max="10" width="13.5546875" style="11" customWidth="1"/>
    <col min="11" max="13" width="10" style="18" customWidth="1"/>
    <col min="14" max="14" width="13.5546875" style="11" customWidth="1"/>
    <col min="15" max="17" width="10" style="18" customWidth="1"/>
    <col min="18" max="18" width="13.5546875" style="11" customWidth="1"/>
    <col min="19" max="21" width="10" style="18" customWidth="1"/>
    <col min="22" max="22" width="13.5546875" style="11" customWidth="1"/>
    <col min="23" max="25" width="10" style="18" customWidth="1"/>
    <col min="26" max="26" width="13.5546875" style="11" customWidth="1"/>
    <col min="27" max="29" width="10" style="18" customWidth="1"/>
    <col min="30" max="30" width="13.5546875" style="11" customWidth="1"/>
    <col min="31" max="33" width="10" style="18" customWidth="1"/>
    <col min="34" max="34" width="13.5546875" style="11" customWidth="1"/>
    <col min="35" max="37" width="10" style="18" customWidth="1"/>
    <col min="38" max="38" width="13.5546875" style="11" customWidth="1"/>
    <col min="39" max="41" width="10" style="18" customWidth="1"/>
    <col min="42" max="42" width="13.5546875" style="11" customWidth="1"/>
    <col min="43" max="45" width="10" style="18" customWidth="1"/>
    <col min="46" max="46" width="13.5546875" style="11" customWidth="1"/>
    <col min="47" max="49" width="10" style="18" customWidth="1"/>
    <col min="50" max="50" width="13.5546875" style="11" customWidth="1"/>
    <col min="51" max="53" width="10" style="18" customWidth="1"/>
    <col min="54" max="16384" width="8.88671875" style="3"/>
  </cols>
  <sheetData>
    <row r="1" spans="1:61" s="1" customFormat="1" ht="31.95" customHeight="1" x14ac:dyDescent="0.3">
      <c r="A1" s="14" t="s">
        <v>42</v>
      </c>
      <c r="B1" s="20" t="s">
        <v>7</v>
      </c>
      <c r="C1" s="17" t="s">
        <v>40</v>
      </c>
      <c r="D1" s="17" t="s">
        <v>56</v>
      </c>
      <c r="E1" s="17" t="s">
        <v>57</v>
      </c>
      <c r="F1" s="17" t="s">
        <v>41</v>
      </c>
      <c r="G1" s="14" t="s">
        <v>39</v>
      </c>
      <c r="H1" s="14" t="s">
        <v>59</v>
      </c>
      <c r="I1" s="14" t="s">
        <v>60</v>
      </c>
      <c r="J1" s="14" t="s">
        <v>43</v>
      </c>
      <c r="K1" s="17" t="s">
        <v>54</v>
      </c>
      <c r="L1" s="17" t="s">
        <v>55</v>
      </c>
      <c r="M1" s="17" t="s">
        <v>58</v>
      </c>
      <c r="N1" s="14" t="s">
        <v>44</v>
      </c>
      <c r="O1" s="17" t="s">
        <v>54</v>
      </c>
      <c r="P1" s="17" t="s">
        <v>55</v>
      </c>
      <c r="Q1" s="17" t="s">
        <v>58</v>
      </c>
      <c r="R1" s="14" t="s">
        <v>45</v>
      </c>
      <c r="S1" s="17" t="s">
        <v>54</v>
      </c>
      <c r="T1" s="17" t="s">
        <v>55</v>
      </c>
      <c r="U1" s="17" t="s">
        <v>58</v>
      </c>
      <c r="V1" s="14" t="s">
        <v>46</v>
      </c>
      <c r="W1" s="17" t="s">
        <v>54</v>
      </c>
      <c r="X1" s="17" t="s">
        <v>55</v>
      </c>
      <c r="Y1" s="17" t="s">
        <v>58</v>
      </c>
      <c r="Z1" s="14" t="s">
        <v>47</v>
      </c>
      <c r="AA1" s="17" t="s">
        <v>54</v>
      </c>
      <c r="AB1" s="17" t="s">
        <v>55</v>
      </c>
      <c r="AC1" s="17" t="s">
        <v>58</v>
      </c>
      <c r="AD1" s="14" t="s">
        <v>48</v>
      </c>
      <c r="AE1" s="17" t="s">
        <v>54</v>
      </c>
      <c r="AF1" s="17" t="s">
        <v>55</v>
      </c>
      <c r="AG1" s="17" t="s">
        <v>58</v>
      </c>
      <c r="AH1" s="14" t="s">
        <v>49</v>
      </c>
      <c r="AI1" s="17" t="s">
        <v>54</v>
      </c>
      <c r="AJ1" s="17" t="s">
        <v>55</v>
      </c>
      <c r="AK1" s="17" t="s">
        <v>58</v>
      </c>
      <c r="AL1" s="14" t="s">
        <v>50</v>
      </c>
      <c r="AM1" s="17" t="s">
        <v>54</v>
      </c>
      <c r="AN1" s="17" t="s">
        <v>55</v>
      </c>
      <c r="AO1" s="17" t="s">
        <v>58</v>
      </c>
      <c r="AP1" s="14" t="s">
        <v>51</v>
      </c>
      <c r="AQ1" s="17" t="s">
        <v>54</v>
      </c>
      <c r="AR1" s="17" t="s">
        <v>55</v>
      </c>
      <c r="AS1" s="17" t="s">
        <v>58</v>
      </c>
      <c r="AT1" s="14" t="s">
        <v>52</v>
      </c>
      <c r="AU1" s="17" t="s">
        <v>54</v>
      </c>
      <c r="AV1" s="17" t="s">
        <v>55</v>
      </c>
      <c r="AW1" s="17" t="s">
        <v>58</v>
      </c>
      <c r="AX1" s="14" t="s">
        <v>53</v>
      </c>
      <c r="AY1" s="17" t="s">
        <v>54</v>
      </c>
      <c r="AZ1" s="17" t="s">
        <v>55</v>
      </c>
      <c r="BA1" s="17" t="s">
        <v>58</v>
      </c>
      <c r="BB1" s="17"/>
      <c r="BC1" s="14"/>
      <c r="BD1" s="17"/>
      <c r="BE1" s="17"/>
      <c r="BF1" s="17"/>
      <c r="BG1" s="17"/>
      <c r="BH1" s="17"/>
      <c r="BI1" s="14"/>
    </row>
    <row r="2" spans="1:61" x14ac:dyDescent="0.3">
      <c r="A2" s="3" t="s">
        <v>130</v>
      </c>
      <c r="B2" s="12" t="str">
        <f>IFERROR(VLOOKUP(A2,Cadastros!B:D,3,FALSE),"-")</f>
        <v>CORTE</v>
      </c>
      <c r="C2" s="18">
        <f>IFERROR(AVERAGEIFS('BDT''s'!W:W,'BDT''s'!K:K,'Metas Produção'!A2,'BDT''s'!L:L,'Metas Produção'!B2),"-")</f>
        <v>85.81772797549371</v>
      </c>
      <c r="D2" s="18" cm="1">
        <f t="array" ref="D2">IFERROR(_xlfn.PERCENTILE.INC(_xlfn._xlws.FILTER('BDT''s'!W:W,('BDT''s'!K:K='Metas Produção'!A2)*('BDT''s'!L:L='Metas Produção'!B2)),0.5),"-")</f>
        <v>85.85114222549737</v>
      </c>
      <c r="E2" s="18" cm="1">
        <f t="array" ref="E2">IFERROR(_xlfn.PERCENTILE.INC(_xlfn._xlws.FILTER('BDT''s'!W:W,('BDT''s'!K:K='Metas Produção'!A2)*('BDT''s'!L:L='Metas Produção'!B2)),0.75),"-")</f>
        <v>90.217391304347501</v>
      </c>
      <c r="F2" s="18">
        <f>IFERROR(_xlfn.MAXIFS('BDT''s'!W:W,'BDT''s'!K:K,'Metas Produção'!A2,'BDT''s'!L:L,'Metas Produção'!B2),"-")</f>
        <v>100</v>
      </c>
      <c r="G2" s="12">
        <f>IFERROR(COUNTIFS('BDT''s'!K:K,'Metas Produção'!A2,'BDT''s'!L:L,'Metas Produção'!B2),"-")</f>
        <v>4</v>
      </c>
      <c r="H2" s="12" t="str">
        <f t="shared" ref="H2:H7" si="0">IFERROR(IF(C2&lt;D2,"BAIXO",IF(AND(C2&gt;=D2,C2&lt;E2),"MEDIO",IF(AND(C2&gt;=E2,C2&lt;F2),"ALTO","-"))),"-")</f>
        <v>BAIXO</v>
      </c>
      <c r="I2" s="15">
        <f t="shared" ref="I2:I7" si="1">IFERROR(AVERAGE((D2/C2),(E2/C2)),"-")</f>
        <v>1.025828448756668</v>
      </c>
      <c r="J2" s="11" t="s">
        <v>28</v>
      </c>
      <c r="K2" s="18" t="str">
        <f>IFERROR(AVERAGEIFS('BDT''s'!$W:$W,'BDT''s'!$K:$K,'Metas Produção'!$A2,'BDT''s'!$L:$L,'Metas Produção'!$B2,'BDT''s'!$F:$F,'Metas Produção'!J2)*'Metas Produção'!$I2,"-")</f>
        <v>-</v>
      </c>
      <c r="L2" s="18" t="str">
        <f t="shared" ref="L2:L7" si="2">IFERROR(K2*$I2,"-")</f>
        <v>-</v>
      </c>
      <c r="M2" s="18">
        <f>IFERROR(_xlfn.MAXIFS('BDT''s'!$W:$W,'BDT''s'!$K:$K,'Metas Produção'!$A2,'BDT''s'!$L:$L,'Metas Produção'!$B2,'BDT''s'!$F:$F,'Metas Produção'!J2),"-")</f>
        <v>0</v>
      </c>
      <c r="N2" s="11" t="s">
        <v>29</v>
      </c>
      <c r="O2" s="18" t="str">
        <f>IFERROR(AVERAGEIFS('BDT''s'!$W:$W,'BDT''s'!$K:$K,'Metas Produção'!$A2,'BDT''s'!$L:$L,'Metas Produção'!$B2,'BDT''s'!$F:$F,'Metas Produção'!N2)*'Metas Produção'!$I2,"-")</f>
        <v>-</v>
      </c>
      <c r="P2" s="18" t="str">
        <f t="shared" ref="P2:P7" si="3">IFERROR(O2*$I2,"-")</f>
        <v>-</v>
      </c>
      <c r="Q2" s="18">
        <f>IFERROR(_xlfn.MAXIFS('BDT''s'!$W:$W,'BDT''s'!$K:$K,'Metas Produção'!$A2,'BDT''s'!$L:$L,'Metas Produção'!$B2,'BDT''s'!$F:$F,'Metas Produção'!N2),"-")</f>
        <v>0</v>
      </c>
      <c r="R2" s="11" t="s">
        <v>30</v>
      </c>
      <c r="S2" s="18">
        <f>IFERROR(AVERAGEIFS('BDT''s'!$W:$W,'BDT''s'!$K:$K,'Metas Produção'!$A2,'BDT''s'!$L:$L,'Metas Produção'!$B2,'BDT''s'!$F:$F,'Metas Produção'!R2)*'Metas Produção'!$I2,"-")</f>
        <v>88.034266764922421</v>
      </c>
      <c r="T2" s="18">
        <f t="shared" ref="T2:T7" si="4">IFERROR(S2*$I2,"-")</f>
        <v>90.308055312891057</v>
      </c>
      <c r="U2" s="18">
        <f>IFERROR(_xlfn.MAXIFS('BDT''s'!$W:$W,'BDT''s'!$K:$K,'Metas Produção'!$A2,'BDT''s'!$L:$L,'Metas Produção'!$B2,'BDT''s'!$F:$F,'Metas Produção'!R2),"-")</f>
        <v>100</v>
      </c>
      <c r="V2" s="11" t="s">
        <v>31</v>
      </c>
      <c r="W2" s="18" t="str">
        <f>IFERROR(AVERAGEIFS('BDT''s'!$W:$W,'BDT''s'!$K:$K,'Metas Produção'!$A2,'BDT''s'!$L:$L,'Metas Produção'!$B2,'BDT''s'!$F:$F,'Metas Produção'!V2)*'Metas Produção'!$I2,"-")</f>
        <v>-</v>
      </c>
      <c r="X2" s="18" t="str">
        <f t="shared" ref="X2:X7" si="5">IFERROR(W2*$I2,"-")</f>
        <v>-</v>
      </c>
      <c r="Y2" s="18">
        <f>IFERROR(_xlfn.MAXIFS('BDT''s'!$W:$W,'BDT''s'!$K:$K,'Metas Produção'!$A2,'BDT''s'!$L:$L,'Metas Produção'!$B2,'BDT''s'!$F:$F,'Metas Produção'!V2),"-")</f>
        <v>0</v>
      </c>
      <c r="Z2" s="11" t="s">
        <v>32</v>
      </c>
      <c r="AA2" s="18" t="str">
        <f>IFERROR(AVERAGEIFS('BDT''s'!$W:$W,'BDT''s'!$K:$K,'Metas Produção'!$A2,'BDT''s'!$L:$L,'Metas Produção'!$B2,'BDT''s'!$F:$F,'Metas Produção'!Z2)*'Metas Produção'!$I2,"-")</f>
        <v>-</v>
      </c>
      <c r="AB2" s="18" t="str">
        <f t="shared" ref="AB2:AB7" si="6">IFERROR(AA2*$I2,"-")</f>
        <v>-</v>
      </c>
      <c r="AC2" s="18">
        <f>IFERROR(_xlfn.MAXIFS('BDT''s'!$W:$W,'BDT''s'!$K:$K,'Metas Produção'!$A2,'BDT''s'!$L:$L,'Metas Produção'!$B2,'BDT''s'!$F:$F,'Metas Produção'!Z2),"-")</f>
        <v>0</v>
      </c>
      <c r="AD2" s="11" t="s">
        <v>33</v>
      </c>
      <c r="AE2" s="18" t="str">
        <f>IFERROR(AVERAGEIFS('BDT''s'!$W:$W,'BDT''s'!$K:$K,'Metas Produção'!$A2,'BDT''s'!$L:$L,'Metas Produção'!$B2,'BDT''s'!$F:$F,'Metas Produção'!AD2)*'Metas Produção'!$I2,"-")</f>
        <v>-</v>
      </c>
      <c r="AF2" s="18" t="str">
        <f t="shared" ref="AF2:AF7" si="7">IFERROR(AE2*$I2,"-")</f>
        <v>-</v>
      </c>
      <c r="AG2" s="18">
        <f>IFERROR(_xlfn.MAXIFS('BDT''s'!$W:$W,'BDT''s'!$K:$K,'Metas Produção'!$A2,'BDT''s'!$L:$L,'Metas Produção'!$B2,'BDT''s'!$F:$F,'Metas Produção'!AD2),"-")</f>
        <v>0</v>
      </c>
      <c r="AH2" s="11" t="s">
        <v>34</v>
      </c>
      <c r="AI2" s="18" t="str">
        <f>IFERROR(AVERAGEIFS('BDT''s'!$W:$W,'BDT''s'!$K:$K,'Metas Produção'!$A2,'BDT''s'!$L:$L,'Metas Produção'!$B2,'BDT''s'!$F:$F,'Metas Produção'!AH2)*'Metas Produção'!$I2,"-")</f>
        <v>-</v>
      </c>
      <c r="AJ2" s="18" t="str">
        <f t="shared" ref="AJ2:AJ7" si="8">IFERROR(AI2*$I2,"-")</f>
        <v>-</v>
      </c>
      <c r="AK2" s="18">
        <f>IFERROR(_xlfn.MAXIFS('BDT''s'!$W:$W,'BDT''s'!$K:$K,'Metas Produção'!$A2,'BDT''s'!$L:$L,'Metas Produção'!$B2,'BDT''s'!$F:$F,'Metas Produção'!AH2),"-")</f>
        <v>0</v>
      </c>
      <c r="AL2" s="11" t="s">
        <v>35</v>
      </c>
      <c r="AM2" s="18" t="str">
        <f>IFERROR(AVERAGEIFS('BDT''s'!$W:$W,'BDT''s'!$K:$K,'Metas Produção'!$A2,'BDT''s'!$L:$L,'Metas Produção'!$B2,'BDT''s'!$F:$F,'Metas Produção'!AL2)*'Metas Produção'!$I2,"-")</f>
        <v>-</v>
      </c>
      <c r="AN2" s="18" t="str">
        <f t="shared" ref="AN2:AN7" si="9">IFERROR(AM2*$I2,"-")</f>
        <v>-</v>
      </c>
      <c r="AO2" s="18">
        <f>IFERROR(_xlfn.MAXIFS('BDT''s'!$W:$W,'BDT''s'!$K:$K,'Metas Produção'!$A2,'BDT''s'!$L:$L,'Metas Produção'!$B2,'BDT''s'!$F:$F,'Metas Produção'!AL2),"-")</f>
        <v>0</v>
      </c>
      <c r="AP2" s="11" t="s">
        <v>36</v>
      </c>
      <c r="AQ2" s="18" t="str">
        <f>IFERROR(AVERAGEIFS('BDT''s'!$W:$W,'BDT''s'!$K:$K,'Metas Produção'!$A2,'BDT''s'!$L:$L,'Metas Produção'!$B2,'BDT''s'!$F:$F,'Metas Produção'!AP2)*'Metas Produção'!$I2,"-")</f>
        <v>-</v>
      </c>
      <c r="AR2" s="18" t="str">
        <f t="shared" ref="AR2:AR7" si="10">IFERROR(AQ2*$I2,"-")</f>
        <v>-</v>
      </c>
      <c r="AS2" s="18">
        <f>IFERROR(_xlfn.MAXIFS('BDT''s'!$W:$W,'BDT''s'!$K:$K,'Metas Produção'!$A2,'BDT''s'!$L:$L,'Metas Produção'!$B2,'BDT''s'!$F:$F,'Metas Produção'!AP2),"-")</f>
        <v>0</v>
      </c>
      <c r="AT2" s="11" t="s">
        <v>37</v>
      </c>
      <c r="AU2" s="18" t="str">
        <f>IFERROR(AVERAGEIFS('BDT''s'!$W:$W,'BDT''s'!$K:$K,'Metas Produção'!$A2,'BDT''s'!$L:$L,'Metas Produção'!$B2,'BDT''s'!$F:$F,'Metas Produção'!AT2)*'Metas Produção'!$I2,"-")</f>
        <v>-</v>
      </c>
      <c r="AV2" s="18" t="str">
        <f t="shared" ref="AV2:AV7" si="11">IFERROR(AU2*$I2,"-")</f>
        <v>-</v>
      </c>
      <c r="AW2" s="18">
        <f>IFERROR(_xlfn.MAXIFS('BDT''s'!$W:$W,'BDT''s'!$K:$K,'Metas Produção'!$A2,'BDT''s'!$L:$L,'Metas Produção'!$B2,'BDT''s'!$F:$F,'Metas Produção'!AT2),"-")</f>
        <v>0</v>
      </c>
      <c r="AX2" s="11" t="s">
        <v>38</v>
      </c>
      <c r="AY2" s="18" t="str">
        <f>IFERROR(AVERAGEIFS('BDT''s'!$W:$W,'BDT''s'!$K:$K,'Metas Produção'!$A2,'BDT''s'!$L:$L,'Metas Produção'!$B2,'BDT''s'!$F:$F,'Metas Produção'!AX2)*'Metas Produção'!$I2,"-")</f>
        <v>-</v>
      </c>
      <c r="AZ2" s="18" t="str">
        <f t="shared" ref="AZ2:AZ7" si="12">IFERROR(AY2*$I2,"-")</f>
        <v>-</v>
      </c>
      <c r="BA2" s="18">
        <f>IFERROR(_xlfn.MAXIFS('BDT''s'!$W:$W,'BDT''s'!$K:$K,'Metas Produção'!$A2,'BDT''s'!$L:$L,'Metas Produção'!$B2,'BDT''s'!$F:$F,'Metas Produção'!AX2),"-")</f>
        <v>0</v>
      </c>
    </row>
    <row r="3" spans="1:61" x14ac:dyDescent="0.3">
      <c r="A3" s="3" t="s">
        <v>131</v>
      </c>
      <c r="B3" s="12" t="str">
        <f>IFERROR(VLOOKUP(A3,Cadastros!B:D,3,FALSE),"-")</f>
        <v>CORTE</v>
      </c>
      <c r="C3" s="18">
        <f>IFERROR(AVERAGEIFS('BDT''s'!W:W,'BDT''s'!K:K,'Metas Produção'!A3,'BDT''s'!L:L,'Metas Produção'!B3),"-")</f>
        <v>124.16185848770097</v>
      </c>
      <c r="D3" s="18" cm="1">
        <f t="array" ref="D3">IFERROR(_xlfn.PERCENTILE.INC(_xlfn._xlws.FILTER('BDT''s'!W:W,('BDT''s'!K:K='Metas Produção'!A3)*('BDT''s'!L:L='Metas Produção'!B3)),0.5),"-")</f>
        <v>114.05405405405449</v>
      </c>
      <c r="E3" s="18" cm="1">
        <f t="array" ref="E3">IFERROR(_xlfn.PERCENTILE.INC(_xlfn._xlws.FILTER('BDT''s'!W:W,('BDT''s'!K:K='Metas Produção'!A3)*('BDT''s'!L:L='Metas Produção'!B3)),0.75),"-")</f>
        <v>132.13483146067372</v>
      </c>
      <c r="F3" s="18">
        <f>IFERROR(_xlfn.MAXIFS('BDT''s'!W:W,'BDT''s'!K:K,'Metas Produção'!A3,'BDT''s'!L:L,'Metas Produção'!B3),"-")</f>
        <v>168.53932584269489</v>
      </c>
      <c r="G3" s="12">
        <f>IFERROR(COUNTIFS('BDT''s'!K:K,'Metas Produção'!A3,'BDT''s'!L:L,'Metas Produção'!B3),"-")</f>
        <v>4</v>
      </c>
      <c r="H3" s="12" t="str">
        <f t="shared" si="0"/>
        <v>MEDIO</v>
      </c>
      <c r="I3" s="15">
        <f t="shared" si="1"/>
        <v>0.99140303034008959</v>
      </c>
      <c r="J3" s="11" t="s">
        <v>28</v>
      </c>
      <c r="K3" s="18" t="str">
        <f>IFERROR(AVERAGEIFS('BDT''s'!$W:$W,'BDT''s'!$K:$K,'Metas Produção'!$A3,'BDT''s'!$L:$L,'Metas Produção'!$B3,'BDT''s'!$F:$F,'Metas Produção'!J3)*'Metas Produção'!$I3,"-")</f>
        <v>-</v>
      </c>
      <c r="L3" s="18" t="str">
        <f t="shared" si="2"/>
        <v>-</v>
      </c>
      <c r="M3" s="18">
        <f>IFERROR(_xlfn.MAXIFS('BDT''s'!$W:$W,'BDT''s'!$K:$K,'Metas Produção'!$A3,'BDT''s'!$L:$L,'Metas Produção'!$B3,'BDT''s'!$F:$F,'Metas Produção'!J3),"-")</f>
        <v>0</v>
      </c>
      <c r="N3" s="11" t="s">
        <v>29</v>
      </c>
      <c r="O3" s="18" t="str">
        <f>IFERROR(AVERAGEIFS('BDT''s'!$W:$W,'BDT''s'!$K:$K,'Metas Produção'!$A3,'BDT''s'!$L:$L,'Metas Produção'!$B3,'BDT''s'!$F:$F,'Metas Produção'!N3)*'Metas Produção'!$I3,"-")</f>
        <v>-</v>
      </c>
      <c r="P3" s="18" t="str">
        <f t="shared" si="3"/>
        <v>-</v>
      </c>
      <c r="Q3" s="18">
        <f>IFERROR(_xlfn.MAXIFS('BDT''s'!$W:$W,'BDT''s'!$K:$K,'Metas Produção'!$A3,'BDT''s'!$L:$L,'Metas Produção'!$B3,'BDT''s'!$F:$F,'Metas Produção'!N3),"-")</f>
        <v>0</v>
      </c>
      <c r="R3" s="11" t="s">
        <v>30</v>
      </c>
      <c r="S3" s="18" t="str">
        <f>IFERROR(AVERAGEIFS('BDT''s'!$W:$W,'BDT''s'!$K:$K,'Metas Produção'!$A3,'BDT''s'!$L:$L,'Metas Produção'!$B3,'BDT''s'!$F:$F,'Metas Produção'!R3)*'Metas Produção'!$I3,"-")</f>
        <v>-</v>
      </c>
      <c r="T3" s="18" t="str">
        <f t="shared" si="4"/>
        <v>-</v>
      </c>
      <c r="U3" s="18">
        <f>IFERROR(_xlfn.MAXIFS('BDT''s'!$W:$W,'BDT''s'!$K:$K,'Metas Produção'!$A3,'BDT''s'!$L:$L,'Metas Produção'!$B3,'BDT''s'!$F:$F,'Metas Produção'!R3),"-")</f>
        <v>0</v>
      </c>
      <c r="V3" s="11" t="s">
        <v>31</v>
      </c>
      <c r="W3" s="18">
        <f>IFERROR(AVERAGEIFS('BDT''s'!$W:$W,'BDT''s'!$K:$K,'Metas Produção'!$A3,'BDT''s'!$L:$L,'Metas Produção'!$B3,'BDT''s'!$F:$F,'Metas Produção'!V3)*'Metas Produção'!$I3,"-")</f>
        <v>123.09444275736411</v>
      </c>
      <c r="X3" s="18">
        <f t="shared" si="5"/>
        <v>122.03620356767547</v>
      </c>
      <c r="Y3" s="18">
        <f>IFERROR(_xlfn.MAXIFS('BDT''s'!$W:$W,'BDT''s'!$K:$K,'Metas Produção'!$A3,'BDT''s'!$L:$L,'Metas Produção'!$B3,'BDT''s'!$F:$F,'Metas Produção'!V3),"-")</f>
        <v>168.53932584269489</v>
      </c>
      <c r="Z3" s="11" t="s">
        <v>32</v>
      </c>
      <c r="AA3" s="18" t="str">
        <f>IFERROR(AVERAGEIFS('BDT''s'!$W:$W,'BDT''s'!$K:$K,'Metas Produção'!$A3,'BDT''s'!$L:$L,'Metas Produção'!$B3,'BDT''s'!$F:$F,'Metas Produção'!Z3)*'Metas Produção'!$I3,"-")</f>
        <v>-</v>
      </c>
      <c r="AB3" s="18" t="str">
        <f t="shared" si="6"/>
        <v>-</v>
      </c>
      <c r="AC3" s="18">
        <f>IFERROR(_xlfn.MAXIFS('BDT''s'!$W:$W,'BDT''s'!$K:$K,'Metas Produção'!$A3,'BDT''s'!$L:$L,'Metas Produção'!$B3,'BDT''s'!$F:$F,'Metas Produção'!Z3),"-")</f>
        <v>0</v>
      </c>
      <c r="AD3" s="11" t="s">
        <v>33</v>
      </c>
      <c r="AE3" s="18" t="str">
        <f>IFERROR(AVERAGEIFS('BDT''s'!$W:$W,'BDT''s'!$K:$K,'Metas Produção'!$A3,'BDT''s'!$L:$L,'Metas Produção'!$B3,'BDT''s'!$F:$F,'Metas Produção'!AD3)*'Metas Produção'!$I3,"-")</f>
        <v>-</v>
      </c>
      <c r="AF3" s="18" t="str">
        <f t="shared" si="7"/>
        <v>-</v>
      </c>
      <c r="AG3" s="18">
        <f>IFERROR(_xlfn.MAXIFS('BDT''s'!$W:$W,'BDT''s'!$K:$K,'Metas Produção'!$A3,'BDT''s'!$L:$L,'Metas Produção'!$B3,'BDT''s'!$F:$F,'Metas Produção'!AD3),"-")</f>
        <v>0</v>
      </c>
      <c r="AH3" s="11" t="s">
        <v>34</v>
      </c>
      <c r="AI3" s="18" t="str">
        <f>IFERROR(AVERAGEIFS('BDT''s'!$W:$W,'BDT''s'!$K:$K,'Metas Produção'!$A3,'BDT''s'!$L:$L,'Metas Produção'!$B3,'BDT''s'!$F:$F,'Metas Produção'!AH3)*'Metas Produção'!$I3,"-")</f>
        <v>-</v>
      </c>
      <c r="AJ3" s="18" t="str">
        <f t="shared" si="8"/>
        <v>-</v>
      </c>
      <c r="AK3" s="18">
        <f>IFERROR(_xlfn.MAXIFS('BDT''s'!$W:$W,'BDT''s'!$K:$K,'Metas Produção'!$A3,'BDT''s'!$L:$L,'Metas Produção'!$B3,'BDT''s'!$F:$F,'Metas Produção'!AH3),"-")</f>
        <v>0</v>
      </c>
      <c r="AL3" s="11" t="s">
        <v>35</v>
      </c>
      <c r="AM3" s="18" t="str">
        <f>IFERROR(AVERAGEIFS('BDT''s'!$W:$W,'BDT''s'!$K:$K,'Metas Produção'!$A3,'BDT''s'!$L:$L,'Metas Produção'!$B3,'BDT''s'!$F:$F,'Metas Produção'!AL3)*'Metas Produção'!$I3,"-")</f>
        <v>-</v>
      </c>
      <c r="AN3" s="18" t="str">
        <f t="shared" si="9"/>
        <v>-</v>
      </c>
      <c r="AO3" s="18">
        <f>IFERROR(_xlfn.MAXIFS('BDT''s'!$W:$W,'BDT''s'!$K:$K,'Metas Produção'!$A3,'BDT''s'!$L:$L,'Metas Produção'!$B3,'BDT''s'!$F:$F,'Metas Produção'!AL3),"-")</f>
        <v>0</v>
      </c>
      <c r="AP3" s="11" t="s">
        <v>36</v>
      </c>
      <c r="AQ3" s="18" t="str">
        <f>IFERROR(AVERAGEIFS('BDT''s'!$W:$W,'BDT''s'!$K:$K,'Metas Produção'!$A3,'BDT''s'!$L:$L,'Metas Produção'!$B3,'BDT''s'!$F:$F,'Metas Produção'!AP3)*'Metas Produção'!$I3,"-")</f>
        <v>-</v>
      </c>
      <c r="AR3" s="18" t="str">
        <f t="shared" si="10"/>
        <v>-</v>
      </c>
      <c r="AS3" s="18">
        <f>IFERROR(_xlfn.MAXIFS('BDT''s'!$W:$W,'BDT''s'!$K:$K,'Metas Produção'!$A3,'BDT''s'!$L:$L,'Metas Produção'!$B3,'BDT''s'!$F:$F,'Metas Produção'!AP3),"-")</f>
        <v>0</v>
      </c>
      <c r="AT3" s="11" t="s">
        <v>37</v>
      </c>
      <c r="AU3" s="18" t="str">
        <f>IFERROR(AVERAGEIFS('BDT''s'!$W:$W,'BDT''s'!$K:$K,'Metas Produção'!$A3,'BDT''s'!$L:$L,'Metas Produção'!$B3,'BDT''s'!$F:$F,'Metas Produção'!AT3)*'Metas Produção'!$I3,"-")</f>
        <v>-</v>
      </c>
      <c r="AV3" s="18" t="str">
        <f t="shared" si="11"/>
        <v>-</v>
      </c>
      <c r="AW3" s="18">
        <f>IFERROR(_xlfn.MAXIFS('BDT''s'!$W:$W,'BDT''s'!$K:$K,'Metas Produção'!$A3,'BDT''s'!$L:$L,'Metas Produção'!$B3,'BDT''s'!$F:$F,'Metas Produção'!AT3),"-")</f>
        <v>0</v>
      </c>
      <c r="AX3" s="11" t="s">
        <v>38</v>
      </c>
      <c r="AY3" s="18" t="str">
        <f>IFERROR(AVERAGEIFS('BDT''s'!$W:$W,'BDT''s'!$K:$K,'Metas Produção'!$A3,'BDT''s'!$L:$L,'Metas Produção'!$B3,'BDT''s'!$F:$F,'Metas Produção'!AX3)*'Metas Produção'!$I3,"-")</f>
        <v>-</v>
      </c>
      <c r="AZ3" s="18" t="str">
        <f t="shared" si="12"/>
        <v>-</v>
      </c>
      <c r="BA3" s="18">
        <f>IFERROR(_xlfn.MAXIFS('BDT''s'!$W:$W,'BDT''s'!$K:$K,'Metas Produção'!$A3,'BDT''s'!$L:$L,'Metas Produção'!$B3,'BDT''s'!$F:$F,'Metas Produção'!AX3),"-")</f>
        <v>0</v>
      </c>
    </row>
    <row r="4" spans="1:61" x14ac:dyDescent="0.3">
      <c r="A4" s="3" t="s">
        <v>132</v>
      </c>
      <c r="B4" s="12" t="str">
        <f>IFERROR(VLOOKUP(A4,Cadastros!B:D,3,FALSE),"-")</f>
        <v>ARRASTE</v>
      </c>
      <c r="C4" s="18">
        <f>IFERROR(AVERAGEIFS('BDT''s'!W:W,'BDT''s'!K:K,'Metas Produção'!A4,'BDT''s'!L:L,'Metas Produção'!B4),"-")</f>
        <v>123.83928571428572</v>
      </c>
      <c r="D4" s="18" cm="1">
        <f t="array" ref="D4">IFERROR(_xlfn.PERCENTILE.INC(_xlfn._xlws.FILTER('BDT''s'!W:W,('BDT''s'!K:K='Metas Produção'!A4)*('BDT''s'!L:L='Metas Produção'!B4)),0.5),"-")</f>
        <v>121.42857142857143</v>
      </c>
      <c r="E4" s="18" cm="1">
        <f t="array" ref="E4">IFERROR(_xlfn.PERCENTILE.INC(_xlfn._xlws.FILTER('BDT''s'!W:W,('BDT''s'!K:K='Metas Produção'!A4)*('BDT''s'!L:L='Metas Produção'!B4)),0.75),"-")</f>
        <v>160</v>
      </c>
      <c r="F4" s="18">
        <f>IFERROR(_xlfn.MAXIFS('BDT''s'!W:W,'BDT''s'!K:K,'Metas Produção'!A4,'BDT''s'!L:L,'Metas Produção'!B4),"-")</f>
        <v>190</v>
      </c>
      <c r="G4" s="12">
        <f>IFERROR(COUNTIFS('BDT''s'!K:K,'Metas Produção'!A4,'BDT''s'!L:L,'Metas Produção'!B4),"-")</f>
        <v>4</v>
      </c>
      <c r="H4" s="12" t="str">
        <f t="shared" si="0"/>
        <v>MEDIO</v>
      </c>
      <c r="I4" s="15">
        <f t="shared" si="1"/>
        <v>1.1362653208363374</v>
      </c>
      <c r="J4" s="11" t="s">
        <v>28</v>
      </c>
      <c r="K4" s="18" t="str">
        <f>IFERROR(AVERAGEIFS('BDT''s'!$W:$W,'BDT''s'!$K:$K,'Metas Produção'!$A4,'BDT''s'!$L:$L,'Metas Produção'!$B4,'BDT''s'!$F:$F,'Metas Produção'!J4)*'Metas Produção'!$I4,"-")</f>
        <v>-</v>
      </c>
      <c r="L4" s="18" t="str">
        <f t="shared" si="2"/>
        <v>-</v>
      </c>
      <c r="M4" s="18">
        <f>IFERROR(_xlfn.MAXIFS('BDT''s'!$W:$W,'BDT''s'!$K:$K,'Metas Produção'!$A4,'BDT''s'!$L:$L,'Metas Produção'!$B4,'BDT''s'!$F:$F,'Metas Produção'!J4),"-")</f>
        <v>0</v>
      </c>
      <c r="N4" s="11" t="s">
        <v>29</v>
      </c>
      <c r="O4" s="18" t="str">
        <f>IFERROR(AVERAGEIFS('BDT''s'!$W:$W,'BDT''s'!$K:$K,'Metas Produção'!$A4,'BDT''s'!$L:$L,'Metas Produção'!$B4,'BDT''s'!$F:$F,'Metas Produção'!N4)*'Metas Produção'!$I4,"-")</f>
        <v>-</v>
      </c>
      <c r="P4" s="18" t="str">
        <f t="shared" si="3"/>
        <v>-</v>
      </c>
      <c r="Q4" s="18">
        <f>IFERROR(_xlfn.MAXIFS('BDT''s'!$W:$W,'BDT''s'!$K:$K,'Metas Produção'!$A4,'BDT''s'!$L:$L,'Metas Produção'!$B4,'BDT''s'!$F:$F,'Metas Produção'!N4),"-")</f>
        <v>0</v>
      </c>
      <c r="R4" s="11" t="s">
        <v>30</v>
      </c>
      <c r="S4" s="18">
        <f>IFERROR(AVERAGEIFS('BDT''s'!$W:$W,'BDT''s'!$K:$K,'Metas Produção'!$A4,'BDT''s'!$L:$L,'Metas Produção'!$B4,'BDT''s'!$F:$F,'Metas Produção'!R4)*'Metas Produção'!$I4,"-")</f>
        <v>140.71428571428572</v>
      </c>
      <c r="T4" s="18">
        <f t="shared" si="4"/>
        <v>159.88876300339891</v>
      </c>
      <c r="U4" s="18">
        <f>IFERROR(_xlfn.MAXIFS('BDT''s'!$W:$W,'BDT''s'!$K:$K,'Metas Produção'!$A4,'BDT''s'!$L:$L,'Metas Produção'!$B4,'BDT''s'!$F:$F,'Metas Produção'!R4),"-")</f>
        <v>190</v>
      </c>
      <c r="V4" s="11" t="s">
        <v>31</v>
      </c>
      <c r="W4" s="18" t="str">
        <f>IFERROR(AVERAGEIFS('BDT''s'!$W:$W,'BDT''s'!$K:$K,'Metas Produção'!$A4,'BDT''s'!$L:$L,'Metas Produção'!$B4,'BDT''s'!$F:$F,'Metas Produção'!V4)*'Metas Produção'!$I4,"-")</f>
        <v>-</v>
      </c>
      <c r="X4" s="18" t="str">
        <f t="shared" si="5"/>
        <v>-</v>
      </c>
      <c r="Y4" s="18">
        <f>IFERROR(_xlfn.MAXIFS('BDT''s'!$W:$W,'BDT''s'!$K:$K,'Metas Produção'!$A4,'BDT''s'!$L:$L,'Metas Produção'!$B4,'BDT''s'!$F:$F,'Metas Produção'!V4),"-")</f>
        <v>0</v>
      </c>
      <c r="Z4" s="11" t="s">
        <v>32</v>
      </c>
      <c r="AA4" s="18" t="str">
        <f>IFERROR(AVERAGEIFS('BDT''s'!$W:$W,'BDT''s'!$K:$K,'Metas Produção'!$A4,'BDT''s'!$L:$L,'Metas Produção'!$B4,'BDT''s'!$F:$F,'Metas Produção'!Z4)*'Metas Produção'!$I4,"-")</f>
        <v>-</v>
      </c>
      <c r="AB4" s="18" t="str">
        <f t="shared" si="6"/>
        <v>-</v>
      </c>
      <c r="AC4" s="18">
        <f>IFERROR(_xlfn.MAXIFS('BDT''s'!$W:$W,'BDT''s'!$K:$K,'Metas Produção'!$A4,'BDT''s'!$L:$L,'Metas Produção'!$B4,'BDT''s'!$F:$F,'Metas Produção'!Z4),"-")</f>
        <v>0</v>
      </c>
      <c r="AD4" s="11" t="s">
        <v>33</v>
      </c>
      <c r="AE4" s="18" t="str">
        <f>IFERROR(AVERAGEIFS('BDT''s'!$W:$W,'BDT''s'!$K:$K,'Metas Produção'!$A4,'BDT''s'!$L:$L,'Metas Produção'!$B4,'BDT''s'!$F:$F,'Metas Produção'!AD4)*'Metas Produção'!$I4,"-")</f>
        <v>-</v>
      </c>
      <c r="AF4" s="18" t="str">
        <f t="shared" si="7"/>
        <v>-</v>
      </c>
      <c r="AG4" s="18">
        <f>IFERROR(_xlfn.MAXIFS('BDT''s'!$W:$W,'BDT''s'!$K:$K,'Metas Produção'!$A4,'BDT''s'!$L:$L,'Metas Produção'!$B4,'BDT''s'!$F:$F,'Metas Produção'!AD4),"-")</f>
        <v>0</v>
      </c>
      <c r="AH4" s="11" t="s">
        <v>34</v>
      </c>
      <c r="AI4" s="18" t="str">
        <f>IFERROR(AVERAGEIFS('BDT''s'!$W:$W,'BDT''s'!$K:$K,'Metas Produção'!$A4,'BDT''s'!$L:$L,'Metas Produção'!$B4,'BDT''s'!$F:$F,'Metas Produção'!AH4)*'Metas Produção'!$I4,"-")</f>
        <v>-</v>
      </c>
      <c r="AJ4" s="18" t="str">
        <f t="shared" si="8"/>
        <v>-</v>
      </c>
      <c r="AK4" s="18">
        <f>IFERROR(_xlfn.MAXIFS('BDT''s'!$W:$W,'BDT''s'!$K:$K,'Metas Produção'!$A4,'BDT''s'!$L:$L,'Metas Produção'!$B4,'BDT''s'!$F:$F,'Metas Produção'!AH4),"-")</f>
        <v>0</v>
      </c>
      <c r="AL4" s="11" t="s">
        <v>35</v>
      </c>
      <c r="AM4" s="18" t="str">
        <f>IFERROR(AVERAGEIFS('BDT''s'!$W:$W,'BDT''s'!$K:$K,'Metas Produção'!$A4,'BDT''s'!$L:$L,'Metas Produção'!$B4,'BDT''s'!$F:$F,'Metas Produção'!AL4)*'Metas Produção'!$I4,"-")</f>
        <v>-</v>
      </c>
      <c r="AN4" s="18" t="str">
        <f t="shared" si="9"/>
        <v>-</v>
      </c>
      <c r="AO4" s="18">
        <f>IFERROR(_xlfn.MAXIFS('BDT''s'!$W:$W,'BDT''s'!$K:$K,'Metas Produção'!$A4,'BDT''s'!$L:$L,'Metas Produção'!$B4,'BDT''s'!$F:$F,'Metas Produção'!AL4),"-")</f>
        <v>0</v>
      </c>
      <c r="AP4" s="11" t="s">
        <v>36</v>
      </c>
      <c r="AQ4" s="18" t="str">
        <f>IFERROR(AVERAGEIFS('BDT''s'!$W:$W,'BDT''s'!$K:$K,'Metas Produção'!$A4,'BDT''s'!$L:$L,'Metas Produção'!$B4,'BDT''s'!$F:$F,'Metas Produção'!AP4)*'Metas Produção'!$I4,"-")</f>
        <v>-</v>
      </c>
      <c r="AR4" s="18" t="str">
        <f t="shared" si="10"/>
        <v>-</v>
      </c>
      <c r="AS4" s="18">
        <f>IFERROR(_xlfn.MAXIFS('BDT''s'!$W:$W,'BDT''s'!$K:$K,'Metas Produção'!$A4,'BDT''s'!$L:$L,'Metas Produção'!$B4,'BDT''s'!$F:$F,'Metas Produção'!AP4),"-")</f>
        <v>0</v>
      </c>
      <c r="AT4" s="11" t="s">
        <v>37</v>
      </c>
      <c r="AU4" s="18" t="str">
        <f>IFERROR(AVERAGEIFS('BDT''s'!$W:$W,'BDT''s'!$K:$K,'Metas Produção'!$A4,'BDT''s'!$L:$L,'Metas Produção'!$B4,'BDT''s'!$F:$F,'Metas Produção'!AT4)*'Metas Produção'!$I4,"-")</f>
        <v>-</v>
      </c>
      <c r="AV4" s="18" t="str">
        <f t="shared" si="11"/>
        <v>-</v>
      </c>
      <c r="AW4" s="18">
        <f>IFERROR(_xlfn.MAXIFS('BDT''s'!$W:$W,'BDT''s'!$K:$K,'Metas Produção'!$A4,'BDT''s'!$L:$L,'Metas Produção'!$B4,'BDT''s'!$F:$F,'Metas Produção'!AT4),"-")</f>
        <v>0</v>
      </c>
      <c r="AX4" s="11" t="s">
        <v>38</v>
      </c>
      <c r="AY4" s="18" t="str">
        <f>IFERROR(AVERAGEIFS('BDT''s'!$W:$W,'BDT''s'!$K:$K,'Metas Produção'!$A4,'BDT''s'!$L:$L,'Metas Produção'!$B4,'BDT''s'!$F:$F,'Metas Produção'!AX4)*'Metas Produção'!$I4,"-")</f>
        <v>-</v>
      </c>
      <c r="AZ4" s="18" t="str">
        <f t="shared" si="12"/>
        <v>-</v>
      </c>
      <c r="BA4" s="18">
        <f>IFERROR(_xlfn.MAXIFS('BDT''s'!$W:$W,'BDT''s'!$K:$K,'Metas Produção'!$A4,'BDT''s'!$L:$L,'Metas Produção'!$B4,'BDT''s'!$F:$F,'Metas Produção'!AX4),"-")</f>
        <v>0</v>
      </c>
    </row>
    <row r="5" spans="1:61" x14ac:dyDescent="0.3">
      <c r="A5" s="3" t="s">
        <v>133</v>
      </c>
      <c r="B5" s="12" t="str">
        <f>IFERROR(VLOOKUP(A5,Cadastros!B:D,3,FALSE),"-")</f>
        <v>ARRASTE</v>
      </c>
      <c r="C5" s="18">
        <f>IFERROR(AVERAGEIFS('BDT''s'!W:W,'BDT''s'!K:K,'Metas Produção'!A5,'BDT''s'!L:L,'Metas Produção'!B5),"-")</f>
        <v>90.580808080808083</v>
      </c>
      <c r="D5" s="18" cm="1">
        <f t="array" ref="D5">IFERROR(_xlfn.PERCENTILE.INC(_xlfn._xlws.FILTER('BDT''s'!W:W,('BDT''s'!K:K='Metas Produção'!A5)*('BDT''s'!L:L='Metas Produção'!B5)),0.5),"-")</f>
        <v>83.888888888888886</v>
      </c>
      <c r="E5" s="18" cm="1">
        <f t="array" ref="E5">IFERROR(_xlfn.PERCENTILE.INC(_xlfn._xlws.FILTER('BDT''s'!W:W,('BDT''s'!K:K='Metas Produção'!A5)*('BDT''s'!L:L='Metas Produção'!B5)),0.75),"-")</f>
        <v>97.5</v>
      </c>
      <c r="F5" s="18">
        <f>IFERROR(_xlfn.MAXIFS('BDT''s'!W:W,'BDT''s'!K:K,'Metas Produção'!A5,'BDT''s'!L:L,'Metas Produção'!B5),"-")</f>
        <v>120</v>
      </c>
      <c r="G5" s="12">
        <f>IFERROR(COUNTIFS('BDT''s'!K:K,'Metas Produção'!A5,'BDT''s'!L:L,'Metas Produção'!B5),"-")</f>
        <v>4</v>
      </c>
      <c r="H5" s="12" t="str">
        <f t="shared" si="0"/>
        <v>MEDIO</v>
      </c>
      <c r="I5" s="15">
        <f t="shared" si="1"/>
        <v>1.0012545302481182</v>
      </c>
      <c r="J5" s="11" t="s">
        <v>28</v>
      </c>
      <c r="K5" s="18" t="str">
        <f>IFERROR(AVERAGEIFS('BDT''s'!$W:$W,'BDT''s'!$K:$K,'Metas Produção'!$A5,'BDT''s'!$L:$L,'Metas Produção'!$B5,'BDT''s'!$F:$F,'Metas Produção'!J5)*'Metas Produção'!$I5,"-")</f>
        <v>-</v>
      </c>
      <c r="L5" s="18" t="str">
        <f t="shared" si="2"/>
        <v>-</v>
      </c>
      <c r="M5" s="18">
        <f>IFERROR(_xlfn.MAXIFS('BDT''s'!$W:$W,'BDT''s'!$K:$K,'Metas Produção'!$A5,'BDT''s'!$L:$L,'Metas Produção'!$B5,'BDT''s'!$F:$F,'Metas Produção'!J5),"-")</f>
        <v>0</v>
      </c>
      <c r="N5" s="11" t="s">
        <v>29</v>
      </c>
      <c r="O5" s="18" t="str">
        <f>IFERROR(AVERAGEIFS('BDT''s'!$W:$W,'BDT''s'!$K:$K,'Metas Produção'!$A5,'BDT''s'!$L:$L,'Metas Produção'!$B5,'BDT''s'!$F:$F,'Metas Produção'!N5)*'Metas Produção'!$I5,"-")</f>
        <v>-</v>
      </c>
      <c r="P5" s="18" t="str">
        <f t="shared" si="3"/>
        <v>-</v>
      </c>
      <c r="Q5" s="18">
        <f>IFERROR(_xlfn.MAXIFS('BDT''s'!$W:$W,'BDT''s'!$K:$K,'Metas Produção'!$A5,'BDT''s'!$L:$L,'Metas Produção'!$B5,'BDT''s'!$F:$F,'Metas Produção'!N5),"-")</f>
        <v>0</v>
      </c>
      <c r="R5" s="11" t="s">
        <v>30</v>
      </c>
      <c r="S5" s="18" t="str">
        <f>IFERROR(AVERAGEIFS('BDT''s'!$W:$W,'BDT''s'!$K:$K,'Metas Produção'!$A5,'BDT''s'!$L:$L,'Metas Produção'!$B5,'BDT''s'!$F:$F,'Metas Produção'!R5)*'Metas Produção'!$I5,"-")</f>
        <v>-</v>
      </c>
      <c r="T5" s="18" t="str">
        <f t="shared" si="4"/>
        <v>-</v>
      </c>
      <c r="U5" s="18">
        <f>IFERROR(_xlfn.MAXIFS('BDT''s'!$W:$W,'BDT''s'!$K:$K,'Metas Produção'!$A5,'BDT''s'!$L:$L,'Metas Produção'!$B5,'BDT''s'!$F:$F,'Metas Produção'!R5),"-")</f>
        <v>0</v>
      </c>
      <c r="V5" s="11" t="s">
        <v>31</v>
      </c>
      <c r="W5" s="18">
        <f>IFERROR(AVERAGEIFS('BDT''s'!$W:$W,'BDT''s'!$K:$K,'Metas Produção'!$A5,'BDT''s'!$L:$L,'Metas Produção'!$B5,'BDT''s'!$F:$F,'Metas Produção'!V5)*'Metas Produção'!$I5,"-")</f>
        <v>90.694444444444443</v>
      </c>
      <c r="X5" s="18">
        <f t="shared" si="5"/>
        <v>90.808223368336272</v>
      </c>
      <c r="Y5" s="18">
        <f>IFERROR(_xlfn.MAXIFS('BDT''s'!$W:$W,'BDT''s'!$K:$K,'Metas Produção'!$A5,'BDT''s'!$L:$L,'Metas Produção'!$B5,'BDT''s'!$F:$F,'Metas Produção'!V5),"-")</f>
        <v>120</v>
      </c>
      <c r="Z5" s="11" t="s">
        <v>32</v>
      </c>
      <c r="AA5" s="18" t="str">
        <f>IFERROR(AVERAGEIFS('BDT''s'!$W:$W,'BDT''s'!$K:$K,'Metas Produção'!$A5,'BDT''s'!$L:$L,'Metas Produção'!$B5,'BDT''s'!$F:$F,'Metas Produção'!Z5)*'Metas Produção'!$I5,"-")</f>
        <v>-</v>
      </c>
      <c r="AB5" s="18" t="str">
        <f t="shared" si="6"/>
        <v>-</v>
      </c>
      <c r="AC5" s="18">
        <f>IFERROR(_xlfn.MAXIFS('BDT''s'!$W:$W,'BDT''s'!$K:$K,'Metas Produção'!$A5,'BDT''s'!$L:$L,'Metas Produção'!$B5,'BDT''s'!$F:$F,'Metas Produção'!Z5),"-")</f>
        <v>0</v>
      </c>
      <c r="AD5" s="11" t="s">
        <v>33</v>
      </c>
      <c r="AE5" s="18" t="str">
        <f>IFERROR(AVERAGEIFS('BDT''s'!$W:$W,'BDT''s'!$K:$K,'Metas Produção'!$A5,'BDT''s'!$L:$L,'Metas Produção'!$B5,'BDT''s'!$F:$F,'Metas Produção'!AD5)*'Metas Produção'!$I5,"-")</f>
        <v>-</v>
      </c>
      <c r="AF5" s="18" t="str">
        <f t="shared" si="7"/>
        <v>-</v>
      </c>
      <c r="AG5" s="18">
        <f>IFERROR(_xlfn.MAXIFS('BDT''s'!$W:$W,'BDT''s'!$K:$K,'Metas Produção'!$A5,'BDT''s'!$L:$L,'Metas Produção'!$B5,'BDT''s'!$F:$F,'Metas Produção'!AD5),"-")</f>
        <v>0</v>
      </c>
      <c r="AH5" s="11" t="s">
        <v>34</v>
      </c>
      <c r="AI5" s="18" t="str">
        <f>IFERROR(AVERAGEIFS('BDT''s'!$W:$W,'BDT''s'!$K:$K,'Metas Produção'!$A5,'BDT''s'!$L:$L,'Metas Produção'!$B5,'BDT''s'!$F:$F,'Metas Produção'!AH5)*'Metas Produção'!$I5,"-")</f>
        <v>-</v>
      </c>
      <c r="AJ5" s="18" t="str">
        <f t="shared" si="8"/>
        <v>-</v>
      </c>
      <c r="AK5" s="18">
        <f>IFERROR(_xlfn.MAXIFS('BDT''s'!$W:$W,'BDT''s'!$K:$K,'Metas Produção'!$A5,'BDT''s'!$L:$L,'Metas Produção'!$B5,'BDT''s'!$F:$F,'Metas Produção'!AH5),"-")</f>
        <v>0</v>
      </c>
      <c r="AL5" s="11" t="s">
        <v>35</v>
      </c>
      <c r="AM5" s="18" t="str">
        <f>IFERROR(AVERAGEIFS('BDT''s'!$W:$W,'BDT''s'!$K:$K,'Metas Produção'!$A5,'BDT''s'!$L:$L,'Metas Produção'!$B5,'BDT''s'!$F:$F,'Metas Produção'!AL5)*'Metas Produção'!$I5,"-")</f>
        <v>-</v>
      </c>
      <c r="AN5" s="18" t="str">
        <f t="shared" si="9"/>
        <v>-</v>
      </c>
      <c r="AO5" s="18">
        <f>IFERROR(_xlfn.MAXIFS('BDT''s'!$W:$W,'BDT''s'!$K:$K,'Metas Produção'!$A5,'BDT''s'!$L:$L,'Metas Produção'!$B5,'BDT''s'!$F:$F,'Metas Produção'!AL5),"-")</f>
        <v>0</v>
      </c>
      <c r="AP5" s="11" t="s">
        <v>36</v>
      </c>
      <c r="AQ5" s="18" t="str">
        <f>IFERROR(AVERAGEIFS('BDT''s'!$W:$W,'BDT''s'!$K:$K,'Metas Produção'!$A5,'BDT''s'!$L:$L,'Metas Produção'!$B5,'BDT''s'!$F:$F,'Metas Produção'!AP5)*'Metas Produção'!$I5,"-")</f>
        <v>-</v>
      </c>
      <c r="AR5" s="18" t="str">
        <f t="shared" si="10"/>
        <v>-</v>
      </c>
      <c r="AS5" s="18">
        <f>IFERROR(_xlfn.MAXIFS('BDT''s'!$W:$W,'BDT''s'!$K:$K,'Metas Produção'!$A5,'BDT''s'!$L:$L,'Metas Produção'!$B5,'BDT''s'!$F:$F,'Metas Produção'!AP5),"-")</f>
        <v>0</v>
      </c>
      <c r="AT5" s="11" t="s">
        <v>37</v>
      </c>
      <c r="AU5" s="18" t="str">
        <f>IFERROR(AVERAGEIFS('BDT''s'!$W:$W,'BDT''s'!$K:$K,'Metas Produção'!$A5,'BDT''s'!$L:$L,'Metas Produção'!$B5,'BDT''s'!$F:$F,'Metas Produção'!AT5)*'Metas Produção'!$I5,"-")</f>
        <v>-</v>
      </c>
      <c r="AV5" s="18" t="str">
        <f t="shared" si="11"/>
        <v>-</v>
      </c>
      <c r="AW5" s="18">
        <f>IFERROR(_xlfn.MAXIFS('BDT''s'!$W:$W,'BDT''s'!$K:$K,'Metas Produção'!$A5,'BDT''s'!$L:$L,'Metas Produção'!$B5,'BDT''s'!$F:$F,'Metas Produção'!AT5),"-")</f>
        <v>0</v>
      </c>
      <c r="AX5" s="11" t="s">
        <v>38</v>
      </c>
      <c r="AY5" s="18" t="str">
        <f>IFERROR(AVERAGEIFS('BDT''s'!$W:$W,'BDT''s'!$K:$K,'Metas Produção'!$A5,'BDT''s'!$L:$L,'Metas Produção'!$B5,'BDT''s'!$F:$F,'Metas Produção'!AX5)*'Metas Produção'!$I5,"-")</f>
        <v>-</v>
      </c>
      <c r="AZ5" s="18" t="str">
        <f t="shared" si="12"/>
        <v>-</v>
      </c>
      <c r="BA5" s="18">
        <f>IFERROR(_xlfn.MAXIFS('BDT''s'!$W:$W,'BDT''s'!$K:$K,'Metas Produção'!$A5,'BDT''s'!$L:$L,'Metas Produção'!$B5,'BDT''s'!$F:$F,'Metas Produção'!AX5),"-")</f>
        <v>0</v>
      </c>
    </row>
    <row r="6" spans="1:61" x14ac:dyDescent="0.3">
      <c r="A6" s="3" t="s">
        <v>134</v>
      </c>
      <c r="B6" s="12" t="str">
        <f>IFERROR(VLOOKUP(A6,Cadastros!B:D,3,FALSE),"-")</f>
        <v>TRAÇAMENTO</v>
      </c>
      <c r="C6" s="18">
        <f>IFERROR(AVERAGEIFS('BDT''s'!W:W,'BDT''s'!K:K,'Metas Produção'!A6,'BDT''s'!L:L,'Metas Produção'!B6),"-")</f>
        <v>60.7638888888889</v>
      </c>
      <c r="D6" s="18" cm="1">
        <f t="array" ref="D6">IFERROR(_xlfn.PERCENTILE.INC(_xlfn._xlws.FILTER('BDT''s'!W:W,('BDT''s'!K:K='Metas Produção'!A6)*('BDT''s'!L:L='Metas Produção'!B6)),0.5),"-")</f>
        <v>66.111111111111114</v>
      </c>
      <c r="E6" s="18" cm="1">
        <f t="array" ref="E6">IFERROR(_xlfn.PERCENTILE.INC(_xlfn._xlws.FILTER('BDT''s'!W:W,('BDT''s'!K:K='Metas Produção'!A6)*('BDT''s'!L:L='Metas Produção'!B6)),0.75),"-")</f>
        <v>68.75</v>
      </c>
      <c r="F6" s="18">
        <f>IFERROR(_xlfn.MAXIFS('BDT''s'!W:W,'BDT''s'!K:K,'Metas Produção'!A6,'BDT''s'!L:L,'Metas Produção'!B6),"-")</f>
        <v>75</v>
      </c>
      <c r="G6" s="12">
        <f>IFERROR(COUNTIFS('BDT''s'!K:K,'Metas Produção'!A6,'BDT''s'!L:L,'Metas Produção'!B6),"-")</f>
        <v>4</v>
      </c>
      <c r="H6" s="12" t="str">
        <f t="shared" si="0"/>
        <v>BAIXO</v>
      </c>
      <c r="I6" s="15">
        <f t="shared" si="1"/>
        <v>1.1097142857142854</v>
      </c>
      <c r="J6" s="11" t="s">
        <v>28</v>
      </c>
      <c r="K6" s="18" t="str">
        <f>IFERROR(AVERAGEIFS('BDT''s'!$W:$W,'BDT''s'!$K:$K,'Metas Produção'!$A6,'BDT''s'!$L:$L,'Metas Produção'!$B6,'BDT''s'!$F:$F,'Metas Produção'!J6)*'Metas Produção'!$I6,"-")</f>
        <v>-</v>
      </c>
      <c r="L6" s="18" t="str">
        <f t="shared" si="2"/>
        <v>-</v>
      </c>
      <c r="M6" s="18">
        <f>IFERROR(_xlfn.MAXIFS('BDT''s'!$W:$W,'BDT''s'!$K:$K,'Metas Produção'!$A6,'BDT''s'!$L:$L,'Metas Produção'!$B6,'BDT''s'!$F:$F,'Metas Produção'!J6),"-")</f>
        <v>0</v>
      </c>
      <c r="N6" s="11" t="s">
        <v>29</v>
      </c>
      <c r="O6" s="18" t="str">
        <f>IFERROR(AVERAGEIFS('BDT''s'!$W:$W,'BDT''s'!$K:$K,'Metas Produção'!$A6,'BDT''s'!$L:$L,'Metas Produção'!$B6,'BDT''s'!$F:$F,'Metas Produção'!N6)*'Metas Produção'!$I6,"-")</f>
        <v>-</v>
      </c>
      <c r="P6" s="18" t="str">
        <f t="shared" si="3"/>
        <v>-</v>
      </c>
      <c r="Q6" s="18">
        <f>IFERROR(_xlfn.MAXIFS('BDT''s'!$W:$W,'BDT''s'!$K:$K,'Metas Produção'!$A6,'BDT''s'!$L:$L,'Metas Produção'!$B6,'BDT''s'!$F:$F,'Metas Produção'!N6),"-")</f>
        <v>0</v>
      </c>
      <c r="R6" s="11" t="s">
        <v>30</v>
      </c>
      <c r="S6" s="18">
        <f>IFERROR(AVERAGEIFS('BDT''s'!$W:$W,'BDT''s'!$K:$K,'Metas Produção'!$A6,'BDT''s'!$L:$L,'Metas Produção'!$B6,'BDT''s'!$F:$F,'Metas Produção'!R6)*'Metas Produção'!$I6,"-")</f>
        <v>67.430555555555557</v>
      </c>
      <c r="T6" s="18">
        <f t="shared" si="4"/>
        <v>74.82865079365078</v>
      </c>
      <c r="U6" s="18">
        <f>IFERROR(_xlfn.MAXIFS('BDT''s'!$W:$W,'BDT''s'!$K:$K,'Metas Produção'!$A6,'BDT''s'!$L:$L,'Metas Produção'!$B6,'BDT''s'!$F:$F,'Metas Produção'!R6),"-")</f>
        <v>75</v>
      </c>
      <c r="V6" s="11" t="s">
        <v>31</v>
      </c>
      <c r="W6" s="18" t="str">
        <f>IFERROR(AVERAGEIFS('BDT''s'!$W:$W,'BDT''s'!$K:$K,'Metas Produção'!$A6,'BDT''s'!$L:$L,'Metas Produção'!$B6,'BDT''s'!$F:$F,'Metas Produção'!V6)*'Metas Produção'!$I6,"-")</f>
        <v>-</v>
      </c>
      <c r="X6" s="18" t="str">
        <f t="shared" si="5"/>
        <v>-</v>
      </c>
      <c r="Y6" s="18">
        <f>IFERROR(_xlfn.MAXIFS('BDT''s'!$W:$W,'BDT''s'!$K:$K,'Metas Produção'!$A6,'BDT''s'!$L:$L,'Metas Produção'!$B6,'BDT''s'!$F:$F,'Metas Produção'!V6),"-")</f>
        <v>0</v>
      </c>
      <c r="Z6" s="11" t="s">
        <v>32</v>
      </c>
      <c r="AA6" s="18" t="str">
        <f>IFERROR(AVERAGEIFS('BDT''s'!$W:$W,'BDT''s'!$K:$K,'Metas Produção'!$A6,'BDT''s'!$L:$L,'Metas Produção'!$B6,'BDT''s'!$F:$F,'Metas Produção'!Z6)*'Metas Produção'!$I6,"-")</f>
        <v>-</v>
      </c>
      <c r="AB6" s="18" t="str">
        <f t="shared" si="6"/>
        <v>-</v>
      </c>
      <c r="AC6" s="18">
        <f>IFERROR(_xlfn.MAXIFS('BDT''s'!$W:$W,'BDT''s'!$K:$K,'Metas Produção'!$A6,'BDT''s'!$L:$L,'Metas Produção'!$B6,'BDT''s'!$F:$F,'Metas Produção'!Z6),"-")</f>
        <v>0</v>
      </c>
      <c r="AD6" s="11" t="s">
        <v>33</v>
      </c>
      <c r="AE6" s="18" t="str">
        <f>IFERROR(AVERAGEIFS('BDT''s'!$W:$W,'BDT''s'!$K:$K,'Metas Produção'!$A6,'BDT''s'!$L:$L,'Metas Produção'!$B6,'BDT''s'!$F:$F,'Metas Produção'!AD6)*'Metas Produção'!$I6,"-")</f>
        <v>-</v>
      </c>
      <c r="AF6" s="18" t="str">
        <f t="shared" si="7"/>
        <v>-</v>
      </c>
      <c r="AG6" s="18">
        <f>IFERROR(_xlfn.MAXIFS('BDT''s'!$W:$W,'BDT''s'!$K:$K,'Metas Produção'!$A6,'BDT''s'!$L:$L,'Metas Produção'!$B6,'BDT''s'!$F:$F,'Metas Produção'!AD6),"-")</f>
        <v>0</v>
      </c>
      <c r="AH6" s="11" t="s">
        <v>34</v>
      </c>
      <c r="AI6" s="18" t="str">
        <f>IFERROR(AVERAGEIFS('BDT''s'!$W:$W,'BDT''s'!$K:$K,'Metas Produção'!$A6,'BDT''s'!$L:$L,'Metas Produção'!$B6,'BDT''s'!$F:$F,'Metas Produção'!AH6)*'Metas Produção'!$I6,"-")</f>
        <v>-</v>
      </c>
      <c r="AJ6" s="18" t="str">
        <f t="shared" si="8"/>
        <v>-</v>
      </c>
      <c r="AK6" s="18">
        <f>IFERROR(_xlfn.MAXIFS('BDT''s'!$W:$W,'BDT''s'!$K:$K,'Metas Produção'!$A6,'BDT''s'!$L:$L,'Metas Produção'!$B6,'BDT''s'!$F:$F,'Metas Produção'!AH6),"-")</f>
        <v>0</v>
      </c>
      <c r="AL6" s="11" t="s">
        <v>35</v>
      </c>
      <c r="AM6" s="18" t="str">
        <f>IFERROR(AVERAGEIFS('BDT''s'!$W:$W,'BDT''s'!$K:$K,'Metas Produção'!$A6,'BDT''s'!$L:$L,'Metas Produção'!$B6,'BDT''s'!$F:$F,'Metas Produção'!AL6)*'Metas Produção'!$I6,"-")</f>
        <v>-</v>
      </c>
      <c r="AN6" s="18" t="str">
        <f t="shared" si="9"/>
        <v>-</v>
      </c>
      <c r="AO6" s="18">
        <f>IFERROR(_xlfn.MAXIFS('BDT''s'!$W:$W,'BDT''s'!$K:$K,'Metas Produção'!$A6,'BDT''s'!$L:$L,'Metas Produção'!$B6,'BDT''s'!$F:$F,'Metas Produção'!AL6),"-")</f>
        <v>0</v>
      </c>
      <c r="AP6" s="11" t="s">
        <v>36</v>
      </c>
      <c r="AQ6" s="18" t="str">
        <f>IFERROR(AVERAGEIFS('BDT''s'!$W:$W,'BDT''s'!$K:$K,'Metas Produção'!$A6,'BDT''s'!$L:$L,'Metas Produção'!$B6,'BDT''s'!$F:$F,'Metas Produção'!AP6)*'Metas Produção'!$I6,"-")</f>
        <v>-</v>
      </c>
      <c r="AR6" s="18" t="str">
        <f t="shared" si="10"/>
        <v>-</v>
      </c>
      <c r="AS6" s="18">
        <f>IFERROR(_xlfn.MAXIFS('BDT''s'!$W:$W,'BDT''s'!$K:$K,'Metas Produção'!$A6,'BDT''s'!$L:$L,'Metas Produção'!$B6,'BDT''s'!$F:$F,'Metas Produção'!AP6),"-")</f>
        <v>0</v>
      </c>
      <c r="AT6" s="11" t="s">
        <v>37</v>
      </c>
      <c r="AU6" s="18" t="str">
        <f>IFERROR(AVERAGEIFS('BDT''s'!$W:$W,'BDT''s'!$K:$K,'Metas Produção'!$A6,'BDT''s'!$L:$L,'Metas Produção'!$B6,'BDT''s'!$F:$F,'Metas Produção'!AT6)*'Metas Produção'!$I6,"-")</f>
        <v>-</v>
      </c>
      <c r="AV6" s="18" t="str">
        <f t="shared" si="11"/>
        <v>-</v>
      </c>
      <c r="AW6" s="18">
        <f>IFERROR(_xlfn.MAXIFS('BDT''s'!$W:$W,'BDT''s'!$K:$K,'Metas Produção'!$A6,'BDT''s'!$L:$L,'Metas Produção'!$B6,'BDT''s'!$F:$F,'Metas Produção'!AT6),"-")</f>
        <v>0</v>
      </c>
      <c r="AX6" s="11" t="s">
        <v>38</v>
      </c>
      <c r="AY6" s="18" t="str">
        <f>IFERROR(AVERAGEIFS('BDT''s'!$W:$W,'BDT''s'!$K:$K,'Metas Produção'!$A6,'BDT''s'!$L:$L,'Metas Produção'!$B6,'BDT''s'!$F:$F,'Metas Produção'!AX6)*'Metas Produção'!$I6,"-")</f>
        <v>-</v>
      </c>
      <c r="AZ6" s="18" t="str">
        <f t="shared" si="12"/>
        <v>-</v>
      </c>
      <c r="BA6" s="18">
        <f>IFERROR(_xlfn.MAXIFS('BDT''s'!$W:$W,'BDT''s'!$K:$K,'Metas Produção'!$A6,'BDT''s'!$L:$L,'Metas Produção'!$B6,'BDT''s'!$F:$F,'Metas Produção'!AX6),"-")</f>
        <v>0</v>
      </c>
    </row>
    <row r="7" spans="1:61" x14ac:dyDescent="0.3">
      <c r="A7" s="3" t="s">
        <v>135</v>
      </c>
      <c r="B7" s="12" t="str">
        <f>IFERROR(VLOOKUP(A7,Cadastros!B:D,3,FALSE),"-")</f>
        <v>TRAÇAMENTO</v>
      </c>
      <c r="C7" s="18">
        <f>IFERROR(AVERAGEIFS('BDT''s'!W:W,'BDT''s'!K:K,'Metas Produção'!A7,'BDT''s'!L:L,'Metas Produção'!B7),"-")</f>
        <v>77.5</v>
      </c>
      <c r="D7" s="18" cm="1">
        <f t="array" ref="D7">IFERROR(_xlfn.PERCENTILE.INC(_xlfn._xlws.FILTER('BDT''s'!W:W,('BDT''s'!K:K='Metas Produção'!A7)*('BDT''s'!L:L='Metas Produção'!B7)),0.5),"-")</f>
        <v>75</v>
      </c>
      <c r="E7" s="18" cm="1">
        <f t="array" ref="E7">IFERROR(_xlfn.PERCENTILE.INC(_xlfn._xlws.FILTER('BDT''s'!W:W,('BDT''s'!K:K='Metas Produção'!A7)*('BDT''s'!L:L='Metas Produção'!B7)),0.75),"-")</f>
        <v>84</v>
      </c>
      <c r="F7" s="18">
        <f>IFERROR(_xlfn.MAXIFS('BDT''s'!W:W,'BDT''s'!K:K,'Metas Produção'!A7,'BDT''s'!L:L,'Metas Produção'!B7),"-")</f>
        <v>96</v>
      </c>
      <c r="G7" s="12">
        <f>IFERROR(COUNTIFS('BDT''s'!K:K,'Metas Produção'!A7,'BDT''s'!L:L,'Metas Produção'!B7),"-")</f>
        <v>4</v>
      </c>
      <c r="H7" s="12" t="str">
        <f t="shared" si="0"/>
        <v>MEDIO</v>
      </c>
      <c r="I7" s="15">
        <f t="shared" si="1"/>
        <v>1.0258064516129033</v>
      </c>
      <c r="J7" s="11" t="s">
        <v>28</v>
      </c>
      <c r="K7" s="18" t="str">
        <f>IFERROR(AVERAGEIFS('BDT''s'!$W:$W,'BDT''s'!$K:$K,'Metas Produção'!$A7,'BDT''s'!$L:$L,'Metas Produção'!$B7,'BDT''s'!$F:$F,'Metas Produção'!J7)*'Metas Produção'!$I7,"-")</f>
        <v>-</v>
      </c>
      <c r="L7" s="18" t="str">
        <f t="shared" si="2"/>
        <v>-</v>
      </c>
      <c r="M7" s="18">
        <f>IFERROR(_xlfn.MAXIFS('BDT''s'!$W:$W,'BDT''s'!$K:$K,'Metas Produção'!$A7,'BDT''s'!$L:$L,'Metas Produção'!$B7,'BDT''s'!$F:$F,'Metas Produção'!J7),"-")</f>
        <v>0</v>
      </c>
      <c r="N7" s="11" t="s">
        <v>29</v>
      </c>
      <c r="O7" s="18" t="str">
        <f>IFERROR(AVERAGEIFS('BDT''s'!$W:$W,'BDT''s'!$K:$K,'Metas Produção'!$A7,'BDT''s'!$L:$L,'Metas Produção'!$B7,'BDT''s'!$F:$F,'Metas Produção'!N7)*'Metas Produção'!$I7,"-")</f>
        <v>-</v>
      </c>
      <c r="P7" s="18" t="str">
        <f t="shared" si="3"/>
        <v>-</v>
      </c>
      <c r="Q7" s="18">
        <f>IFERROR(_xlfn.MAXIFS('BDT''s'!$W:$W,'BDT''s'!$K:$K,'Metas Produção'!$A7,'BDT''s'!$L:$L,'Metas Produção'!$B7,'BDT''s'!$F:$F,'Metas Produção'!N7),"-")</f>
        <v>0</v>
      </c>
      <c r="R7" s="11" t="s">
        <v>30</v>
      </c>
      <c r="S7" s="18" t="str">
        <f>IFERROR(AVERAGEIFS('BDT''s'!$W:$W,'BDT''s'!$K:$K,'Metas Produção'!$A7,'BDT''s'!$L:$L,'Metas Produção'!$B7,'BDT''s'!$F:$F,'Metas Produção'!R7)*'Metas Produção'!$I7,"-")</f>
        <v>-</v>
      </c>
      <c r="T7" s="18" t="str">
        <f t="shared" si="4"/>
        <v>-</v>
      </c>
      <c r="U7" s="18">
        <f>IFERROR(_xlfn.MAXIFS('BDT''s'!$W:$W,'BDT''s'!$K:$K,'Metas Produção'!$A7,'BDT''s'!$L:$L,'Metas Produção'!$B7,'BDT''s'!$F:$F,'Metas Produção'!R7),"-")</f>
        <v>0</v>
      </c>
      <c r="V7" s="11" t="s">
        <v>31</v>
      </c>
      <c r="W7" s="18">
        <f>IFERROR(AVERAGEIFS('BDT''s'!$W:$W,'BDT''s'!$K:$K,'Metas Produção'!$A7,'BDT''s'!$L:$L,'Metas Produção'!$B7,'BDT''s'!$F:$F,'Metas Produção'!V7)*'Metas Produção'!$I7,"-")</f>
        <v>79.5</v>
      </c>
      <c r="X7" s="18">
        <f t="shared" si="5"/>
        <v>81.551612903225816</v>
      </c>
      <c r="Y7" s="18">
        <f>IFERROR(_xlfn.MAXIFS('BDT''s'!$W:$W,'BDT''s'!$K:$K,'Metas Produção'!$A7,'BDT''s'!$L:$L,'Metas Produção'!$B7,'BDT''s'!$F:$F,'Metas Produção'!V7),"-")</f>
        <v>96</v>
      </c>
      <c r="Z7" s="11" t="s">
        <v>32</v>
      </c>
      <c r="AA7" s="18" t="str">
        <f>IFERROR(AVERAGEIFS('BDT''s'!$W:$W,'BDT''s'!$K:$K,'Metas Produção'!$A7,'BDT''s'!$L:$L,'Metas Produção'!$B7,'BDT''s'!$F:$F,'Metas Produção'!Z7)*'Metas Produção'!$I7,"-")</f>
        <v>-</v>
      </c>
      <c r="AB7" s="18" t="str">
        <f t="shared" si="6"/>
        <v>-</v>
      </c>
      <c r="AC7" s="18">
        <f>IFERROR(_xlfn.MAXIFS('BDT''s'!$W:$W,'BDT''s'!$K:$K,'Metas Produção'!$A7,'BDT''s'!$L:$L,'Metas Produção'!$B7,'BDT''s'!$F:$F,'Metas Produção'!Z7),"-")</f>
        <v>0</v>
      </c>
      <c r="AD7" s="11" t="s">
        <v>33</v>
      </c>
      <c r="AE7" s="18" t="str">
        <f>IFERROR(AVERAGEIFS('BDT''s'!$W:$W,'BDT''s'!$K:$K,'Metas Produção'!$A7,'BDT''s'!$L:$L,'Metas Produção'!$B7,'BDT''s'!$F:$F,'Metas Produção'!AD7)*'Metas Produção'!$I7,"-")</f>
        <v>-</v>
      </c>
      <c r="AF7" s="18" t="str">
        <f t="shared" si="7"/>
        <v>-</v>
      </c>
      <c r="AG7" s="18">
        <f>IFERROR(_xlfn.MAXIFS('BDT''s'!$W:$W,'BDT''s'!$K:$K,'Metas Produção'!$A7,'BDT''s'!$L:$L,'Metas Produção'!$B7,'BDT''s'!$F:$F,'Metas Produção'!AD7),"-")</f>
        <v>0</v>
      </c>
      <c r="AH7" s="11" t="s">
        <v>34</v>
      </c>
      <c r="AI7" s="18" t="str">
        <f>IFERROR(AVERAGEIFS('BDT''s'!$W:$W,'BDT''s'!$K:$K,'Metas Produção'!$A7,'BDT''s'!$L:$L,'Metas Produção'!$B7,'BDT''s'!$F:$F,'Metas Produção'!AH7)*'Metas Produção'!$I7,"-")</f>
        <v>-</v>
      </c>
      <c r="AJ7" s="18" t="str">
        <f t="shared" si="8"/>
        <v>-</v>
      </c>
      <c r="AK7" s="18">
        <f>IFERROR(_xlfn.MAXIFS('BDT''s'!$W:$W,'BDT''s'!$K:$K,'Metas Produção'!$A7,'BDT''s'!$L:$L,'Metas Produção'!$B7,'BDT''s'!$F:$F,'Metas Produção'!AH7),"-")</f>
        <v>0</v>
      </c>
      <c r="AL7" s="11" t="s">
        <v>35</v>
      </c>
      <c r="AM7" s="18" t="str">
        <f>IFERROR(AVERAGEIFS('BDT''s'!$W:$W,'BDT''s'!$K:$K,'Metas Produção'!$A7,'BDT''s'!$L:$L,'Metas Produção'!$B7,'BDT''s'!$F:$F,'Metas Produção'!AL7)*'Metas Produção'!$I7,"-")</f>
        <v>-</v>
      </c>
      <c r="AN7" s="18" t="str">
        <f t="shared" si="9"/>
        <v>-</v>
      </c>
      <c r="AO7" s="18">
        <f>IFERROR(_xlfn.MAXIFS('BDT''s'!$W:$W,'BDT''s'!$K:$K,'Metas Produção'!$A7,'BDT''s'!$L:$L,'Metas Produção'!$B7,'BDT''s'!$F:$F,'Metas Produção'!AL7),"-")</f>
        <v>0</v>
      </c>
      <c r="AP7" s="11" t="s">
        <v>36</v>
      </c>
      <c r="AQ7" s="18" t="str">
        <f>IFERROR(AVERAGEIFS('BDT''s'!$W:$W,'BDT''s'!$K:$K,'Metas Produção'!$A7,'BDT''s'!$L:$L,'Metas Produção'!$B7,'BDT''s'!$F:$F,'Metas Produção'!AP7)*'Metas Produção'!$I7,"-")</f>
        <v>-</v>
      </c>
      <c r="AR7" s="18" t="str">
        <f t="shared" si="10"/>
        <v>-</v>
      </c>
      <c r="AS7" s="18">
        <f>IFERROR(_xlfn.MAXIFS('BDT''s'!$W:$W,'BDT''s'!$K:$K,'Metas Produção'!$A7,'BDT''s'!$L:$L,'Metas Produção'!$B7,'BDT''s'!$F:$F,'Metas Produção'!AP7),"-")</f>
        <v>0</v>
      </c>
      <c r="AT7" s="11" t="s">
        <v>37</v>
      </c>
      <c r="AU7" s="18" t="str">
        <f>IFERROR(AVERAGEIFS('BDT''s'!$W:$W,'BDT''s'!$K:$K,'Metas Produção'!$A7,'BDT''s'!$L:$L,'Metas Produção'!$B7,'BDT''s'!$F:$F,'Metas Produção'!AT7)*'Metas Produção'!$I7,"-")</f>
        <v>-</v>
      </c>
      <c r="AV7" s="18" t="str">
        <f t="shared" si="11"/>
        <v>-</v>
      </c>
      <c r="AW7" s="18">
        <f>IFERROR(_xlfn.MAXIFS('BDT''s'!$W:$W,'BDT''s'!$K:$K,'Metas Produção'!$A7,'BDT''s'!$L:$L,'Metas Produção'!$B7,'BDT''s'!$F:$F,'Metas Produção'!AT7),"-")</f>
        <v>0</v>
      </c>
      <c r="AX7" s="11" t="s">
        <v>38</v>
      </c>
      <c r="AY7" s="18" t="str">
        <f>IFERROR(AVERAGEIFS('BDT''s'!$W:$W,'BDT''s'!$K:$K,'Metas Produção'!$A7,'BDT''s'!$L:$L,'Metas Produção'!$B7,'BDT''s'!$F:$F,'Metas Produção'!AX7)*'Metas Produção'!$I7,"-")</f>
        <v>-</v>
      </c>
      <c r="AZ7" s="18" t="str">
        <f t="shared" si="12"/>
        <v>-</v>
      </c>
      <c r="BA7" s="18">
        <f>IFERROR(_xlfn.MAXIFS('BDT''s'!$W:$W,'BDT''s'!$K:$K,'Metas Produção'!$A7,'BDT''s'!$L:$L,'Metas Produção'!$B7,'BDT''s'!$F:$F,'Metas Produção'!AX7),"-")</f>
        <v>0</v>
      </c>
    </row>
  </sheetData>
  <conditionalFormatting sqref="H1:H1048576">
    <cfRule type="cellIs" dxfId="2" priority="1" operator="equal">
      <formula>"ALTO"</formula>
    </cfRule>
    <cfRule type="cellIs" dxfId="1" priority="2" operator="equal">
      <formula>"MEDIO"</formula>
    </cfRule>
    <cfRule type="cellIs" dxfId="0" priority="3" operator="equal">
      <formula>"BAIXO"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62BB-56C3-4F1A-8230-AE9853FFBFBE}">
  <sheetPr>
    <tabColor rgb="FFFF0000"/>
  </sheetPr>
  <dimension ref="A1:D8"/>
  <sheetViews>
    <sheetView workbookViewId="0">
      <pane ySplit="1" topLeftCell="A2" activePane="bottomLeft" state="frozen"/>
      <selection pane="bottomLeft" activeCell="A6" sqref="A6:A7"/>
    </sheetView>
  </sheetViews>
  <sheetFormatPr defaultColWidth="9.109375" defaultRowHeight="14.4" x14ac:dyDescent="0.3"/>
  <cols>
    <col min="1" max="1" width="17.6640625" style="6" customWidth="1"/>
    <col min="2" max="2" width="21.6640625" style="6" customWidth="1"/>
    <col min="3" max="3" width="14.88671875" style="6" customWidth="1"/>
    <col min="4" max="4" width="22.6640625" style="6" bestFit="1" customWidth="1"/>
    <col min="5" max="16384" width="9.109375" style="3"/>
  </cols>
  <sheetData>
    <row r="1" spans="1:4" s="1" customFormat="1" ht="36" customHeight="1" x14ac:dyDescent="0.3">
      <c r="A1" s="1" t="s">
        <v>21</v>
      </c>
      <c r="B1" s="1" t="s">
        <v>6</v>
      </c>
      <c r="C1" s="1" t="s">
        <v>2</v>
      </c>
      <c r="D1" s="1" t="s">
        <v>17</v>
      </c>
    </row>
    <row r="2" spans="1:4" x14ac:dyDescent="0.3">
      <c r="A2" s="2" t="s">
        <v>136</v>
      </c>
      <c r="B2" s="2" t="s">
        <v>130</v>
      </c>
      <c r="C2" s="2" t="s">
        <v>65</v>
      </c>
      <c r="D2" s="6" t="s">
        <v>18</v>
      </c>
    </row>
    <row r="3" spans="1:4" s="42" customFormat="1" ht="15" thickBot="1" x14ac:dyDescent="0.35">
      <c r="A3" s="7" t="s">
        <v>137</v>
      </c>
      <c r="B3" s="7" t="s">
        <v>131</v>
      </c>
      <c r="C3" s="7" t="s">
        <v>65</v>
      </c>
      <c r="D3" s="8" t="s">
        <v>18</v>
      </c>
    </row>
    <row r="4" spans="1:4" s="41" customFormat="1" ht="15" thickTop="1" x14ac:dyDescent="0.3">
      <c r="A4" s="9" t="s">
        <v>140</v>
      </c>
      <c r="B4" s="9" t="s">
        <v>132</v>
      </c>
      <c r="C4" s="9" t="s">
        <v>65</v>
      </c>
      <c r="D4" s="10" t="s">
        <v>19</v>
      </c>
    </row>
    <row r="5" spans="1:4" s="42" customFormat="1" ht="15" thickBot="1" x14ac:dyDescent="0.35">
      <c r="A5" s="7" t="s">
        <v>141</v>
      </c>
      <c r="B5" s="7" t="s">
        <v>133</v>
      </c>
      <c r="C5" s="7" t="s">
        <v>65</v>
      </c>
      <c r="D5" s="8" t="s">
        <v>19</v>
      </c>
    </row>
    <row r="6" spans="1:4" s="41" customFormat="1" ht="15" thickTop="1" x14ac:dyDescent="0.3">
      <c r="A6" s="9" t="s">
        <v>138</v>
      </c>
      <c r="B6" s="9" t="s">
        <v>134</v>
      </c>
      <c r="C6" s="9" t="s">
        <v>65</v>
      </c>
      <c r="D6" s="10" t="s">
        <v>20</v>
      </c>
    </row>
    <row r="7" spans="1:4" ht="15" thickBot="1" x14ac:dyDescent="0.35">
      <c r="A7" s="7" t="s">
        <v>139</v>
      </c>
      <c r="B7" s="7" t="s">
        <v>135</v>
      </c>
      <c r="C7" s="7" t="s">
        <v>65</v>
      </c>
      <c r="D7" s="8" t="s">
        <v>20</v>
      </c>
    </row>
    <row r="8" spans="1:4" ht="15" thickTop="1" x14ac:dyDescent="0.3">
      <c r="A8" s="10"/>
      <c r="B8" s="10"/>
      <c r="C8" s="10"/>
      <c r="D8" s="10"/>
    </row>
  </sheetData>
  <autoFilter ref="A1:D7" xr:uid="{45FA62BB-56C3-4F1A-8230-AE9853FFBFBE}"/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BDT's</vt:lpstr>
      <vt:lpstr>Estoque</vt:lpstr>
      <vt:lpstr>Controle Estoque</vt:lpstr>
      <vt:lpstr>Cadastro Talhão</vt:lpstr>
      <vt:lpstr>Volume X Ritmo</vt:lpstr>
      <vt:lpstr>VMI</vt:lpstr>
      <vt:lpstr>Metas Produção</vt:lpstr>
      <vt:lpstr>Cadastros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Aprendiz-Lavras1</dc:creator>
  <cp:lastModifiedBy>Aprendiz Lavras1</cp:lastModifiedBy>
  <dcterms:created xsi:type="dcterms:W3CDTF">2015-06-05T18:19:34Z</dcterms:created>
  <dcterms:modified xsi:type="dcterms:W3CDTF">2026-02-01T14:03:22Z</dcterms:modified>
</cp:coreProperties>
</file>